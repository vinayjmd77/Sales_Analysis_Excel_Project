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vinay\OneDrive\Desktop\Excel\"/>
    </mc:Choice>
  </mc:AlternateContent>
  <xr:revisionPtr revIDLastSave="0" documentId="13_ncr:1_{7EBA03F9-04B9-4AB9-8B75-8126D141AA19}" xr6:coauthVersionLast="47" xr6:coauthVersionMax="47" xr10:uidLastSave="{00000000-0000-0000-0000-000000000000}"/>
  <bookViews>
    <workbookView xWindow="-110" yWindow="-110" windowWidth="19420" windowHeight="10300" tabRatio="603" firstSheet="4" activeTab="7" xr2:uid="{B55FC705-579A-4A83-9A77-F547722DC442}"/>
  </bookViews>
  <sheets>
    <sheet name="salesdata" sheetId="1" r:id="rId1"/>
    <sheet name="Sales_by_sub-category" sheetId="2" r:id="rId2"/>
    <sheet name="Year_wise_profit" sheetId="3" r:id="rId3"/>
    <sheet name="Monthly_sales" sheetId="4" r:id="rId4"/>
    <sheet name="Profit_by_customer" sheetId="5" r:id="rId5"/>
    <sheet name="State_wise_sales" sheetId="6" r:id="rId6"/>
    <sheet name="Year_wise_count_of_customers" sheetId="7" r:id="rId7"/>
    <sheet name="Dashboard" sheetId="8" r:id="rId8"/>
  </sheets>
  <definedNames>
    <definedName name="_xlchart.v2.0" hidden="1">'Sales_by_sub-category'!$D$2:$D$18</definedName>
    <definedName name="_xlchart.v2.1" hidden="1">'Sales_by_sub-category'!$E$2:$E$18</definedName>
    <definedName name="_xlchart.v5.2" hidden="1">State_wise_sales!#REF!</definedName>
    <definedName name="_xlchart.v5.3" hidden="1">State_wise_sales!$D$2:$D$49</definedName>
    <definedName name="_xlchart.v5.4" hidden="1">State_wise_sales!$E$2:$E$49</definedName>
    <definedName name="_xlchart.v5.5" hidden="1">State_wise_sales!#REF!</definedName>
    <definedName name="_xlchart.v5.6" hidden="1">State_wise_sales!$D$2:$D$49</definedName>
    <definedName name="_xlchart.v5.7" hidden="1">State_wise_sales!$E$2:$E$49</definedName>
    <definedName name="Slicer_Category">#N/A</definedName>
    <definedName name="Slicer_Year">#N/A</definedName>
  </definedNames>
  <calcPr calcId="191029"/>
  <pivotCaches>
    <pivotCache cacheId="0" r:id="rId9"/>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6" l="1"/>
  <c r="E3" i="6"/>
  <c r="D4" i="6"/>
  <c r="E4" i="6"/>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E2" i="6"/>
  <c r="D2" i="6"/>
  <c r="D3" i="5"/>
  <c r="E3" i="5"/>
  <c r="D4" i="5"/>
  <c r="E4" i="5"/>
  <c r="D5" i="5"/>
  <c r="E5" i="5"/>
  <c r="D6" i="5"/>
  <c r="E6" i="5"/>
  <c r="E2" i="5"/>
  <c r="D2" i="5"/>
  <c r="D3" i="2"/>
  <c r="E3" i="2"/>
  <c r="D4" i="2"/>
  <c r="E4" i="2"/>
  <c r="D5" i="2"/>
  <c r="E5" i="2"/>
  <c r="D6" i="2"/>
  <c r="E6" i="2"/>
  <c r="D7" i="2"/>
  <c r="E7" i="2"/>
  <c r="D8" i="2"/>
  <c r="E8" i="2"/>
  <c r="D9" i="2"/>
  <c r="E9" i="2"/>
  <c r="D10" i="2"/>
  <c r="E10" i="2"/>
  <c r="D11" i="2"/>
  <c r="E11" i="2"/>
  <c r="D12" i="2"/>
  <c r="E12" i="2"/>
  <c r="D13" i="2"/>
  <c r="E13" i="2"/>
  <c r="D14" i="2"/>
  <c r="E14" i="2"/>
  <c r="D15" i="2"/>
  <c r="E15" i="2"/>
  <c r="D16" i="2"/>
  <c r="E16" i="2"/>
  <c r="D17" i="2"/>
  <c r="E17" i="2"/>
  <c r="D18" i="2"/>
  <c r="E18" i="2"/>
  <c r="E2" i="2"/>
  <c r="D2"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alcChain>
</file>

<file path=xl/sharedStrings.xml><?xml version="1.0" encoding="utf-8"?>
<sst xmlns="http://schemas.openxmlformats.org/spreadsheetml/2006/main" count="22518" uniqueCount="2433">
  <si>
    <t>Order Date</t>
  </si>
  <si>
    <t>Year</t>
  </si>
  <si>
    <t>Month</t>
  </si>
  <si>
    <t>Customer Name</t>
  </si>
  <si>
    <t>State</t>
  </si>
  <si>
    <t>Category</t>
  </si>
  <si>
    <t>Sub-Category</t>
  </si>
  <si>
    <t>Product Name</t>
  </si>
  <si>
    <t>Sales</t>
  </si>
  <si>
    <t>Quantity</t>
  </si>
  <si>
    <t>Profit</t>
  </si>
  <si>
    <t>Bradley Drucker</t>
  </si>
  <si>
    <t>Wisconsin</t>
  </si>
  <si>
    <t>Technology</t>
  </si>
  <si>
    <t>Accessories</t>
  </si>
  <si>
    <t>Enermax Aurora Lite Keyboard</t>
  </si>
  <si>
    <t>Dave Brooks</t>
  </si>
  <si>
    <t>Washington</t>
  </si>
  <si>
    <t>Furniture</t>
  </si>
  <si>
    <t>Chairs</t>
  </si>
  <si>
    <t>Global Deluxe High-Back Manager's Chair</t>
  </si>
  <si>
    <t>Hallie Redmond</t>
  </si>
  <si>
    <t>New York</t>
  </si>
  <si>
    <t>Phones</t>
  </si>
  <si>
    <t>Sannysis Cute Owl Design Soft Skin Case Cover for Samsung Galaxy S4</t>
  </si>
  <si>
    <t>Vicky Freymann</t>
  </si>
  <si>
    <t>Illinois</t>
  </si>
  <si>
    <t>Novimex Swivel Fabric Task Chair</t>
  </si>
  <si>
    <t>Office Supplies</t>
  </si>
  <si>
    <t>Paper</t>
  </si>
  <si>
    <t>Black Print Carbonless 8 1/2" x 8 1/4" Rapid Memo Book</t>
  </si>
  <si>
    <t>Shahid Collister</t>
  </si>
  <si>
    <t>Texas</t>
  </si>
  <si>
    <t>Fasteners</t>
  </si>
  <si>
    <t>Plymouth Boxed Rubber Bands by Plymouth</t>
  </si>
  <si>
    <t>Harbour Creations Steel Folding Chair</t>
  </si>
  <si>
    <t>Furnishings</t>
  </si>
  <si>
    <t>DAX Black Cherry Wood-Tone Poster Frame</t>
  </si>
  <si>
    <t>Storage</t>
  </si>
  <si>
    <t>Fellowes Bankers Box Recycled Super Stor/Drawer</t>
  </si>
  <si>
    <t>Giulietta Weimer</t>
  </si>
  <si>
    <t>Recycled Steel Personal File for Hanging File Folders</t>
  </si>
  <si>
    <t>Tables</t>
  </si>
  <si>
    <t>Bevis Round Conference Room Tables and Bases</t>
  </si>
  <si>
    <t>Kunst Miller</t>
  </si>
  <si>
    <t>California</t>
  </si>
  <si>
    <t>Labels</t>
  </si>
  <si>
    <t>Avery 490</t>
  </si>
  <si>
    <t>Binders</t>
  </si>
  <si>
    <t>Pressboard Data Binder, Crimson, 12" X 8 1/2"</t>
  </si>
  <si>
    <t>Katharine Harms</t>
  </si>
  <si>
    <t>Massachusetts</t>
  </si>
  <si>
    <t>Rogers Profile Extra Capacity Storage Tub</t>
  </si>
  <si>
    <t>Zipper Ring Binder Pockets</t>
  </si>
  <si>
    <t>Dianna Wilson</t>
  </si>
  <si>
    <t>Minnesota</t>
  </si>
  <si>
    <t>Safco Steel Mobile File Cart</t>
  </si>
  <si>
    <t>Adams Telephone Message Book w/Frequently-Called Numbers Space, 400 Messages per Book</t>
  </si>
  <si>
    <t>Appliances</t>
  </si>
  <si>
    <t>Honeywell Enviracaire Portable HEPA Air Cleaner for 17' x 22' Room</t>
  </si>
  <si>
    <t>Xerox 205</t>
  </si>
  <si>
    <t>Corey Roper</t>
  </si>
  <si>
    <t>New Jersey</t>
  </si>
  <si>
    <t>GBC Clear Cover, 8-1/2 x 11, unpunched, 25 covers per pack</t>
  </si>
  <si>
    <t>Art</t>
  </si>
  <si>
    <t>Boston Heavy-Duty Trimline Electric Pencil Sharpeners</t>
  </si>
  <si>
    <t>Liz Thompson</t>
  </si>
  <si>
    <t>Arkansas</t>
  </si>
  <si>
    <t>3M Hangers With Command Adhesive</t>
  </si>
  <si>
    <t>Adtran 1202752G1</t>
  </si>
  <si>
    <t>Quincy Jones</t>
  </si>
  <si>
    <t>Michigan</t>
  </si>
  <si>
    <t>Wilson Jones Heavy-Duty Casebound Ring Binders with Metal Hinges</t>
  </si>
  <si>
    <t>Acco 6 Outlet Guardian Premium Surge Suppressor</t>
  </si>
  <si>
    <t>Dorris liebe</t>
  </si>
  <si>
    <t>Cardinal Holdit Business Card Pockets</t>
  </si>
  <si>
    <t>Laurel Workman</t>
  </si>
  <si>
    <t>Florida</t>
  </si>
  <si>
    <t>Wilson SignalBoost 841262 DB PRO Amplifier Kit</t>
  </si>
  <si>
    <t>Avery Durable Binders</t>
  </si>
  <si>
    <t>Barbara Fisher</t>
  </si>
  <si>
    <t>North Carolina</t>
  </si>
  <si>
    <t>Self-Adhesive Address Labels for Typewriters by Universal</t>
  </si>
  <si>
    <t>9-3/4 Diameter Round Wall Clock</t>
  </si>
  <si>
    <t>Honeywell Quietcare HEPA Air Cleaner</t>
  </si>
  <si>
    <t>Xerox 1916</t>
  </si>
  <si>
    <t>Ivan Liston</t>
  </si>
  <si>
    <t>Wilson Jones data.warehouse D-Ring Binders with DublLock</t>
  </si>
  <si>
    <t>Ann Steele</t>
  </si>
  <si>
    <t>Pennsylvania</t>
  </si>
  <si>
    <t>Acco Clips to Go Binder Clips, 24 Clips in Two Sizes</t>
  </si>
  <si>
    <t>Larry Tron</t>
  </si>
  <si>
    <t>BOSTON Model 1800 Electric Pencil Sharpeners, Putty/Woodgrain</t>
  </si>
  <si>
    <t>Jack Lebron</t>
  </si>
  <si>
    <t>Prestige Round Ring Binders</t>
  </si>
  <si>
    <t>Xerox 216</t>
  </si>
  <si>
    <t>Lena Hernandez</t>
  </si>
  <si>
    <t>Wilson Jones Hanging Recycled Pressboard Data Binders</t>
  </si>
  <si>
    <t>WD My Passport Ultra 2TB Portable External Hard Drive</t>
  </si>
  <si>
    <t>Neil FranzÃ¶sisch</t>
  </si>
  <si>
    <t>Nevada</t>
  </si>
  <si>
    <t>Sterling Rubber Bands by Alliance</t>
  </si>
  <si>
    <t>Russell Applegate</t>
  </si>
  <si>
    <t>Colorado</t>
  </si>
  <si>
    <t>Model L Table or Wall-Mount Pencil Sharpener</t>
  </si>
  <si>
    <t>ClearOne CHATAttach 160 -Â speaker phone</t>
  </si>
  <si>
    <t>Natalie DeCherney</t>
  </si>
  <si>
    <t>Oregon</t>
  </si>
  <si>
    <t>Carina Mini System Audio Rack, Model AR050B</t>
  </si>
  <si>
    <t>Plantronics Voyager Pro HD - Bluetooth Headset</t>
  </si>
  <si>
    <t>Ken Heidel</t>
  </si>
  <si>
    <t>Staples</t>
  </si>
  <si>
    <t>Newell 320</t>
  </si>
  <si>
    <t>Avery 513</t>
  </si>
  <si>
    <t>Cisco IPÂ PhoneÂ 7961G VoIPÂ phoneÂ - Dark gray</t>
  </si>
  <si>
    <t>Suzanne McNair</t>
  </si>
  <si>
    <t>Southworth Parchment Paper &amp; Envelopes</t>
  </si>
  <si>
    <t>Jack O'Briant</t>
  </si>
  <si>
    <t>Kentucky</t>
  </si>
  <si>
    <t>Multi-Use Personal File Cart and Caster Set, Three Stacking Bins</t>
  </si>
  <si>
    <t>OIC #2 Pencils, Medium Soft</t>
  </si>
  <si>
    <t>Paul Lucas</t>
  </si>
  <si>
    <t>Avery 475</t>
  </si>
  <si>
    <t>Easy-staple paper</t>
  </si>
  <si>
    <t>Daniel Lacy</t>
  </si>
  <si>
    <t>Kensington 7 Outlet MasterPiece Power Center</t>
  </si>
  <si>
    <t>Xerox 1934</t>
  </si>
  <si>
    <t>Master Big Foot Doorstop, Beige</t>
  </si>
  <si>
    <t>Deirdre Greer</t>
  </si>
  <si>
    <t>Fellowes Superior 10 Outlet Split Surge Protector</t>
  </si>
  <si>
    <t>Erin Ashbrook</t>
  </si>
  <si>
    <t>Ohio</t>
  </si>
  <si>
    <t>Howard Miller 13" Diameter Pewter Finish Round Wall Clock</t>
  </si>
  <si>
    <t>Acco Economy Flexible Poly Round Ring Binder</t>
  </si>
  <si>
    <t>GBC Standard Therm-A-Bind Covers</t>
  </si>
  <si>
    <t>Resi PÃ¶lking</t>
  </si>
  <si>
    <t>Office Star - Professional Matrix Back Chair with 2-to-1 Synchro Tilt and Mesh Fabric Seat</t>
  </si>
  <si>
    <t>Hunt BOSTON Vista Battery-Operated Pencil Sharpener, Black</t>
  </si>
  <si>
    <t>Toby Ritter</t>
  </si>
  <si>
    <t>Floodlight Indoor Halogen Bulbs, 1 Bulb per Pack, 60 Watts</t>
  </si>
  <si>
    <t>Toby Braunhardt</t>
  </si>
  <si>
    <t>BlueLounge Milo Smartphone Stand, White/Metallic</t>
  </si>
  <si>
    <t>Joe Kamberova</t>
  </si>
  <si>
    <t>Copiers</t>
  </si>
  <si>
    <t>Sharp 1540cs Digital Laser Copier</t>
  </si>
  <si>
    <t>Master Caster Door Stop, Brown</t>
  </si>
  <si>
    <t>Xerox 214</t>
  </si>
  <si>
    <t>Hon Multipurpose Stacking Arm Chairs</t>
  </si>
  <si>
    <t>Matt Connell</t>
  </si>
  <si>
    <t>Hon 4070 Series Pagoda Round Back Stacking Chairs</t>
  </si>
  <si>
    <t>Anna Andreadi</t>
  </si>
  <si>
    <t>Linden 10" Round Wall Clock, Black</t>
  </si>
  <si>
    <t>Ultra Door Push Plate</t>
  </si>
  <si>
    <t>Cynthia Delaney</t>
  </si>
  <si>
    <t>Eric Barreto</t>
  </si>
  <si>
    <t>Surelock Post Binders</t>
  </si>
  <si>
    <t>AT&amp;T 17929 Lendline Telephone</t>
  </si>
  <si>
    <t>Kristina Nunn</t>
  </si>
  <si>
    <t>Envelopes</t>
  </si>
  <si>
    <t>Staple envelope</t>
  </si>
  <si>
    <t>Array Parchment Paper, Assorted Colors</t>
  </si>
  <si>
    <t>Nicole Hansen</t>
  </si>
  <si>
    <t>Xerox 1971</t>
  </si>
  <si>
    <t>Hypercom P1300 Pinpad</t>
  </si>
  <si>
    <t>Rob Dowd</t>
  </si>
  <si>
    <t>Georgia</t>
  </si>
  <si>
    <t>Xerox 1990</t>
  </si>
  <si>
    <t>Motorola Droid Maxx</t>
  </si>
  <si>
    <t>Euro-Pro Shark Turbo Vacuum</t>
  </si>
  <si>
    <t>Sam Craven</t>
  </si>
  <si>
    <t>Xerox 1898</t>
  </si>
  <si>
    <t>Xerox 1947</t>
  </si>
  <si>
    <t>Anna HÃ¤berlin</t>
  </si>
  <si>
    <t>Virginia</t>
  </si>
  <si>
    <t>Luxo Adjustable Task Clamp Lamp</t>
  </si>
  <si>
    <t>Andrew Roberts</t>
  </si>
  <si>
    <t>Belkin 6 Outlet Metallic Surge Strip</t>
  </si>
  <si>
    <t>Cari Schnelling</t>
  </si>
  <si>
    <t>Brother DCP1000 Digital 3 in 1 Multifunction Machine</t>
  </si>
  <si>
    <t>Christine Kargatis</t>
  </si>
  <si>
    <t>Utah</t>
  </si>
  <si>
    <t>Aluminum Document Frame</t>
  </si>
  <si>
    <t>Stewart Visinsky</t>
  </si>
  <si>
    <t>Sanford Colorific Scented Colored Pencils, 12/Pack</t>
  </si>
  <si>
    <t>Mophie Juice Pack Helium for iPhone</t>
  </si>
  <si>
    <t>Hot File 7-Pocket, Floor Stand</t>
  </si>
  <si>
    <t>Eric Hoffmann</t>
  </si>
  <si>
    <t>Logitech B530 USBÂ HeadsetÂ -Â headsetÂ - Full size, Binaural</t>
  </si>
  <si>
    <t>DIXON Ticonderoga Erasable Checking Pencils</t>
  </si>
  <si>
    <t>Nick Zandusky</t>
  </si>
  <si>
    <t>Missouri</t>
  </si>
  <si>
    <t>Wilson Jones 14 Line Acrylic Coated Pressboard Data Binders</t>
  </si>
  <si>
    <t>Memorex Micro Travel Drive 4 GB</t>
  </si>
  <si>
    <t>Smead Adjustable Mobile File Trolley with Lockable Top</t>
  </si>
  <si>
    <t>Justin MacKendrick</t>
  </si>
  <si>
    <t>Holmes Cool Mist Humidifier for the Whole House with 8-Gallon Output per Day, Extended Life Filter</t>
  </si>
  <si>
    <t>Tenex Carpeted, Granite-Look or Clear Contemporary Contour Shape Chair Mats</t>
  </si>
  <si>
    <t>Clay Ludtke</t>
  </si>
  <si>
    <t>SANFORD Major Accent Highlighters</t>
  </si>
  <si>
    <t>Katherine Ducich</t>
  </si>
  <si>
    <t>Newell 324</t>
  </si>
  <si>
    <t>Christina VanderZanden</t>
  </si>
  <si>
    <t>Logitech Wireless Performance Mouse MX for PC and Mac</t>
  </si>
  <si>
    <t>Andy Gerbode</t>
  </si>
  <si>
    <t>Machines</t>
  </si>
  <si>
    <t>Epson TM-T88V Direct Thermal Printer - Monochrome - Desktop</t>
  </si>
  <si>
    <t>Sanjit Chand</t>
  </si>
  <si>
    <t>GBC DocuBind TL300 Electric Binding System</t>
  </si>
  <si>
    <t>Bryan Mills</t>
  </si>
  <si>
    <t>LogitechÂ Gaming G510s - Keyboard</t>
  </si>
  <si>
    <t>Erin Smith</t>
  </si>
  <si>
    <t>Arizona</t>
  </si>
  <si>
    <t>Adams Telephone Message Book W/Dividers/Space For Phone Numbers, 5 1/4"X8 1/2", 300/Messages</t>
  </si>
  <si>
    <t>Bose SoundLink Bluetooth Speaker</t>
  </si>
  <si>
    <t>Letter or Legal Size Expandable Poly String Tie Envelopes</t>
  </si>
  <si>
    <t>Supplies</t>
  </si>
  <si>
    <t>Stiletto Hand Letter Openers</t>
  </si>
  <si>
    <t>Pyle PMP37LED</t>
  </si>
  <si>
    <t>Kingston Digital DataTraveler 16GB USB 2.0</t>
  </si>
  <si>
    <t>Roger Demir</t>
  </si>
  <si>
    <t>Avery 499</t>
  </si>
  <si>
    <t>Tensor Computer Mounted Lamp</t>
  </si>
  <si>
    <t>Patrick O'Brill</t>
  </si>
  <si>
    <t>Liz Carlisle</t>
  </si>
  <si>
    <t>Polycom CX300 Desktop Phone USB VoIP phone</t>
  </si>
  <si>
    <t>I Need's 3d Hello Kitty Hybrid Silicone Case Cover for HTC One X 4g with 3d Hello Kitty Stylus Pen Green/pink</t>
  </si>
  <si>
    <t>Acco D-Ring Binder w/DublLock</t>
  </si>
  <si>
    <t>Julie Kriz</t>
  </si>
  <si>
    <t>Razer Kraken 7.1 Surround Sound Over Ear USB Gaming Headset</t>
  </si>
  <si>
    <t>Shahid Hopkins</t>
  </si>
  <si>
    <t>AT&amp;T CL82213</t>
  </si>
  <si>
    <t>Adjustable Depth Letter/Legal Cart</t>
  </si>
  <si>
    <t>Steven Ward</t>
  </si>
  <si>
    <t>Maxell 74 Minute CD-R Spindle, 50/Pack</t>
  </si>
  <si>
    <t>Samsung Rugby III</t>
  </si>
  <si>
    <t>David Philippe</t>
  </si>
  <si>
    <t>Logitech 910-002974 M325 Wireless Mouse for Web Scrolling</t>
  </si>
  <si>
    <t>Bookcases</t>
  </si>
  <si>
    <t>O'Sullivan Living Dimensions 5-Shelf Bookcases</t>
  </si>
  <si>
    <t>Angle-D Binders with Locking Rings, Label Holders</t>
  </si>
  <si>
    <t>Michael Dominguez</t>
  </si>
  <si>
    <t>Deflect-o SuperTray Unbreakable Stackable Tray, Letter, Black</t>
  </si>
  <si>
    <t>Newell 343</t>
  </si>
  <si>
    <t>12-1/2 Diameter Round Wall Clock</t>
  </si>
  <si>
    <t>Katherine Nockton</t>
  </si>
  <si>
    <t>ImationÂ 32GB Pocket Pro USB 3.0Â Flash DriveÂ - 32 GB - Black - 1 P ...</t>
  </si>
  <si>
    <t>Matt Collins</t>
  </si>
  <si>
    <t>Staple holder</t>
  </si>
  <si>
    <t>Odella Nelson</t>
  </si>
  <si>
    <t>Maryland</t>
  </si>
  <si>
    <t>DAX Metal Frame, Desktop, Stepped-Edge</t>
  </si>
  <si>
    <t>Xerox 1942</t>
  </si>
  <si>
    <t>Global Stack Chair with Arms, Black</t>
  </si>
  <si>
    <t>Avery 509</t>
  </si>
  <si>
    <t>Elizabeth Moffitt</t>
  </si>
  <si>
    <t>Kingston Digital DataTraveler 8GB USB 2.0</t>
  </si>
  <si>
    <t>RSVP Cards &amp; Envelopes, Blank White, 8-1/2" X 11", 24 Cards/25 Envelopes/Set</t>
  </si>
  <si>
    <t>Darren Powers</t>
  </si>
  <si>
    <t>Message Book, Wirebound, Four 5 1/2" X 4" Forms/Pg., 200 Dupl. Sets/Book</t>
  </si>
  <si>
    <t>Tom Boeckenhauer</t>
  </si>
  <si>
    <t>Ibico Laser Imprintable Binding System Covers</t>
  </si>
  <si>
    <t>Avery Durable Poly Binders</t>
  </si>
  <si>
    <t>Ashley Jarboe</t>
  </si>
  <si>
    <t>Zebra Zazzle Fluorescent Highlighters</t>
  </si>
  <si>
    <t>Anne Pryor</t>
  </si>
  <si>
    <t>PowerGen Dual USB Car Charger</t>
  </si>
  <si>
    <t>Cardinal HOLDit! Binder Insert Strips,Extra Strips</t>
  </si>
  <si>
    <t>Jill Stevenson</t>
  </si>
  <si>
    <t>Avery 495</t>
  </si>
  <si>
    <t>O'Sullivan 4-Shelf Bookcase in Odessa Pine</t>
  </si>
  <si>
    <t>Eldon Shelf Savers Cubes and Bins</t>
  </si>
  <si>
    <t>3.6 Cubic Foot Counter Height Office Refrigerator</t>
  </si>
  <si>
    <t>Eva Jacobs</t>
  </si>
  <si>
    <t>Bevis Oval Conference Table, Walnut</t>
  </si>
  <si>
    <t>Katrina Edelman</t>
  </si>
  <si>
    <t>Enermax Briskie RF Wireless Keyboard and Mouse Combo</t>
  </si>
  <si>
    <t>Logitech G600 MMO Gaming Mouse</t>
  </si>
  <si>
    <t>Joni Sundaresam</t>
  </si>
  <si>
    <t>Avery 481</t>
  </si>
  <si>
    <t>Nathan Cano</t>
  </si>
  <si>
    <t>GBC Poly Designer Binding Covers</t>
  </si>
  <si>
    <t>Avery Durable Plastic 1" Binders</t>
  </si>
  <si>
    <t>Steven Cartwright</t>
  </si>
  <si>
    <t>KI Adjustable-Height Table</t>
  </si>
  <si>
    <t>Ross Baird</t>
  </si>
  <si>
    <t>Security-Tint Envelopes</t>
  </si>
  <si>
    <t>Richard Eichhorn</t>
  </si>
  <si>
    <t>Contract Clock, 14", Brown</t>
  </si>
  <si>
    <t>Recycled Steel Personal File for Standard File Folders</t>
  </si>
  <si>
    <t>Bruce Stewart</t>
  </si>
  <si>
    <t>BoxOffice By Design Rectangular and Half-Moon Meeting Room Tables</t>
  </si>
  <si>
    <t>Bravo II Megaboss 12-Amp Hard Body Upright, Replacement Belts, 2 Belts per Pack</t>
  </si>
  <si>
    <t>Berenike Kampe</t>
  </si>
  <si>
    <t>Xerox 1884</t>
  </si>
  <si>
    <t>Acme Box Cutter Scissors</t>
  </si>
  <si>
    <t>Staple magnet</t>
  </si>
  <si>
    <t>Gary Hansen</t>
  </si>
  <si>
    <t>White Computer Printout Paper by Universal</t>
  </si>
  <si>
    <t>Allen Goldenen</t>
  </si>
  <si>
    <t>Avery 514</t>
  </si>
  <si>
    <t>Mathew Reese</t>
  </si>
  <si>
    <t>GBC VeloBinder Strips</t>
  </si>
  <si>
    <t>Beth Paige</t>
  </si>
  <si>
    <t>Global High-Back Leather Tilter, Burgundy</t>
  </si>
  <si>
    <t>Allen Rosenblatt</t>
  </si>
  <si>
    <t>Global Deluxe Stacking Chair, Gray</t>
  </si>
  <si>
    <t>Sara Luxemburg</t>
  </si>
  <si>
    <t>Advantus Rolling Drawer Organizers</t>
  </si>
  <si>
    <t>DIXON Oriole Pencils</t>
  </si>
  <si>
    <t>Denny Ordway</t>
  </si>
  <si>
    <t>Hunt Boston Vacuum Mount KS Pencil Sharpener</t>
  </si>
  <si>
    <t>Convenience Packs of Business Envelopes</t>
  </si>
  <si>
    <t>Logitech G105 Gaming Keyboard</t>
  </si>
  <si>
    <t>Russell D'Ascenzo</t>
  </si>
  <si>
    <t>Colored Push Pins</t>
  </si>
  <si>
    <t>DAX Natural Wood-Tone Poster Frame</t>
  </si>
  <si>
    <t>Smead Alpha-Z Color-Coded Second Alphabetical Labels and Starter Set</t>
  </si>
  <si>
    <t>Avery Hidden Tab Dividers for Binding Systems</t>
  </si>
  <si>
    <t>Maxwell Schwartz</t>
  </si>
  <si>
    <t>Compact Automatic Electric Letter Opener</t>
  </si>
  <si>
    <t>Speros Goranitis</t>
  </si>
  <si>
    <t>Panasonic KX-TG9471B</t>
  </si>
  <si>
    <t>Acco Pressboard Covers with Storage Hooks, 14 7/8" x 11", Light Blue</t>
  </si>
  <si>
    <t>Connecticut</t>
  </si>
  <si>
    <t>Acme Kleen Earth Office Shears</t>
  </si>
  <si>
    <t>Annie Thurman</t>
  </si>
  <si>
    <t>Tennessee</t>
  </si>
  <si>
    <t>Ampad Evidence Wirebond Steno Books, 6" x 9"</t>
  </si>
  <si>
    <t>Acco Perma 4000 Stacking Storage Drawers</t>
  </si>
  <si>
    <t>Hon Racetrack Conference Tables</t>
  </si>
  <si>
    <t>Avery Self-Adhesive Photo Pockets for Polaroid Photos</t>
  </si>
  <si>
    <t>Tenex Antistatic Computer Chair Mats</t>
  </si>
  <si>
    <t>Denise Monton</t>
  </si>
  <si>
    <t>Stephanie Phelps</t>
  </si>
  <si>
    <t>Nebraska</t>
  </si>
  <si>
    <t>Belkin F8E887 USB Wired Ergonomic Keyboard</t>
  </si>
  <si>
    <t>Tracy Collins</t>
  </si>
  <si>
    <t>Prang Dustless Chalk Sticks</t>
  </si>
  <si>
    <t>Nathan Gelder</t>
  </si>
  <si>
    <t>Oklahoma</t>
  </si>
  <si>
    <t>Jabra Supreme Plus Driver EditionÂ Headset</t>
  </si>
  <si>
    <t>Matthew Clasen</t>
  </si>
  <si>
    <t>Phillina Ober</t>
  </si>
  <si>
    <t>Avery 508</t>
  </si>
  <si>
    <t>SAFCO Boltless Steel Shelving</t>
  </si>
  <si>
    <t>GBC Standard Plastic Binding Systems Combs</t>
  </si>
  <si>
    <t>Deborah Brumfield</t>
  </si>
  <si>
    <t>GBC Recycled Grain Textured Covers</t>
  </si>
  <si>
    <t>Message Book, Standard Line "While You Were Out", 5 1/2" X 4", 200 Sets/Book</t>
  </si>
  <si>
    <t>Mark Haberlin</t>
  </si>
  <si>
    <t>GBC Standard Recycled Report Covers, Clear Plastic Sheets</t>
  </si>
  <si>
    <t>South Carolina</t>
  </si>
  <si>
    <t>Sensible Storage WireTech Storage Systems</t>
  </si>
  <si>
    <t>BIC Brite Liner Highlighters, Chisel Tip</t>
  </si>
  <si>
    <t>Paul Knutson</t>
  </si>
  <si>
    <t>Avery 518</t>
  </si>
  <si>
    <t>Maurice Satty</t>
  </si>
  <si>
    <t>Advantus Panel Wall Acrylic Frame</t>
  </si>
  <si>
    <t>Newell 319</t>
  </si>
  <si>
    <t>Mary Zewe</t>
  </si>
  <si>
    <t>Avery Non-Stick Binders</t>
  </si>
  <si>
    <t>Ken Black</t>
  </si>
  <si>
    <t>Louisiana</t>
  </si>
  <si>
    <t>Safco Commercial Shelving</t>
  </si>
  <si>
    <t>Logitech Wireless Marathon Mouse M705</t>
  </si>
  <si>
    <t>Xerox 209</t>
  </si>
  <si>
    <t>Xerox 1966</t>
  </si>
  <si>
    <t>Paul MacIntyre</t>
  </si>
  <si>
    <t>Fellowes Binding Cases</t>
  </si>
  <si>
    <t>Andrew Allen</t>
  </si>
  <si>
    <t>DAX Wood Document Frame</t>
  </si>
  <si>
    <t>Nat Carroll</t>
  </si>
  <si>
    <t>Boston Home &amp; Office Model 2000 Electric Pencil Sharpeners</t>
  </si>
  <si>
    <t>OIC Thumb-Tacks</t>
  </si>
  <si>
    <t>Bill Shonely</t>
  </si>
  <si>
    <t>Eldon Regeneration Recycled Desk Accessories, Smoke</t>
  </si>
  <si>
    <t>Holmes Odor Grabber</t>
  </si>
  <si>
    <t>Mark Packer</t>
  </si>
  <si>
    <t>Bobby Trafton</t>
  </si>
  <si>
    <t>Seth Thomas 14" Day/Date Wall Clock</t>
  </si>
  <si>
    <t>Commercial WindTunnel Clean Air Upright Vacuum, Replacement Belts, Filtration Bags</t>
  </si>
  <si>
    <t>G.E. Halogen Desk Lamp Bulbs</t>
  </si>
  <si>
    <t>Xerox 194</t>
  </si>
  <si>
    <t>Fellowes Mighty 8 Compact Surge Protector</t>
  </si>
  <si>
    <t>Southworth Structures Collection</t>
  </si>
  <si>
    <t>Valerie Dominguez</t>
  </si>
  <si>
    <t>Hoover WindTunnel Plus Canister Vacuum</t>
  </si>
  <si>
    <t>Newell 329</t>
  </si>
  <si>
    <t>Panasonic KX T7731-B Digital phone</t>
  </si>
  <si>
    <t>Safco Wire Cube Shelving System, For Use as 4 or 5 14" Cubes, Black</t>
  </si>
  <si>
    <t>Ibico Standard Transparent Covers</t>
  </si>
  <si>
    <t>Marina Lichtenstein</t>
  </si>
  <si>
    <t>Maine</t>
  </si>
  <si>
    <t>Eureka The Boss Cordless Rechargeable Stick Vac</t>
  </si>
  <si>
    <t>Southworth 25% Cotton Premium Laser Paper and Envelopes</t>
  </si>
  <si>
    <t>Maxell 4.7GB DVD-R</t>
  </si>
  <si>
    <t>David Flashing</t>
  </si>
  <si>
    <t>Avery 512</t>
  </si>
  <si>
    <t>GBC Recycled Regency Composition Covers</t>
  </si>
  <si>
    <t>Joy Daniels</t>
  </si>
  <si>
    <t>Avery 519</t>
  </si>
  <si>
    <t>Chris Cortes</t>
  </si>
  <si>
    <t>Office Star - Contemporary Task Swivel chair with Loop Arms, Charcoal</t>
  </si>
  <si>
    <t>Nathan Mautz</t>
  </si>
  <si>
    <t>DMI Arturo Collection Mission-style Design Wood Chair</t>
  </si>
  <si>
    <t>Canon imageCLASS MF7460 Monochrome Digital Laser Multifunction Copier</t>
  </si>
  <si>
    <t>Panasonic Kx-TS550</t>
  </si>
  <si>
    <t>NETGEAR N750 Dual Band Wi-Fi Gigabit Router</t>
  </si>
  <si>
    <t>Trav-L-File Heavy-Duty Shuttle II, Black</t>
  </si>
  <si>
    <t>OIC Bulk Pack Metal Binder Clips</t>
  </si>
  <si>
    <t>MaryBeth Skach</t>
  </si>
  <si>
    <t>Executive Impressions 12" Wall Clock</t>
  </si>
  <si>
    <t>William Brown</t>
  </si>
  <si>
    <t>Polycom SoundPoint Pro SE-225 Corded phone</t>
  </si>
  <si>
    <t>Bevis Round Conference Table Top, X-Base</t>
  </si>
  <si>
    <t>Cardinal EasyOpen D-Ring Binders</t>
  </si>
  <si>
    <t>Xerox 2000</t>
  </si>
  <si>
    <t>Hewlett-Packard Deskjet D4360 Printer</t>
  </si>
  <si>
    <t>Sam Zeldin</t>
  </si>
  <si>
    <t>Acco Flexible ACCOHIDE Square Ring Data Binder, Dark Blue, 11 1/2" X 14" 7/8"</t>
  </si>
  <si>
    <t>Tiffany House</t>
  </si>
  <si>
    <t>Cathy Prescott</t>
  </si>
  <si>
    <t>Mick Brown</t>
  </si>
  <si>
    <t>Avery Hi-Liter EverBold Pen Style Fluorescent Highlighters, 4/Pack</t>
  </si>
  <si>
    <t>Aimee Bixby</t>
  </si>
  <si>
    <t>Newell 345</t>
  </si>
  <si>
    <t>Logitech Wireless Gaming Headset G930</t>
  </si>
  <si>
    <t>Acme Forged Steel Scissors with Black Enamel Handles</t>
  </si>
  <si>
    <t>GBC Wire Binding Combs</t>
  </si>
  <si>
    <t>Xerox 1891</t>
  </si>
  <si>
    <t>Tracy Hopkins</t>
  </si>
  <si>
    <t>Eaton Premium Continuous-Feed Paper, 25% Cotton, Letter Size, White, 1000 Shts/Box</t>
  </si>
  <si>
    <t>Greg Maxwell</t>
  </si>
  <si>
    <t>Crayola Colored Pencils</t>
  </si>
  <si>
    <t>Xerox 1957</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</si>
  <si>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</si>
  <si>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</si>
  <si>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</si>
  <si>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</si>
  <si>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</si>
  <si>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</si>
  <si>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</si>
  <si>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</si>
  <si>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Binney &amp; Smith Crayola Metallic Colored Pencils, 8-Color Set</t>
  </si>
  <si>
    <t>Space Solutions HD Industrial Steel Shelving.</t>
  </si>
  <si>
    <t>Roy Phan</t>
  </si>
  <si>
    <t>Peter Fuller</t>
  </si>
  <si>
    <t>Adams "While You Were Out" Message Pads</t>
  </si>
  <si>
    <t>Newell 350</t>
  </si>
  <si>
    <t>Xerox 1933</t>
  </si>
  <si>
    <t>Emily Burns</t>
  </si>
  <si>
    <t>Global Value Mid-Back Manager's Chair, Gray</t>
  </si>
  <si>
    <t>Eldon Portable Mobile Manager</t>
  </si>
  <si>
    <t>Giulietta Dortch</t>
  </si>
  <si>
    <t>Storex Dura Pro Binders</t>
  </si>
  <si>
    <t>Michael Chen</t>
  </si>
  <si>
    <t>Mississippi</t>
  </si>
  <si>
    <t>NETGEAR AC1750 Dual Band GigabitÂ Smart WiFi Router</t>
  </si>
  <si>
    <t>Avery 516</t>
  </si>
  <si>
    <t>Xerox 1995</t>
  </si>
  <si>
    <t>Dan Campbell</t>
  </si>
  <si>
    <t>Gould Plastics 18-Pocket Panel Bin, 34w x 5-1/4d x 20-1/2h</t>
  </si>
  <si>
    <t>Fellowes Bankers Box Stor/Drawer Steel Plus</t>
  </si>
  <si>
    <t>Dennis Pardue</t>
  </si>
  <si>
    <t>Vinyl Sectional Post Binders</t>
  </si>
  <si>
    <t>David Wiener</t>
  </si>
  <si>
    <t>Newell 322</t>
  </si>
  <si>
    <t>Don Miller</t>
  </si>
  <si>
    <t>Advantus Panel Wall Certificate Holder - 8.5x11</t>
  </si>
  <si>
    <t>Wilson Jones Four-Pocket Poly Binders</t>
  </si>
  <si>
    <t>Chad Sievert</t>
  </si>
  <si>
    <t>Adams Phone Message Book, Professional, 400 Message Capacity, 5 3/6Â” x 11Â”</t>
  </si>
  <si>
    <t>Xerox 1913</t>
  </si>
  <si>
    <t>Global Value Steno Chair, Gray</t>
  </si>
  <si>
    <t>Sonia Sunley</t>
  </si>
  <si>
    <t>Logitech Desktop MK120 Mouse and keyboard Combo</t>
  </si>
  <si>
    <t>Akro Stacking Bins</t>
  </si>
  <si>
    <t>Boston KS Multi-Size Manual Pencil Sharpener</t>
  </si>
  <si>
    <t>Ricardo Sperren</t>
  </si>
  <si>
    <t>Fellowes Advanced Computer Series Surge Protectors</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</si>
  <si>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</si>
  <si>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</si>
  <si>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</si>
  <si>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</si>
  <si>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</si>
  <si>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Nora Preis</t>
  </si>
  <si>
    <t>Economy Rollaway Files</t>
  </si>
  <si>
    <t>Patrick Ryan</t>
  </si>
  <si>
    <t>Telescoping Adjustable Floor Lamp</t>
  </si>
  <si>
    <t>Brian Derr</t>
  </si>
  <si>
    <t>Belkin F5C206VTEL 6 Outlet Surge</t>
  </si>
  <si>
    <t>Keith Herrera</t>
  </si>
  <si>
    <t>Plantronics Audio 478 Stereo USB Headset</t>
  </si>
  <si>
    <t>Deanra Eno</t>
  </si>
  <si>
    <t>OIC Stacking Trays</t>
  </si>
  <si>
    <t>Steven Roelle</t>
  </si>
  <si>
    <t>Maxell 4.7GB DVD-RW 3/Pack</t>
  </si>
  <si>
    <t>Maribeth Dona</t>
  </si>
  <si>
    <t>Wilson Jones Legal Size Ring Binders</t>
  </si>
  <si>
    <t>Tennsco Double-Tier Lockers</t>
  </si>
  <si>
    <t>Sony 16GB Class 10 Micro SDHC R40 Memory Card</t>
  </si>
  <si>
    <t>Memorex Micro Travel Drive 32 GB</t>
  </si>
  <si>
    <t>Barry Gonzalez</t>
  </si>
  <si>
    <t>Brendan Sweed</t>
  </si>
  <si>
    <t>Hunt BOSTON Model 1606 High-Volume Electric Pencil Sharpener, Beige</t>
  </si>
  <si>
    <t>netTALK DUO VoIP Telephone Service</t>
  </si>
  <si>
    <t>David Kendrick</t>
  </si>
  <si>
    <t>ImationÂ Secure+ Hardware Encrypted USB 2.0Â Flash Drive; 16GB</t>
  </si>
  <si>
    <t>Roy Collins</t>
  </si>
  <si>
    <t>Recycled Eldon Regeneration Jumbo File</t>
  </si>
  <si>
    <t>Nona Balk</t>
  </si>
  <si>
    <t>Cameo Buff Policy Envelopes</t>
  </si>
  <si>
    <t>Xerox 1893</t>
  </si>
  <si>
    <t>Large Capacity Hanging Post Binders</t>
  </si>
  <si>
    <t>Lunatik TT5L-002 Taktik Strike Impact Protection System for iPhone 5</t>
  </si>
  <si>
    <t>Panasonic KX T7736-B Digital phone</t>
  </si>
  <si>
    <t>Rob Lucas</t>
  </si>
  <si>
    <t>Prang Colored Pencils</t>
  </si>
  <si>
    <t>Advantus Plastic Paper Clips</t>
  </si>
  <si>
    <t>Joni Blumstein</t>
  </si>
  <si>
    <t>Fellowes 8 Outlet Superior Workstation Surge Protector</t>
  </si>
  <si>
    <t>Lycoris Saunders</t>
  </si>
  <si>
    <t>Xerox 225</t>
  </si>
  <si>
    <t>Dixon Prang Watercolor Pencils, 10-Color Set with Brush</t>
  </si>
  <si>
    <t>Maria Etezadi</t>
  </si>
  <si>
    <t>Ibico Hi-Tech Manual Binding System</t>
  </si>
  <si>
    <t>Rogers Handheld Barrel Pencil Sharpener</t>
  </si>
  <si>
    <t>GE 30524EE4</t>
  </si>
  <si>
    <t>Wireless Extenders zBoost YX545 SOHO Signal Booster</t>
  </si>
  <si>
    <t>Alliance Super-Size Bands, Assorted Sizes</t>
  </si>
  <si>
    <t>Southworth 25% Cotton Granite Paper &amp; Envelopes</t>
  </si>
  <si>
    <t>Neil Ducich</t>
  </si>
  <si>
    <t>Avery 480</t>
  </si>
  <si>
    <t>Aastra 57i VoIP phone</t>
  </si>
  <si>
    <t>Delfina Latchford</t>
  </si>
  <si>
    <t>Avery Flip-Chart Easel Binder, Black</t>
  </si>
  <si>
    <t>Guy Phonely</t>
  </si>
  <si>
    <t>Shirley Daniels</t>
  </si>
  <si>
    <t>Martin-Yale Premier Letter Opener</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</si>
  <si>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</si>
  <si>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</si>
  <si>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</si>
  <si>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</si>
  <si>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</si>
  <si>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</si>
  <si>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</si>
  <si>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Frank Hawley</t>
  </si>
  <si>
    <t>Avery Trapezoid Ring Binder, 3" Capacity, Black, 1040 sheets</t>
  </si>
  <si>
    <t>Harold Pawlan</t>
  </si>
  <si>
    <t>Steve Nguyen</t>
  </si>
  <si>
    <t>Staple-on labels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</si>
  <si>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</si>
  <si>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</si>
  <si>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</si>
  <si>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</si>
  <si>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</si>
  <si>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</si>
  <si>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</si>
  <si>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</si>
  <si>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Round Specialty Laser Printer Labels</t>
  </si>
  <si>
    <t>Presstex Flexible Ring Binders</t>
  </si>
  <si>
    <t>Xerox 1944</t>
  </si>
  <si>
    <t>Emily Phan</t>
  </si>
  <si>
    <t>Canon Imageclass D680 Copier / Fax</t>
  </si>
  <si>
    <t>Becky Castell</t>
  </si>
  <si>
    <t>Global Comet Stacking Armless Chair</t>
  </si>
  <si>
    <t>Roland Fjeld</t>
  </si>
  <si>
    <t>Trudy Brown</t>
  </si>
  <si>
    <t>Logitech G700s Rechargeable Gaming Mouse</t>
  </si>
  <si>
    <t>Victoria Pisteka</t>
  </si>
  <si>
    <t>Eldon Expressions Wood and Plastic Desk Accessories, Cherry Wood</t>
  </si>
  <si>
    <t>Xylona Preis</t>
  </si>
  <si>
    <t>ImationÂ USB 2.0 SwivelÂ Flash DriveÂ USBÂ flash driveÂ - 4 GB - Pink</t>
  </si>
  <si>
    <t>Alice McCarthy</t>
  </si>
  <si>
    <t>Tennsco Lockers, Gray</t>
  </si>
  <si>
    <t>Indiana</t>
  </si>
  <si>
    <t>Fellowes Staxonsteel Drawer Files</t>
  </si>
  <si>
    <t>George Ashbrook</t>
  </si>
  <si>
    <t>Luke Foster</t>
  </si>
  <si>
    <t>Ryan Crowe</t>
  </si>
  <si>
    <t>File Shuttle I and Handi-File</t>
  </si>
  <si>
    <t>Bionaire 99.97% HEPA Air Cleaner</t>
  </si>
  <si>
    <t>Shocksock Galaxy S4 Armband</t>
  </si>
  <si>
    <t>Nu-Dell Float Frame 11 x 14 1/2</t>
  </si>
  <si>
    <t>Ibico Covers for Plastic or Wire Binding Elements</t>
  </si>
  <si>
    <t>Rogers Deluxe File Chest</t>
  </si>
  <si>
    <t>Roland Schwarz</t>
  </si>
  <si>
    <t>Standard Rollaway File with Lock</t>
  </si>
  <si>
    <t>Xerox 1909</t>
  </si>
  <si>
    <t>Vivek Sundaresam</t>
  </si>
  <si>
    <t>Howard Miller 14-1/2" Diameter Chrome Round Wall Clock</t>
  </si>
  <si>
    <t>Acco Four Pocket Poly Ring Binder with Label Holder, Smoke, 1"</t>
  </si>
  <si>
    <t>Cyma Kinney</t>
  </si>
  <si>
    <t>Maxell DVD-RAM Discs</t>
  </si>
  <si>
    <t>Chris Selesnick</t>
  </si>
  <si>
    <t>Aaron Bergman</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</si>
  <si>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</si>
  <si>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</si>
  <si>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</si>
  <si>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</si>
  <si>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</si>
  <si>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</si>
  <si>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</si>
  <si>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</si>
  <si>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</si>
  <si>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</si>
  <si>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Pauline Johnson</t>
  </si>
  <si>
    <t>Alabama</t>
  </si>
  <si>
    <t>Stacking Tray, Side-Loading, Legal, Smoke</t>
  </si>
  <si>
    <t>AT&amp;T TR1909W</t>
  </si>
  <si>
    <t>Xerox 1945</t>
  </si>
  <si>
    <t>Valerie Mitchum</t>
  </si>
  <si>
    <t>Xerox 226</t>
  </si>
  <si>
    <t>RCA Visys Integrated PBX 8-Line Router</t>
  </si>
  <si>
    <t>Carol Triggs</t>
  </si>
  <si>
    <t>Acco PRESSTEX Data Binder with Storage Hooks, Dark Blue, 14 7/8" X 11"</t>
  </si>
  <si>
    <t>Balt Split Level Computer Training Table</t>
  </si>
  <si>
    <t>Newell 335</t>
  </si>
  <si>
    <t>Lifetime Advantage Folding Chairs, 4/Carton</t>
  </si>
  <si>
    <t>Bart Pistole</t>
  </si>
  <si>
    <t>Nick Radford</t>
  </si>
  <si>
    <t>John Lee</t>
  </si>
  <si>
    <t>Howard Miller 11-1/2" Diameter Grantwood Wall Clock</t>
  </si>
  <si>
    <t>Sean Braxton</t>
  </si>
  <si>
    <t>invisibleSHIELD by ZAGG Smudge-Free Screen Protector</t>
  </si>
  <si>
    <t>StarTech.com 10/100 VDSL2 Ethernet Extender Kit</t>
  </si>
  <si>
    <t>Executive Impressions 13" Clairmont Wall Clock</t>
  </si>
  <si>
    <t>GBC Laser Imprintable Binding System Covers, Desert Sand</t>
  </si>
  <si>
    <t>3M Polarizing Task Lamp with Clamp Arm, Light Gray</t>
  </si>
  <si>
    <t>Plantronics CordlessÂ Phone HeadsetÂ with In-line Volume - M214C</t>
  </si>
  <si>
    <t>Dennis Kane</t>
  </si>
  <si>
    <t>AT&amp;T EL51110 DECT</t>
  </si>
  <si>
    <t>Panasonic KX TS3282B Corded phone</t>
  </si>
  <si>
    <t>Riverside Furniture Oval Coffee Table, Oval End Table, End Table with Drawer</t>
  </si>
  <si>
    <t>Belkin Standard 104 key USB Keyboard</t>
  </si>
  <si>
    <t>Dixon Ticonderoga Core-Lock Colored Pencils</t>
  </si>
  <si>
    <t>Rick Bensley</t>
  </si>
  <si>
    <t>Avery Recycled Flexi-View Covers for Binding Systems</t>
  </si>
  <si>
    <t>Padded Folding Chairs, Black, 4/Carton</t>
  </si>
  <si>
    <t>Akro-Mils 12-Gallon Tote</t>
  </si>
  <si>
    <t>Lisa Ryan</t>
  </si>
  <si>
    <t>Acme Design Line 8" Stainless Steel Bent Scissors w/Champagne Handles, 3-1/8" Cut</t>
  </si>
  <si>
    <t>Avery Legal 4-Ring Binder</t>
  </si>
  <si>
    <t>Shahid Shariari</t>
  </si>
  <si>
    <t>Acco Hot Clips Clips to Go</t>
  </si>
  <si>
    <t>Avery Heavy-Duty EZD View Binder with Locking Rings</t>
  </si>
  <si>
    <t>Seth Thomas 16" Steel Case Clock</t>
  </si>
  <si>
    <t>Fellowes Personal Hanging Folder Files, Navy</t>
  </si>
  <si>
    <t>Tamara Chand</t>
  </si>
  <si>
    <t>Satellite Sectional Post Binders</t>
  </si>
  <si>
    <t>Hon Deluxe Fabric Upholstered Stacking Chairs, Squared Back</t>
  </si>
  <si>
    <t>Avery Triangle Shaped Sheet Lifters, Black, 2/Pack</t>
  </si>
  <si>
    <t>Acme Stainless Steel Office Snips</t>
  </si>
  <si>
    <t>Maribeth Schnelling</t>
  </si>
  <si>
    <t>Belkin 8 Outlet Surge Protector</t>
  </si>
  <si>
    <t>Portable Personal File Box</t>
  </si>
  <si>
    <t>X-Rack File for Hanging Folders</t>
  </si>
  <si>
    <t>ACCOHIDE 3-Ring Binder, Blue, 1"</t>
  </si>
  <si>
    <t>Binder Clips by OIC</t>
  </si>
  <si>
    <t>Riverleaf Stik-Withit Designer Note Cubes</t>
  </si>
  <si>
    <t>Troy Blackwell</t>
  </si>
  <si>
    <t>Panasonic KP-150 Electric Pencil Sharpener</t>
  </si>
  <si>
    <t>Frank Preis</t>
  </si>
  <si>
    <t>Newell 32</t>
  </si>
  <si>
    <t>Erica Hernandez</t>
  </si>
  <si>
    <t>Green Bar Computer Printout Paper</t>
  </si>
  <si>
    <t>Master Caster Door Stop, Large Brown</t>
  </si>
  <si>
    <t>Jim Mitchum</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</si>
  <si>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</si>
  <si>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</si>
  <si>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</si>
  <si>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</si>
  <si>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</si>
  <si>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</si>
  <si>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</si>
  <si>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</si>
  <si>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Kean Thornton</t>
  </si>
  <si>
    <t>Hewlett Packard LaserJet 3310 Copier</t>
  </si>
  <si>
    <t>Carlos Soltero</t>
  </si>
  <si>
    <t>Situations Contoured Folding Chairs, 4/Set</t>
  </si>
  <si>
    <t>Rick Duston</t>
  </si>
  <si>
    <t>Green Canvas Binder for 8-1/2" x 14" Sheets</t>
  </si>
  <si>
    <t>Tennsco Snap-Together Open Shelving Units, Starter Sets and Add-On Units</t>
  </si>
  <si>
    <t>Michelle Huthwaite</t>
  </si>
  <si>
    <t>Ed Braxton</t>
  </si>
  <si>
    <t>Hon 2111 Invitation Series Corner Table</t>
  </si>
  <si>
    <t>Wilson Jones Ledger-Size, Piano-Hinge Binder, 2", Blue</t>
  </si>
  <si>
    <t>Lena Radford</t>
  </si>
  <si>
    <t>Sharp AL-1530CS Digital Copier</t>
  </si>
  <si>
    <t>AT&amp;T 1070 Corded Phone</t>
  </si>
  <si>
    <t>Dana Halogen Swing-Arm Architect Lamp</t>
  </si>
  <si>
    <t>Maria Bertelson</t>
  </si>
  <si>
    <t>Eldon Delta Triangular Chair Mat, 52" x 58", Clear</t>
  </si>
  <si>
    <t>SanDisk Ultra 64 GB MicroSDHC Class 10 Memory Card</t>
  </si>
  <si>
    <t>Tamara Manning</t>
  </si>
  <si>
    <t>Matt Abelman</t>
  </si>
  <si>
    <t>Acco Smartsocket Table Surge Protector, 6 Color-Coded Adapter Outlets</t>
  </si>
  <si>
    <t>Globe Weis Peel &amp; Seel First Class Envelopes</t>
  </si>
  <si>
    <t>Vivek Gonzalez</t>
  </si>
  <si>
    <t>O'Sullivan 2-Shelf Heavy-Duty Bookcases</t>
  </si>
  <si>
    <t>Becky Martin</t>
  </si>
  <si>
    <t>BIC Brite Liner Highlighters</t>
  </si>
  <si>
    <t>Lexmark MX611dhe Monochrome Laser Printer</t>
  </si>
  <si>
    <t>SAFCO Arco Folding Chair</t>
  </si>
  <si>
    <t>JBL Micro Wireless Portable Bluetooth Speaker</t>
  </si>
  <si>
    <t>Logitech Wireless Touch Keyboard K400</t>
  </si>
  <si>
    <t>Lisa Hazard</t>
  </si>
  <si>
    <t>GBC ProClick Punch Binding System</t>
  </si>
  <si>
    <t>Karen Carlisle</t>
  </si>
  <si>
    <t>Memorex Froggy Flash Drive 4 GB</t>
  </si>
  <si>
    <t>Holmes Replacement Filter for HEPA Air Cleaner, Medium Room</t>
  </si>
  <si>
    <t>Pizazz Global Quick File</t>
  </si>
  <si>
    <t>Ideal Clamps</t>
  </si>
  <si>
    <t>Ted Trevino</t>
  </si>
  <si>
    <t>Epson WorkForce WF-2530 All-in-One Printer, Copier Scanner</t>
  </si>
  <si>
    <t>Stefania Perrino</t>
  </si>
  <si>
    <t>Black &amp; Decker Filter for Double Action Dustbuster Cordless Vac BLDV7210</t>
  </si>
  <si>
    <t>Marc Crier</t>
  </si>
  <si>
    <t>Hon Deluxe Fabric Upholstered Stacking Chairs, Rounded Back</t>
  </si>
  <si>
    <t>Hunt PowerHouse Electric Pencil Sharpener, Blue</t>
  </si>
  <si>
    <t>Carina Double Wide Media Storage Towers in Natural &amp; Black</t>
  </si>
  <si>
    <t>Kean Takahito</t>
  </si>
  <si>
    <t>Geographics Note Cards, Blank, White, 8 1/2" x 11"</t>
  </si>
  <si>
    <t>Snap-A-Way Black Print Carbonless Ruled Speed Letter, Triplicate</t>
  </si>
  <si>
    <t>Paul Prost</t>
  </si>
  <si>
    <t>Global Super Steno Chair</t>
  </si>
  <si>
    <t>Nontoxic Chalk</t>
  </si>
  <si>
    <t>Toby Swindell</t>
  </si>
  <si>
    <t>Acco PRESSTEX Data Binder with Storage Hooks, Light Blue, 9 1/2" X 11"</t>
  </si>
  <si>
    <t>Jack Garza</t>
  </si>
  <si>
    <t>Maxell 74 Minute CDR, 10/Pack</t>
  </si>
  <si>
    <t>Duane Noonan</t>
  </si>
  <si>
    <t>Xerox 197</t>
  </si>
  <si>
    <t>Toshiba IPT2010-SD IPÂ Telephone</t>
  </si>
  <si>
    <t>Thomas Boland</t>
  </si>
  <si>
    <t>Companion Letter/Legal File, Black</t>
  </si>
  <si>
    <t>Tim Brockman</t>
  </si>
  <si>
    <t>Acco PRESSTEX Data Binder with Storage Hooks, Dark Blue, 9 1/2" X 11"</t>
  </si>
  <si>
    <t>Samsung HM1900 Bluetooth Headset</t>
  </si>
  <si>
    <t>Acco Side-Punched Conventional Columnar Pads</t>
  </si>
  <si>
    <t>SanDisk Ultra 16 GB MicroSDHC Class 10 Memory Card</t>
  </si>
  <si>
    <t>Avery 492</t>
  </si>
  <si>
    <t>Xerox 232</t>
  </si>
  <si>
    <t>Jim Karlsson</t>
  </si>
  <si>
    <t>Xerox 1964</t>
  </si>
  <si>
    <t>Denny Joy</t>
  </si>
  <si>
    <t>Luxo Economy Swing Arm Lamp</t>
  </si>
  <si>
    <t>Melanie Seite</t>
  </si>
  <si>
    <t>Newell 312</t>
  </si>
  <si>
    <t>Memorex Micro Travel Drive 8 GB</t>
  </si>
  <si>
    <t>Patrick Gardner</t>
  </si>
  <si>
    <t>Sony Micro Vault Click 16 GB USB 2.0 Flash Drive</t>
  </si>
  <si>
    <t>Fellowes Super Stor/Drawer</t>
  </si>
  <si>
    <t>Avery 506</t>
  </si>
  <si>
    <t>Weyerhaeuser First Choice Laser/Copy Paper (20Lb. and 88 Bright)</t>
  </si>
  <si>
    <t>Brosina Hoffman</t>
  </si>
  <si>
    <t>Mitel 5320 IP Phone VoIP phone</t>
  </si>
  <si>
    <t>DXL Angle-View Binders with Locking Rings by Samsill</t>
  </si>
  <si>
    <t>Chromcraft Rectangular Conference Tables</t>
  </si>
  <si>
    <t>Konftel 250 ConferenceÂ phoneÂ - Charcoal black</t>
  </si>
  <si>
    <t>Carl Weiss</t>
  </si>
  <si>
    <t>Square Credit Card Reader</t>
  </si>
  <si>
    <t>Logitech M510 Wireless Mouse</t>
  </si>
  <si>
    <t>Boston 1645 Deluxe Heavier-Duty Electric Pencil Sharpener</t>
  </si>
  <si>
    <t>Chuck Magee</t>
  </si>
  <si>
    <t>Staple remover</t>
  </si>
  <si>
    <t>Deluxe Chalkboard Eraser Cleaner</t>
  </si>
  <si>
    <t>Frank Olsen</t>
  </si>
  <si>
    <t>Bevis 44 x 96 Conference Tables</t>
  </si>
  <si>
    <t>Thomas Seio</t>
  </si>
  <si>
    <t>Executive Impressions 13-1/2" Indoor/Outdoor Wall Clock</t>
  </si>
  <si>
    <t>Brian Moss</t>
  </si>
  <si>
    <t>Eureka Recycled Copy Paper 8 1/2" x 11", Ream</t>
  </si>
  <si>
    <t>Xerox 1895</t>
  </si>
  <si>
    <t>Avery 49</t>
  </si>
  <si>
    <t>Wilson Jones Leather-Like Binders with DublLock Round Rings</t>
  </si>
  <si>
    <t>Perma STOR-ALL Hanging File Box, 13 1/8"W x 12 1/4"D x 10 1/2"H</t>
  </si>
  <si>
    <t>Darrin Sayre</t>
  </si>
  <si>
    <t>Bush Heritage Pine Collection 5-Shelf Bookcase, Albany Pine Finish, *Special Order</t>
  </si>
  <si>
    <t>Prang Drawing Pencil Set</t>
  </si>
  <si>
    <t>Xerox 1967</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</si>
  <si>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</si>
  <si>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</si>
  <si>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</si>
  <si>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</si>
  <si>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</si>
  <si>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</si>
  <si>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</si>
  <si>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</si>
  <si>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</si>
  <si>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</si>
  <si>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</si>
  <si>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Avery Hole Reinforcements</t>
  </si>
  <si>
    <t>Alphabetical Labels for Top Tab Filing</t>
  </si>
  <si>
    <t>Rick Reed</t>
  </si>
  <si>
    <t>Global Italian Leather Office Chair</t>
  </si>
  <si>
    <t>Advantus Motivational Note Cards</t>
  </si>
  <si>
    <t>Tennsco 6- and 18-Compartment Lockers</t>
  </si>
  <si>
    <t>Logan Currie</t>
  </si>
  <si>
    <t>Xerox 210</t>
  </si>
  <si>
    <t>Rosewill 107 Normal Keys USB Wired Standard Keyboard</t>
  </si>
  <si>
    <t>Master Caster Door Stop, Large Neon Orange</t>
  </si>
  <si>
    <t>Polycom SoundPoint IP 450 VoIP phone</t>
  </si>
  <si>
    <t>3D Systems Cube Printer, 2nd Generation, White</t>
  </si>
  <si>
    <t>Nicole Fjeld</t>
  </si>
  <si>
    <t>Nu-Dell Executive Frame</t>
  </si>
  <si>
    <t>Ampad Poly Cover Wirebound Steno Book, 6" x 9" Assorted Colors, Gregg Ruled</t>
  </si>
  <si>
    <t>Shirley Jackson</t>
  </si>
  <si>
    <t>iOttie HLCRIO102 Car Mount</t>
  </si>
  <si>
    <t>Jeremy Pistek</t>
  </si>
  <si>
    <t>Sauder Mission Library with Doors, Fruitwood Finish</t>
  </si>
  <si>
    <t>Samsung Galaxy Note 3</t>
  </si>
  <si>
    <t>Decoflex Hanging Personal Folder File, Blue</t>
  </si>
  <si>
    <t>Recycled Desk Saver Line "While You Were Out" Book, 5 1/2" X 4"</t>
  </si>
  <si>
    <t>Xerox 1912</t>
  </si>
  <si>
    <t>Benjamin Farhat</t>
  </si>
  <si>
    <t>Eldon 200 Class Desk Accessories, Black</t>
  </si>
  <si>
    <t>Xerox 1987</t>
  </si>
  <si>
    <t>Dario Medina</t>
  </si>
  <si>
    <t>Acco Perma 3000 Stacking Storage Drawers</t>
  </si>
  <si>
    <t>Xerox 195</t>
  </si>
  <si>
    <t>Recycled Data-Pak for Archival Bound Computer Printouts, 12-1/2 x 12-1/2 x 16</t>
  </si>
  <si>
    <t>Astroparche Fine Business Paper</t>
  </si>
  <si>
    <t>Tripp Lite TLP810NET Broadband Surge for Modem/Fax</t>
  </si>
  <si>
    <t>Canon PC940 Copier</t>
  </si>
  <si>
    <t>Anthony Jacobs</t>
  </si>
  <si>
    <t>Avery 482</t>
  </si>
  <si>
    <t>Howard Miller 11-1/2" Diameter Ridgewood Wall Clock</t>
  </si>
  <si>
    <t>Scott Williamson</t>
  </si>
  <si>
    <t>BOSTON Ranger #55 Pencil Sharpener, Black</t>
  </si>
  <si>
    <t>Arianne Irving</t>
  </si>
  <si>
    <t>Strathmore #10 Envelopes, Ultimate White</t>
  </si>
  <si>
    <t>LF Elite 3D Dazzle Designer Hard Case Cover, Lf Stylus Pen and Wiper For Apple Iphone 5c Mini Lite</t>
  </si>
  <si>
    <t>Art Foster</t>
  </si>
  <si>
    <t>Bestar Classic Bookcase</t>
  </si>
  <si>
    <t>Greg Matthias</t>
  </si>
  <si>
    <t>Wilson Electronics DB Pro Signal Booster</t>
  </si>
  <si>
    <t>Acme Design Stainless Steel Bent Scissors</t>
  </si>
  <si>
    <t>Hon Pagoda Stacking Chairs</t>
  </si>
  <si>
    <t>Heather Kirkland</t>
  </si>
  <si>
    <t>Dot Matrix Printer Tape Reel Labels, White, 5000/Box</t>
  </si>
  <si>
    <t>Dianna Arnett</t>
  </si>
  <si>
    <t>Tuff Stuff Recycled Round Ring Binders</t>
  </si>
  <si>
    <t>Peel &amp; Seel Envelopes</t>
  </si>
  <si>
    <t>GuestStacker Chair with Chrome Finish Legs</t>
  </si>
  <si>
    <t>Sandra Flanagan</t>
  </si>
  <si>
    <t>Kensington 6 Outlet Guardian Standard Surge Protector</t>
  </si>
  <si>
    <t>Dana Fluorescent Magnifying Lamp, White, 36"</t>
  </si>
  <si>
    <t>Tanja Norvell</t>
  </si>
  <si>
    <t>#10- 4 1/8" x 9 1/2" Security-Tint Envelopes</t>
  </si>
  <si>
    <t>Westinghouse Clip-On Gooseneck Lamps</t>
  </si>
  <si>
    <t>Cisco 8x8 Inc. 6753i IP Business Phone System</t>
  </si>
  <si>
    <t>GBC Personal VeloBind Strips</t>
  </si>
  <si>
    <t>Richard Bierner</t>
  </si>
  <si>
    <t>Hewlett-Packard Deskjet F4180 All-in-One Color Ink-jet - Printer / copier / scanner</t>
  </si>
  <si>
    <t>Premier Elliptical Ring Binder, Black</t>
  </si>
  <si>
    <t>Fred Chung</t>
  </si>
  <si>
    <t>New Mexico</t>
  </si>
  <si>
    <t>Dixon Ticonderoga Core-Lock Colored Pencils, 48-Color Set</t>
  </si>
  <si>
    <t>Jabra SPEAK 410</t>
  </si>
  <si>
    <t>Southworth 100% RÃ©sumÃ© Paper, 24lb.</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</si>
  <si>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</si>
  <si>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</si>
  <si>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</si>
  <si>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</si>
  <si>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</si>
  <si>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Hon Every-Day Series Multi-Task Chairs</t>
  </si>
  <si>
    <t>Sally Matthias</t>
  </si>
  <si>
    <t>Adams Write n' Stick Phone Message Book, 11" X 5 1/4", 200 Messages</t>
  </si>
  <si>
    <t>Poly Designer Cover &amp; Back</t>
  </si>
  <si>
    <t>Sally Hughsby</t>
  </si>
  <si>
    <t>Idaho</t>
  </si>
  <si>
    <t>Office Star - Contemporary Swivel Chair with Padded Adjustable Arms and Flex Back</t>
  </si>
  <si>
    <t>Xerox 1931</t>
  </si>
  <si>
    <t>Xerox Color Copier Paper, 11" x 17", Ream</t>
  </si>
  <si>
    <t>Seth Vernon</t>
  </si>
  <si>
    <t>Delaware</t>
  </si>
  <si>
    <t>DAX Value U-Channel Document Frames, Easel Back</t>
  </si>
  <si>
    <t>Natalie Fritzler</t>
  </si>
  <si>
    <t>Guy Armstrong</t>
  </si>
  <si>
    <t>Avery 483</t>
  </si>
  <si>
    <t>Wilson Jones Turn Tabs Binder Tool for Ring Binders</t>
  </si>
  <si>
    <t>Rubbermaid ClusterMat Chairmats, Mat Size- 66" x 60", Lip 20" x 11" -90 Degree Angle</t>
  </si>
  <si>
    <t>VariCap6 Expandable Binder</t>
  </si>
  <si>
    <t>Fellowes Neat Ideas Storage Cubes</t>
  </si>
  <si>
    <t>Chloris Kastensmidt</t>
  </si>
  <si>
    <t>Eldon Wave Desk Accessories</t>
  </si>
  <si>
    <t>Stockwell Push Pins</t>
  </si>
  <si>
    <t>Kelly Andreada</t>
  </si>
  <si>
    <t>Filia McAdams</t>
  </si>
  <si>
    <t>Fellowes Premier Superior Surge Suppressor, 10-Outlet, With Phone and Remote</t>
  </si>
  <si>
    <t>Xerox 198</t>
  </si>
  <si>
    <t>Economy #2 Pencils</t>
  </si>
  <si>
    <t>Jay Kimmel</t>
  </si>
  <si>
    <t>Acco Banker's Clasps, 5 3/4"-Long</t>
  </si>
  <si>
    <t>Xerox 224</t>
  </si>
  <si>
    <t>Logitech Wireless Anywhere Mouse MX for PC and Mac</t>
  </si>
  <si>
    <t>Sanjit Engle</t>
  </si>
  <si>
    <t>Gary Mitchum</t>
  </si>
  <si>
    <t>Jawbone JAMBOX Wireless Bluetooth Speaker</t>
  </si>
  <si>
    <t>Michelle Moray</t>
  </si>
  <si>
    <t>Montana</t>
  </si>
  <si>
    <t>Eldon Simplefile Box Office</t>
  </si>
  <si>
    <t>AT&amp;T SB67148 SynJ</t>
  </si>
  <si>
    <t>Memorex Mini Travel Drive 64 GB USB 2.0 Flash Drive</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</si>
  <si>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</si>
  <si>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</si>
  <si>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</si>
  <si>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</si>
  <si>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</si>
  <si>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</si>
  <si>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</si>
  <si>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Victoria Wilson</t>
  </si>
  <si>
    <t>Harold Dahlen</t>
  </si>
  <si>
    <t>Avery Arch Ring Binders</t>
  </si>
  <si>
    <t>Laura Armstrong</t>
  </si>
  <si>
    <t>Cisco SPA508G</t>
  </si>
  <si>
    <t>Global Commerce Series High-Back Swivel/Tilt Chairs</t>
  </si>
  <si>
    <t>Michael Nguyen</t>
  </si>
  <si>
    <t>Polycom VVX 310 VoIP phone</t>
  </si>
  <si>
    <t>Xerox 200</t>
  </si>
  <si>
    <t>Mark Hamilton</t>
  </si>
  <si>
    <t>Xerox 1881</t>
  </si>
  <si>
    <t>Newell 3-Hole Punched Plastic Slotted Magazine Holders for Binders</t>
  </si>
  <si>
    <t>Jamie Kunitz</t>
  </si>
  <si>
    <t>Cisco SPA112 2 Port Phone Adapter</t>
  </si>
  <si>
    <t>Eldon Image Series Desk Accessories, Ebony</t>
  </si>
  <si>
    <t>Sanford 52201 APSCO Electric Pencil Sharpener</t>
  </si>
  <si>
    <t>Vinyl Coated Wire Paper Clips in Organizer Box, 800/Box</t>
  </si>
  <si>
    <t>Ken Lonsdale</t>
  </si>
  <si>
    <t>Tennsco Single-Tier Lockers</t>
  </si>
  <si>
    <t>Liz Willingham</t>
  </si>
  <si>
    <t>Deflect-o DuraMat Lighweight, Studded, Beveled Mat for Low Pile Carpeting</t>
  </si>
  <si>
    <t>Jill Fjeld</t>
  </si>
  <si>
    <t>Fellowes High-Stak Drawer Files</t>
  </si>
  <si>
    <t>Airmail Envelopes</t>
  </si>
  <si>
    <t>Dean percer</t>
  </si>
  <si>
    <t>DAX Cubicle Frames - 8x10</t>
  </si>
  <si>
    <t>WD My Passport Ultra 1TB Portable External Hard Drive</t>
  </si>
  <si>
    <t>Helen Andreada</t>
  </si>
  <si>
    <t>Iris Project Case</t>
  </si>
  <si>
    <t>Global Enterprise Series Seating High-Back Swivel/Tilt Chairs</t>
  </si>
  <si>
    <t>Dorothy Badders</t>
  </si>
  <si>
    <t>Eldon Pizzaz Desk Accessories</t>
  </si>
  <si>
    <t>Alan Shonely</t>
  </si>
  <si>
    <t>Pete Kriz</t>
  </si>
  <si>
    <t>Stur-D-Stor Shelving, Vertical 5-Shelf: 72"H x 36"W x 18 1/2"D</t>
  </si>
  <si>
    <t>Tracy Zic</t>
  </si>
  <si>
    <t>BIC Brite Liner Grip Highlighters, Assorted, 5/Pack</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</si>
  <si>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</si>
  <si>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</si>
  <si>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</si>
  <si>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</si>
  <si>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</si>
  <si>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Wirebound Message Book, 4 per Page</t>
  </si>
  <si>
    <t>Geemarc AmpliPOWER60</t>
  </si>
  <si>
    <t>Classic Ivory AntiqueÂ TelephoneÂ ZL1810</t>
  </si>
  <si>
    <t>Arthur Prichep</t>
  </si>
  <si>
    <t>50 Colored Long Pencils</t>
  </si>
  <si>
    <t>Hon Olson Stacker Stools</t>
  </si>
  <si>
    <t>Tom Stivers</t>
  </si>
  <si>
    <t>GE 4 Foot Flourescent Tube, 40 Watt</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</si>
  <si>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</si>
  <si>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</si>
  <si>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</si>
  <si>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</si>
  <si>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</si>
  <si>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</si>
  <si>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Acme Value Line Scissors</t>
  </si>
  <si>
    <t>Global Geo Office Task Chair, Gray</t>
  </si>
  <si>
    <t>Kean Nguyen</t>
  </si>
  <si>
    <t>AT&amp;T 1080 Corded phone</t>
  </si>
  <si>
    <t>Recycled Pressboard Report Cover with Reinforced Top Hinge</t>
  </si>
  <si>
    <t>O'Sullivan Living Dimensions 2-Shelf Bookcases</t>
  </si>
  <si>
    <t>Xerox 213</t>
  </si>
  <si>
    <t>Edward Hooks</t>
  </si>
  <si>
    <t>Prismacolor Color Pencil Set</t>
  </si>
  <si>
    <t>Hunter Lopez</t>
  </si>
  <si>
    <t>Bevis Traditional Conference Table Top, Plinth Base</t>
  </si>
  <si>
    <t>Alyssa Crouse</t>
  </si>
  <si>
    <t>Hon 5100 Series Wood Tables</t>
  </si>
  <si>
    <t>Ben Ferrer</t>
  </si>
  <si>
    <t>GE DSL Phone Line Filter</t>
  </si>
  <si>
    <t>Safco Chair Connectors, 6/Carton</t>
  </si>
  <si>
    <t>Self-Adhesive Ring Binder Labels</t>
  </si>
  <si>
    <t>Max Engle</t>
  </si>
  <si>
    <t>Xerox 1949</t>
  </si>
  <si>
    <t>Verbatim 25 GB 6x Blu-ray Single Layer Recordable Disc, 1/Pack</t>
  </si>
  <si>
    <t>Paul Van Hugh</t>
  </si>
  <si>
    <t>Hon Deluxe Fabric Upholstered Stacking Chairs</t>
  </si>
  <si>
    <t>Fluorescent Highlighters by Dixon</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</si>
  <si>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</si>
  <si>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</si>
  <si>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</si>
  <si>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</si>
  <si>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</si>
  <si>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</si>
  <si>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</si>
  <si>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</si>
  <si>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Avery 501</t>
  </si>
  <si>
    <t>Lauren Leatherbury</t>
  </si>
  <si>
    <t>Acco Translucent Poly Ring Binders</t>
  </si>
  <si>
    <t>Brad Norvell</t>
  </si>
  <si>
    <t>Xerox 220</t>
  </si>
  <si>
    <t>SanDisk Cruzer 32 GB USB Flash Drive</t>
  </si>
  <si>
    <t>Pete Takahito</t>
  </si>
  <si>
    <t>Wilson Jones Impact Binders</t>
  </si>
  <si>
    <t>Tom Ashbrook</t>
  </si>
  <si>
    <t>Kansas</t>
  </si>
  <si>
    <t>SanDisk Cruzer 16 GB USB Flash Drive</t>
  </si>
  <si>
    <t>GBC DocuBind P100 Manual Binding Machine</t>
  </si>
  <si>
    <t>Seth Thomas 8 1/2" Cubicle Clock</t>
  </si>
  <si>
    <t>Luke Weiss</t>
  </si>
  <si>
    <t>HON 5400 Series Task Chairs for Big and Tall</t>
  </si>
  <si>
    <t>Premium Writing Pencils, Soft, #2 by Central Association for the Blind</t>
  </si>
  <si>
    <t>Sortfiler Multipurpose Personal File Organizer, Black</t>
  </si>
  <si>
    <t>Barry Pond</t>
  </si>
  <si>
    <t>Acme Hot Forged Carbon Steel Scissors with Nickel-Plated Handles, 3 7/8" Cut, 8"L</t>
  </si>
  <si>
    <t>Roy FranzÃ¶sisch</t>
  </si>
  <si>
    <t>Personal Filing Tote with Lid, Black/Gray</t>
  </si>
  <si>
    <t>Joseph Airdo</t>
  </si>
  <si>
    <t>Xerox 1974</t>
  </si>
  <si>
    <t>Bevis Boat-Shaped Conference Table</t>
  </si>
  <si>
    <t>Darren Budd</t>
  </si>
  <si>
    <t>Avery Fluorescent Highlighter Four-Color Set</t>
  </si>
  <si>
    <t>ImationÂ 16GB Mini TravelDrive USB 2.0Â Flash Drive</t>
  </si>
  <si>
    <t>GE General Use Halogen Bulbs, 100 Watts, 1 Bulb per Pack</t>
  </si>
  <si>
    <t>Logitech G602 Wireless Gaming Mouse</t>
  </si>
  <si>
    <t>Hon Non-Folding Utility Tables</t>
  </si>
  <si>
    <t>Bretford Rectangular Conference Table Tops</t>
  </si>
  <si>
    <t>Eldon Advantage Chair Mats for Low to Medium Pile Carpets</t>
  </si>
  <si>
    <t>Craig Yedwab</t>
  </si>
  <si>
    <t>GBC DocuBind 300 Electric Binding Machine</t>
  </si>
  <si>
    <t>Logan Haushalter</t>
  </si>
  <si>
    <t>Eldon Image Series Desk Accessories, Burgundy</t>
  </si>
  <si>
    <t>Woodgrain Magazine Files by Perma</t>
  </si>
  <si>
    <t>Longer-Life Soft White Bulbs</t>
  </si>
  <si>
    <t>Philip Brown</t>
  </si>
  <si>
    <t>Shui Tom</t>
  </si>
  <si>
    <t>XtraLife ClearVue Slant-D Ring Binder, White, 3"</t>
  </si>
  <si>
    <t>Dave Hallsten</t>
  </si>
  <si>
    <t>Global Deluxe Steno Chair</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</si>
  <si>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</si>
  <si>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</si>
  <si>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</si>
  <si>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</si>
  <si>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</si>
  <si>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Jennifer Braxton</t>
  </si>
  <si>
    <t>OtterBox Defender Series Case - iPhone 5c</t>
  </si>
  <si>
    <t>David Bremer</t>
  </si>
  <si>
    <t>Fiskars 8" Scissors, 2/Pack</t>
  </si>
  <si>
    <t>Panasonic KP-380BK Classic Electric Pencil Sharpener</t>
  </si>
  <si>
    <t>GBC Twin Loop Wire Binding Elements, 9/16" Spine, Black</t>
  </si>
  <si>
    <t>Acme 10" Easy Grip Assistive Scissors</t>
  </si>
  <si>
    <t>Avery Poly Binder Pockets</t>
  </si>
  <si>
    <t>Xerox 1928</t>
  </si>
  <si>
    <t>iKross Bluetooth Portable Keyboard + Cell Phone Stand Holder + Brush for Apple iPhone 5S 5C 5, 4S 4</t>
  </si>
  <si>
    <t>Avery 491</t>
  </si>
  <si>
    <t>Catherine Glotzbach</t>
  </si>
  <si>
    <t>Doug Bickford</t>
  </si>
  <si>
    <t>Daniel Raglin</t>
  </si>
  <si>
    <t>Deluxe Heavy-Duty Vinyl Round Ring Binder</t>
  </si>
  <si>
    <t>Deflect-o Glass Clear Studded Chair Mats</t>
  </si>
  <si>
    <t>Shaun Chance</t>
  </si>
  <si>
    <t>Robert Marley</t>
  </si>
  <si>
    <t>Cisco SPA301</t>
  </si>
  <si>
    <t>Eric Murdock</t>
  </si>
  <si>
    <t>Accohide Poly Flexible Ring Binders</t>
  </si>
  <si>
    <t>Lenovo 17-Key USB Numeric Keypad</t>
  </si>
  <si>
    <t>SanDisk Ultra 32 GB MicroSDHC Class 10 Memory Card</t>
  </si>
  <si>
    <t>Brites Rubber Bands, 1 1/2 oz. Box</t>
  </si>
  <si>
    <t>Cush Cases Heavy Duty Rugged Cover Case for Samsung Galaxy S5 - Purple</t>
  </si>
  <si>
    <t>Avoid Verbal Orders Carbonless Minifold Book</t>
  </si>
  <si>
    <t>Plantronics MX500i Earset</t>
  </si>
  <si>
    <t>Razer Tiamat Over Ear 7.1 Surround Sound PC Gaming Headset</t>
  </si>
  <si>
    <t>Lumber Crayons</t>
  </si>
  <si>
    <t>Iceberg OfficeWorks 42" Round Tables</t>
  </si>
  <si>
    <t>Justin Hirsh</t>
  </si>
  <si>
    <t>Global Highback Leather Tilter in Burgundy</t>
  </si>
  <si>
    <t>Jeremy Farry</t>
  </si>
  <si>
    <t>Hon Comfortask Task/Swivel Chairs</t>
  </si>
  <si>
    <t>Neoma Murray</t>
  </si>
  <si>
    <t>Beth Thompson</t>
  </si>
  <si>
    <t>Keith Dawkins</t>
  </si>
  <si>
    <t>GBC Pre-Punched Binding Paper, Plastic, White, 8-1/2" x 11"</t>
  </si>
  <si>
    <t>Tamara Willingham</t>
  </si>
  <si>
    <t>Global Troy Executive Leather Low-Back Tilter</t>
  </si>
  <si>
    <t>Xerox 219</t>
  </si>
  <si>
    <t>Bush Advantage Collection Round Conference Table</t>
  </si>
  <si>
    <t>Tennsco Industrial Shelving</t>
  </si>
  <si>
    <t>Lindsay Castell</t>
  </si>
  <si>
    <t>Xerox 207</t>
  </si>
  <si>
    <t>Newell 307</t>
  </si>
  <si>
    <t>Avery 505</t>
  </si>
  <si>
    <t>O'Sullivan 2-Door Barrister Bookcase in Odessa Pine</t>
  </si>
  <si>
    <t>Speck Products Candyshell Flip Case</t>
  </si>
  <si>
    <t>Cisco 9971 IP Video Phone Charcoal</t>
  </si>
  <si>
    <t>Claudia Bergmann</t>
  </si>
  <si>
    <t>SAFCO Mobile Desk Side File, Wire Frame</t>
  </si>
  <si>
    <t>Newell 313</t>
  </si>
  <si>
    <t>Xerox 1959</t>
  </si>
  <si>
    <t>Dave Kipp</t>
  </si>
  <si>
    <t>Pete Armstrong</t>
  </si>
  <si>
    <t>Brown Kraft Recycled Envelopes</t>
  </si>
  <si>
    <t>Michael Oakman</t>
  </si>
  <si>
    <t>APC 7 Outlet Network SurgeArrest Surge Protector</t>
  </si>
  <si>
    <t>Anker Ultra-Slim Mini Bluetooth 3.0 Wireless Keyboard</t>
  </si>
  <si>
    <t>Cari Sayre</t>
  </si>
  <si>
    <t>Aluminum Screw Posts</t>
  </si>
  <si>
    <t>John Dryer</t>
  </si>
  <si>
    <t>Vtech AT&amp;T CL2940 Corded Speakerphone, Black</t>
  </si>
  <si>
    <t>John Lucas</t>
  </si>
  <si>
    <t>Noah Childs</t>
  </si>
  <si>
    <t>Rob Haberlin</t>
  </si>
  <si>
    <t>Hon 4070 Series Pagoda Armless Upholstered Stacking Chairs</t>
  </si>
  <si>
    <t>Global Wood Trimmed Manager's Task Chair, Khaki</t>
  </si>
  <si>
    <t>Advantus Rolling Storage Box</t>
  </si>
  <si>
    <t>Karl Braun</t>
  </si>
  <si>
    <t>Frank Atkinson</t>
  </si>
  <si>
    <t>24-Hour Round Wall Clock</t>
  </si>
  <si>
    <t>Things To Do Today Pad</t>
  </si>
  <si>
    <t>Corey-Lock</t>
  </si>
  <si>
    <t>Ibico Presentation Index for Binding Systems</t>
  </si>
  <si>
    <t>Okidata C331dn Printer</t>
  </si>
  <si>
    <t>Brad Eason</t>
  </si>
  <si>
    <t>Rhode Island</t>
  </si>
  <si>
    <t>Important Message Pads, 50 4-1/4 x 5-1/2 Forms per Pad</t>
  </si>
  <si>
    <t>Office Star Flex Back Scooter Chair with White Frame</t>
  </si>
  <si>
    <t>Darren Koutras</t>
  </si>
  <si>
    <t>Jennifer Patt</t>
  </si>
  <si>
    <t>Computer Printout Paper with Letter-Trim Perforations</t>
  </si>
  <si>
    <t>Christopher Schild</t>
  </si>
  <si>
    <t>Eldon ProFile File 'N Store Portable File Tub Letter/Legal Size Black</t>
  </si>
  <si>
    <t>Pressboard Hanging Data Binders for Unburst Sheets</t>
  </si>
  <si>
    <t>Henry MacAllister</t>
  </si>
  <si>
    <t>HTC One Mini</t>
  </si>
  <si>
    <t>Michael Paige</t>
  </si>
  <si>
    <t>Sheri Gordon</t>
  </si>
  <si>
    <t>Xerox 202</t>
  </si>
  <si>
    <t>GBC Plastic Binding Combs</t>
  </si>
  <si>
    <t>Jas O'Carroll</t>
  </si>
  <si>
    <t>Bevis Round Bullnose 29" High Table Top</t>
  </si>
  <si>
    <t>Kelly Collister</t>
  </si>
  <si>
    <t>Logitech K350 2.4Ghz Wireless Keyboard</t>
  </si>
  <si>
    <t>Scot Wooten</t>
  </si>
  <si>
    <t>Global Armless Task Chair, Royal Blue</t>
  </si>
  <si>
    <t>Contemporary Wood/Metal Frame</t>
  </si>
  <si>
    <t>GBC Premium Transparent Covers with Diagonal Lined Pattern</t>
  </si>
  <si>
    <t>O'Sullivan Living Dimensions 3-Shelf Bookcases</t>
  </si>
  <si>
    <t>Hon Olson Stacker Chairs</t>
  </si>
  <si>
    <t>Barry Blumstein</t>
  </si>
  <si>
    <t>Aastra 6757i CT Wireless VoIP phone</t>
  </si>
  <si>
    <t>Emily Grady</t>
  </si>
  <si>
    <t>Eureka Hand Vacuum, Bagless</t>
  </si>
  <si>
    <t>Sylvia Foulston</t>
  </si>
  <si>
    <t>Amy Hunt</t>
  </si>
  <si>
    <t>Enermax Acrylux Wireless Keyboard</t>
  </si>
  <si>
    <t>Newell 317</t>
  </si>
  <si>
    <t>Allen Armold</t>
  </si>
  <si>
    <t>Coloredge Poster Frame</t>
  </si>
  <si>
    <t>Kensington SlimBlade Notebook Wireless Mouse with Nano Receiver</t>
  </si>
  <si>
    <t>Rick Wilson</t>
  </si>
  <si>
    <t>Hand-Finished Solid Wood Document Frame</t>
  </si>
  <si>
    <t>Wilson Jones Standard D-Ring Binders</t>
  </si>
  <si>
    <t>Pauline Webber</t>
  </si>
  <si>
    <t>Global Fabric Manager's Chair, Dark Gray</t>
  </si>
  <si>
    <t>Julia Barnett</t>
  </si>
  <si>
    <t>Sanford Prismacolor Professional Thick Lead Art Pencils, 36-Color Set</t>
  </si>
  <si>
    <t>Holmes Replacement Filter for HEPA Air Cleaner, Large Room</t>
  </si>
  <si>
    <t>Xerox 1897</t>
  </si>
  <si>
    <t>Global Leather Highback Executive Chair with Pneumatic Height Adjustment, Black</t>
  </si>
  <si>
    <t>Lena Cacioppo</t>
  </si>
  <si>
    <t>Ibico Recycled Linen-Style Covers</t>
  </si>
  <si>
    <t>GBC Linen Binding Covers</t>
  </si>
  <si>
    <t>Avery Binding System Hidden Tab Executive Style Index Sets</t>
  </si>
  <si>
    <t>Bruce Degenhardt</t>
  </si>
  <si>
    <t>Novimex High-Tech Fabric Mesh Task Chair</t>
  </si>
  <si>
    <t>Eldon Antistatic Chair Mats for Low to Medium Pile Carpets</t>
  </si>
  <si>
    <t>Howard Miller 12" Round Wall Clock</t>
  </si>
  <si>
    <t>Julie Creighton</t>
  </si>
  <si>
    <t>Jet-Pak Recycled Peel 'N' Seal Padded Mailers</t>
  </si>
  <si>
    <t>Mike Gockenbach</t>
  </si>
  <si>
    <t>Eldon Gobal File Keepers</t>
  </si>
  <si>
    <t>White Business Envelopes with Contemporary Seam, Recycled White Business Envelopes</t>
  </si>
  <si>
    <t>Sterilite Officeware Hinged File Box</t>
  </si>
  <si>
    <t>TRENDnet 56K USB 2.0 Phone, Internet and Fax Modem</t>
  </si>
  <si>
    <t>Holmes Replacement Filter for HEPA Air Cleaner, Very Large Room, HEPA Filter</t>
  </si>
  <si>
    <t>Iceberg Mobile Mega Data/Printer Cart</t>
  </si>
  <si>
    <t>Office Star - Ergonomically Designed Knee Chair</t>
  </si>
  <si>
    <t>Avery Durable Slant Ring Binders, No Labels</t>
  </si>
  <si>
    <t>GE 48" Fluorescent Tube, Cool White Energy Saver, 34 Watts, 30/Box</t>
  </si>
  <si>
    <t>John Huston</t>
  </si>
  <si>
    <t>Smead Alpha-Z Color-Coded Name Labels First Letter Starter Set</t>
  </si>
  <si>
    <t>ImationÂ 8gb Micro Traveldrive Usb 2.0Â Flash Drive</t>
  </si>
  <si>
    <t>Safco Value Mate Series Steel Bookcases, Baked Enamel Finish on Steel, Gray</t>
  </si>
  <si>
    <t>Microsoft Natural Ergonomic Keyboard 4000</t>
  </si>
  <si>
    <t>Corinna Mitchell</t>
  </si>
  <si>
    <t>Cisco IP Phone 7961G-GE VoIP phone</t>
  </si>
  <si>
    <t>Logitech Trackman Marble Mouse</t>
  </si>
  <si>
    <t>#10 Gummed Flap White Envelopes, 100/Box</t>
  </si>
  <si>
    <t>Fred Hopkins</t>
  </si>
  <si>
    <t>Office Star - Mid Back Dual function Ergonomic High Back Chair with 2-Way Adjustable Arms</t>
  </si>
  <si>
    <t>Dean Katz</t>
  </si>
  <si>
    <t>Lexmark MarkNet N8150 Wireless Print Server</t>
  </si>
  <si>
    <t>Cardinal Poly Pocket Divider Pockets for Ring Binders</t>
  </si>
  <si>
    <t>Alejandro Ballentine</t>
  </si>
  <si>
    <t>Verbatim 25 GB 6x Blu-ray Single Layer Recordable Disc, 25/Pack</t>
  </si>
  <si>
    <t>Bill Stewart</t>
  </si>
  <si>
    <t>GBC Therma-A-Bind 250T Electric Binding System</t>
  </si>
  <si>
    <t>Pierre Wener</t>
  </si>
  <si>
    <t>Sauder Forest Hills Library, Woodland Oak Finish</t>
  </si>
  <si>
    <t>GBC DocuBind P50 Personal Binding Machine</t>
  </si>
  <si>
    <t>Panasonic KX-TG6844B Expandable Digital Cordless Telephone</t>
  </si>
  <si>
    <t>New Hampshire</t>
  </si>
  <si>
    <t>Xerox 1935</t>
  </si>
  <si>
    <t>Andrew Gjertsen</t>
  </si>
  <si>
    <t>Eldon Advantage Foldable Chair Mats for Low Pile Carpets</t>
  </si>
  <si>
    <t>GBC Prestige Therm-A-Bind Covers</t>
  </si>
  <si>
    <t>Avery Round Ring Poly Binders</t>
  </si>
  <si>
    <t>Hoover Shoulder Vac Commercial Portable Vacuum</t>
  </si>
  <si>
    <t>Acco Expandable Hanging Binders</t>
  </si>
  <si>
    <t>Alan Schoenberger</t>
  </si>
  <si>
    <t>Electrix 20W Halogen Replacement Bulb for Zoom-In Desk Lamp</t>
  </si>
  <si>
    <t>Staple-based wall hangings</t>
  </si>
  <si>
    <t>ShoreTel ShorePhone IP 230 VoIP phone</t>
  </si>
  <si>
    <t>Stuart Van</t>
  </si>
  <si>
    <t>Wirebound Message Books, Two 4 1/4" x 5" Forms per Page</t>
  </si>
  <si>
    <t>Executive Impressions 10" Spectator Wall Clock</t>
  </si>
  <si>
    <t>Becky Pak</t>
  </si>
  <si>
    <t>LogitechÂ Z-906 Speaker sys - home theater - 5.1-CH</t>
  </si>
  <si>
    <t>Irene Maddox</t>
  </si>
  <si>
    <t>Mitel MiVoice 5330e IP Phone</t>
  </si>
  <si>
    <t>Alan Dominguez</t>
  </si>
  <si>
    <t>Colorific Watercolor Pencils</t>
  </si>
  <si>
    <t>Julie Prescott</t>
  </si>
  <si>
    <t>Avery Premier Heavy-Duty Binder with Round Locking Rings</t>
  </si>
  <si>
    <t>Christine Sundaresam</t>
  </si>
  <si>
    <t>Xerox 1908</t>
  </si>
  <si>
    <t>Logitech G19 Programmable Gaming Keyboard</t>
  </si>
  <si>
    <t>David Smith</t>
  </si>
  <si>
    <t>Office Star - Mesh Screen back chair with Vinyl seat</t>
  </si>
  <si>
    <t>Alex Avila</t>
  </si>
  <si>
    <t>Tenex Personal Project File with Scoop Front Design, Black</t>
  </si>
  <si>
    <t>DataProducts Ampli Magnifier Task Lamp, Black,</t>
  </si>
  <si>
    <t>Xerox 1946</t>
  </si>
  <si>
    <t>Ritsa Hightower</t>
  </si>
  <si>
    <t>SpineVue Locking Slant-D Ring Binders by Cardinal</t>
  </si>
  <si>
    <t>Sean O'Donnell</t>
  </si>
  <si>
    <t>DAX Two-Tone Rosewood/Black Document Frame, Desktop, 5 x 7</t>
  </si>
  <si>
    <t>Wausau Papers Astrobrights Colored Envelopes</t>
  </si>
  <si>
    <t>Michael Stewart</t>
  </si>
  <si>
    <t>Rose O'Brian</t>
  </si>
  <si>
    <t>GBC Ibimaster 500 Manual ProClick Binding System</t>
  </si>
  <si>
    <t>Harry Marie</t>
  </si>
  <si>
    <t>Tyvek Side-Opening Peel &amp; Seel Expanding Envelopes</t>
  </si>
  <si>
    <t>Jensen SMPS-640 -Â speaker phone</t>
  </si>
  <si>
    <t>Avery Hi-Liter Fluorescent Desk Style Markers</t>
  </si>
  <si>
    <t>Newell 34</t>
  </si>
  <si>
    <t>James Lanier</t>
  </si>
  <si>
    <t>Fellowes Strictly Business Drawer File, Letter/Legal Size</t>
  </si>
  <si>
    <t>Sarah Foster</t>
  </si>
  <si>
    <t>Samsung Convoy 3</t>
  </si>
  <si>
    <t>Alan Haines</t>
  </si>
  <si>
    <t>36X48 HARDFLOOR CHAIRMAT</t>
  </si>
  <si>
    <t>Mike Vittorini</t>
  </si>
  <si>
    <t>Cisco SPA525G2 IP Phone - Wireless</t>
  </si>
  <si>
    <t>Jennifer Jackson</t>
  </si>
  <si>
    <t>Avanti 4.4 Cu. Ft. Refrigerator</t>
  </si>
  <si>
    <t>Greg Guthrie</t>
  </si>
  <si>
    <t>Cardinal Slant-D Ring Binders</t>
  </si>
  <si>
    <t>DAX Charcoal/Nickel-Tone Document Frame, 5 x 7</t>
  </si>
  <si>
    <t>Carol Adams</t>
  </si>
  <si>
    <t>Jennifer Ferguson</t>
  </si>
  <si>
    <t>Dixon Ticonderoga Pencils</t>
  </si>
  <si>
    <t>Edward Becker</t>
  </si>
  <si>
    <t>Brenda Bowman</t>
  </si>
  <si>
    <t>Xerox 1981</t>
  </si>
  <si>
    <t>Stackable Trays</t>
  </si>
  <si>
    <t>Victor Preis</t>
  </si>
  <si>
    <t>Durable Pressboard Binders</t>
  </si>
  <si>
    <t>Mitch Webber</t>
  </si>
  <si>
    <t>HP Standard 104 key PS/2 Keyboard</t>
  </si>
  <si>
    <t>Eldon Expressions Wood Desk Accessories, Oak</t>
  </si>
  <si>
    <t>Arthur Gainer</t>
  </si>
  <si>
    <t>Sauder Camden County Barrister Bookcase, Planked Cherry Finish</t>
  </si>
  <si>
    <t>DXL Angle-View Binders with Locking Rings, Black</t>
  </si>
  <si>
    <t>Sauder Camden County Collection Libraries, Planked Cherry Finish</t>
  </si>
  <si>
    <t>Cathy Armstrong</t>
  </si>
  <si>
    <t>Sung Pak</t>
  </si>
  <si>
    <t>Tensor Brushed Steel Torchiere Floor Lamp</t>
  </si>
  <si>
    <t>Joel Jenkins</t>
  </si>
  <si>
    <t>Bush Cubix Collection Bookcases, Fully Assembled</t>
  </si>
  <si>
    <t>George Bell</t>
  </si>
  <si>
    <t>Belkin 325VA UPS Surge Protector, 6'</t>
  </si>
  <si>
    <t>Wilson Jones 1" Hanging DublLock Ring Binders</t>
  </si>
  <si>
    <t>Avery 476</t>
  </si>
  <si>
    <t>Hanging Personal Folder File</t>
  </si>
  <si>
    <t>Christy Brittain</t>
  </si>
  <si>
    <t>Insertable Tab Post Binder Dividers</t>
  </si>
  <si>
    <t>Acme Titanium Bonded Scissors</t>
  </si>
  <si>
    <t>Matt Hagelstein</t>
  </si>
  <si>
    <t>Executive Impressions 14" Contract Wall Clock</t>
  </si>
  <si>
    <t>GBC White Gloss Covers, Plain Front</t>
  </si>
  <si>
    <t>Stephanie Ulpright</t>
  </si>
  <si>
    <t>Xerox 188</t>
  </si>
  <si>
    <t>Avery 488</t>
  </si>
  <si>
    <t>It's Hot Message Books with Stickers, 2 3/4" x 5"</t>
  </si>
  <si>
    <t>Newell 310</t>
  </si>
  <si>
    <t>Hon Metal Bookcases, Putty</t>
  </si>
  <si>
    <t>SANFORD Liquid Accent Tank-Style Highlighters</t>
  </si>
  <si>
    <t>Trudy Schmidt</t>
  </si>
  <si>
    <t>UniKeep View Case Binders</t>
  </si>
  <si>
    <t>Memorex Mini Travel Drive 8 GB USB 2.0 Flash Drive</t>
  </si>
  <si>
    <t>Lori Olson</t>
  </si>
  <si>
    <t>Xerox 1920</t>
  </si>
  <si>
    <t>Canon PC1060 Personal Laser Copier</t>
  </si>
  <si>
    <t>Thomas Thornton</t>
  </si>
  <si>
    <t>Kalyca Meade</t>
  </si>
  <si>
    <t>OtterBox Commuter Series Case - Samsung Galaxy S4</t>
  </si>
  <si>
    <t>Bush Mission Pointe Library</t>
  </si>
  <si>
    <t>Sarah Jordon</t>
  </si>
  <si>
    <t>Novimex Turbo Task Chair</t>
  </si>
  <si>
    <t>Newell 333</t>
  </si>
  <si>
    <t>Rachel Payne</t>
  </si>
  <si>
    <t>Xerox 1906</t>
  </si>
  <si>
    <t>O'Sullivan Manor Hill 2-Door Library in Brianna Oak</t>
  </si>
  <si>
    <t>Acco Hanging Data Binders</t>
  </si>
  <si>
    <t>Howard Miller 16" Diameter Gallery Wall Clock</t>
  </si>
  <si>
    <t>Chuck Clark</t>
  </si>
  <si>
    <t>Assorted Color Push Pins</t>
  </si>
  <si>
    <t>Alyssa Tate</t>
  </si>
  <si>
    <t>GBC Plasticlear Binding Covers</t>
  </si>
  <si>
    <t>SlimView Poly Binder, 3/8"</t>
  </si>
  <si>
    <t>Shaun Weien</t>
  </si>
  <si>
    <t>Meg Tillman</t>
  </si>
  <si>
    <t>Redi-Strip #10 Envelopes, 4 1/8 x 9 1/2</t>
  </si>
  <si>
    <t>Naresj Patel</t>
  </si>
  <si>
    <t>Katrina Willman</t>
  </si>
  <si>
    <t>Avery Reinforcements for Hole-Punch Pages</t>
  </si>
  <si>
    <t>Gary Hwang</t>
  </si>
  <si>
    <t>Xerox 1970</t>
  </si>
  <si>
    <t>Xerox 1960</t>
  </si>
  <si>
    <t>Belkin 19" Vented Equipment Shelf, Black</t>
  </si>
  <si>
    <t>Polycom SoundStation2 EX ConferenceÂ phone</t>
  </si>
  <si>
    <t>Global Low Back Tilter Chair</t>
  </si>
  <si>
    <t>Katherine Murray</t>
  </si>
  <si>
    <t>Message Book, Phone, Wirebound Standard Line Memo, 2 3/4" X 5"</t>
  </si>
  <si>
    <t>Xerox 1903</t>
  </si>
  <si>
    <t>LogitechÂ VX Revolution Cordless Laser Mouse for Notebooks (Black)</t>
  </si>
  <si>
    <t>Hewlett Packard 610 Color Digital Copier / Printer</t>
  </si>
  <si>
    <t>Xerox 20</t>
  </si>
  <si>
    <t>Art Ferguson</t>
  </si>
  <si>
    <t>Mike Pelletier</t>
  </si>
  <si>
    <t>Spiral Phone Message Books with Labels by Adams</t>
  </si>
  <si>
    <t>Damala Kotsonis</t>
  </si>
  <si>
    <t>Eugene Moren</t>
  </si>
  <si>
    <t>Microsoft Sculpt Comfort Mouse</t>
  </si>
  <si>
    <t>LG G3</t>
  </si>
  <si>
    <t>Hoover Upright Vacuum With Dirt Cup</t>
  </si>
  <si>
    <t>Razer Kraken PRO Over Ear PC and Music Headset</t>
  </si>
  <si>
    <t>Frank Merwin</t>
  </si>
  <si>
    <t>Newell 331</t>
  </si>
  <si>
    <t>Xerox 192</t>
  </si>
  <si>
    <t>Anna Gayman</t>
  </si>
  <si>
    <t>Chromcraft Round Conference Tables</t>
  </si>
  <si>
    <t>Xerox 1902</t>
  </si>
  <si>
    <t>Eleni McCrary</t>
  </si>
  <si>
    <t>3-ring staple pack</t>
  </si>
  <si>
    <t>Noel Staavos</t>
  </si>
  <si>
    <t>Parhena Norris</t>
  </si>
  <si>
    <t>Cardinal Hold-It CD Pocket</t>
  </si>
  <si>
    <t>Kelly Williams</t>
  </si>
  <si>
    <t>Wilson Jones Hanging View Binder, White, 1"</t>
  </si>
  <si>
    <t>Tenex V2T-RE Standard Weight Series Chair Mat, 45" x 53", Lip 25" x 12"</t>
  </si>
  <si>
    <t>Acco Six-Outlet Power Strip, 4' Cord Length</t>
  </si>
  <si>
    <t>Eudokia Martin</t>
  </si>
  <si>
    <t>Ativa D5772 2-Line 5.8GHz Digital Expandable Corded/Cordless Phone System with Answering &amp; Caller ID/Call Waiting, Black/Silver</t>
  </si>
  <si>
    <t>Avery 50</t>
  </si>
  <si>
    <t>Safco Industrial Wire Shelving</t>
  </si>
  <si>
    <t>Charles Crestani</t>
  </si>
  <si>
    <t>Metal Folding Chairs, Beige, 4/Carton</t>
  </si>
  <si>
    <t>Anderson Hickey Conga Table Tops &amp; Accessories</t>
  </si>
  <si>
    <t>GBC Wire Binding Strips</t>
  </si>
  <si>
    <t>Angle-D Ring Binders</t>
  </si>
  <si>
    <t>Corey Catlett</t>
  </si>
  <si>
    <t>Mobile Personal File Cube</t>
  </si>
  <si>
    <t>KeyTronicÂ E03601U1 -Â KeyboardÂ - Beige</t>
  </si>
  <si>
    <t>Acco Pressboard Covers with Storage Hooks, 9 1/2" x 11", Executive Red</t>
  </si>
  <si>
    <t>Bretford CR8500 Series Meeting Room Furniture</t>
  </si>
  <si>
    <t>Karen Bern</t>
  </si>
  <si>
    <t>Safco Contoured Stacking Chairs</t>
  </si>
  <si>
    <t>Mike Caudle</t>
  </si>
  <si>
    <t>Rubber Band Ball</t>
  </si>
  <si>
    <t>Loose Memo Sheets</t>
  </si>
  <si>
    <t>White Envelopes, White Envelopes with Clear Poly Window</t>
  </si>
  <si>
    <t>Vermont</t>
  </si>
  <si>
    <t>Christine Phan</t>
  </si>
  <si>
    <t>Avery Hanging File Binders</t>
  </si>
  <si>
    <t>Doug O'Connell</t>
  </si>
  <si>
    <t>Xerox 1886</t>
  </si>
  <si>
    <t>Adrian Barton</t>
  </si>
  <si>
    <t>Gould Plastics 9-Pocket Panel Bin, 18-3/8w x 5-1/4d x 20-1/2h, Black</t>
  </si>
  <si>
    <t>Tenex Chairmats For Use with Hard Floors</t>
  </si>
  <si>
    <t>Fellowes Recycled Storage Drawers</t>
  </si>
  <si>
    <t>Canon PC170 Desktop Personal Copier</t>
  </si>
  <si>
    <t>Alliance Big Bands Rubber Bands, 12/Pack</t>
  </si>
  <si>
    <t>Alan Hwang</t>
  </si>
  <si>
    <t>Pressboard Data Binders by Wilson Jones</t>
  </si>
  <si>
    <t>Avery Durable Slant Ring Binders With Label Holder</t>
  </si>
  <si>
    <t>Digium D40 VoIP phone</t>
  </si>
  <si>
    <t>Kristen Hastings</t>
  </si>
  <si>
    <t>Xerox 218</t>
  </si>
  <si>
    <t>Wirebound Message Books, Four 2 3/4 x 5 Forms per Page, 200 Sets per Book</t>
  </si>
  <si>
    <t>Advantus Push Pins, Aluminum Head</t>
  </si>
  <si>
    <t>Sanford Colorific Colored Pencils, 12/Box</t>
  </si>
  <si>
    <t>Dana Kaydos</t>
  </si>
  <si>
    <t>Rush Hierlooms Collection 1" Thick Stackable Bookcases</t>
  </si>
  <si>
    <t>Hon Mobius Operator's Chair</t>
  </si>
  <si>
    <t>Nortel Meridian M3904 Professional Digital phone</t>
  </si>
  <si>
    <t>Boston 1900 Electric Pencil Sharpener</t>
  </si>
  <si>
    <t>Anthony Rawles</t>
  </si>
  <si>
    <t>Xerox 1997</t>
  </si>
  <si>
    <t>VTech DS6151</t>
  </si>
  <si>
    <t>Natalie Webber</t>
  </si>
  <si>
    <t>Xerox 204</t>
  </si>
  <si>
    <t>Maureen Gnade</t>
  </si>
  <si>
    <t>Maxell 4.7GB DVD+R 5/Pack</t>
  </si>
  <si>
    <t>Xerox 1951</t>
  </si>
  <si>
    <t>Fellowes Super Stor/Drawer Files</t>
  </si>
  <si>
    <t>Advantus Employee of the Month Certificate Frame, 11 x 13-1/2</t>
  </si>
  <si>
    <t>Newell 344</t>
  </si>
  <si>
    <t>Xerox 1963</t>
  </si>
  <si>
    <t>Darrin Martin</t>
  </si>
  <si>
    <t>Global Ergonomic Managers Chair</t>
  </si>
  <si>
    <t>Denny Blanton</t>
  </si>
  <si>
    <t>Boston 1827 Commercial Additional Cutter, Drive Gear &amp; Gear Rack for 1606</t>
  </si>
  <si>
    <t>Conquest 14 Commercial Heavy-Duty Upright Vacuum, Collection System, Accessory Kit</t>
  </si>
  <si>
    <t>Acrylic Self-Standing Desk Frames</t>
  </si>
  <si>
    <t>Brian Thompson</t>
  </si>
  <si>
    <t>Binney &amp; Smith inkTank Desk Highlighter, Chisel Tip, Yellow, 12/Box</t>
  </si>
  <si>
    <t>Gene Hale</t>
  </si>
  <si>
    <t>Tenex Traditional Chairmats for Medium Pile Carpet, Standard Lip, 36" x 48"</t>
  </si>
  <si>
    <t>Helen Abelman</t>
  </si>
  <si>
    <t>American Pencil</t>
  </si>
  <si>
    <t>Maria Zettner</t>
  </si>
  <si>
    <t>Alliance Rubber Bands</t>
  </si>
  <si>
    <t>Xerox 1988</t>
  </si>
  <si>
    <t>Amy Cox</t>
  </si>
  <si>
    <t>Duane Benoit</t>
  </si>
  <si>
    <t>Microsoft Arc Touch Mouse</t>
  </si>
  <si>
    <t>Newell 314</t>
  </si>
  <si>
    <t>Iowa</t>
  </si>
  <si>
    <t>Fellowes Desktop Hanging File Manager</t>
  </si>
  <si>
    <t>Nu-Dell EZ-Mount Plastic Wall Frames</t>
  </si>
  <si>
    <t>Zebra ZM400 Thermal Label Printer</t>
  </si>
  <si>
    <t>OIC Binder Clips</t>
  </si>
  <si>
    <t>Permanent Self-Adhesive File Folder Labels for Typewriters, 1 1/8 x 3 1/2, White</t>
  </si>
  <si>
    <t>Riverside Palais Royal Lawyers Bookcase, Royale Cherry Finish</t>
  </si>
  <si>
    <t>Tonja Turnell</t>
  </si>
  <si>
    <t>Nokia Lumia 521 (T-Mobile)</t>
  </si>
  <si>
    <t>Yana Sorensen</t>
  </si>
  <si>
    <t>WD My Passport Ultra 500GB Portable External Hard Drive</t>
  </si>
  <si>
    <t>Henry Goldwyn</t>
  </si>
  <si>
    <t>Craig Carroll</t>
  </si>
  <si>
    <t>Belkin 5 Outlet SurgeMaster Power Centers</t>
  </si>
  <si>
    <t>Boston 1730 StandUp Electric Pencil Sharpener</t>
  </si>
  <si>
    <t>Speediset Carbonless Redi-Letter 7" x 8 1/2"</t>
  </si>
  <si>
    <t>Toby Gnade</t>
  </si>
  <si>
    <t>Laminate Occasional Tables</t>
  </si>
  <si>
    <t>Mick Crebagga</t>
  </si>
  <si>
    <t>Ivan Gibson</t>
  </si>
  <si>
    <t>Honeywell Enviracaire Portable HEPA Air Cleaner for up to 10 x 16 Room</t>
  </si>
  <si>
    <t>Anthony Garverick</t>
  </si>
  <si>
    <t>Trudy Glocke</t>
  </si>
  <si>
    <t>Dexim XPower Skin Super-Thin Power Case for iPhone 5 - Black</t>
  </si>
  <si>
    <t>Max Jones</t>
  </si>
  <si>
    <t>Wilson Jones Elliptical Ring 3 1/2" Capacity Binders, 800 sheets</t>
  </si>
  <si>
    <t>Logitech Keyboard K120</t>
  </si>
  <si>
    <t>Tops Wirebound Message Log Books</t>
  </si>
  <si>
    <t>Advantus Map Pennant Flags and Round Head Tacks</t>
  </si>
  <si>
    <t>Fellowes Powershred HS-440 4-Sheet High Security Shredder</t>
  </si>
  <si>
    <t>Eldon ClusterMat Chair Mat with Cordless Antistatic Protection</t>
  </si>
  <si>
    <t>Avery 05222 Permanent Self-Adhesive File Folder Labels for Typewriters, on Rolls, White, 250/Roll</t>
  </si>
  <si>
    <t>GBC Recycled VeloBinder Covers</t>
  </si>
  <si>
    <t>Wilson Jones Active Use Binders</t>
  </si>
  <si>
    <t>Project Tote Personal File</t>
  </si>
  <si>
    <t>Panasonic KX-TG9541B DECT 6.0 Digital 2-Line Expandable Cordless Phone With Digital Answering System</t>
  </si>
  <si>
    <t>Acco 7-Outlet Masterpiece Power Center, Wihtout Fax/Phone Line Protection</t>
  </si>
  <si>
    <t>Sanford Uni-Blazer View Highlighters, Chisel Tip, Yellow</t>
  </si>
  <si>
    <t>KI Conference Tables</t>
  </si>
  <si>
    <t>Artistic Insta-Plaque</t>
  </si>
  <si>
    <t>Belkin QODE FastFit Bluetooth Keyboard</t>
  </si>
  <si>
    <t>Avery File Folder Labels</t>
  </si>
  <si>
    <t>O'Sullivan Cherrywood Estates Traditional Barrister Bookcase</t>
  </si>
  <si>
    <t>Monica Federle</t>
  </si>
  <si>
    <t>Xerox 1885</t>
  </si>
  <si>
    <t>KLD Oscar II Style Snap-on Ultra Thin Side Flip Synthetic Leather Cover Case for HTC One HTC M7</t>
  </si>
  <si>
    <t>Sonia Cooley</t>
  </si>
  <si>
    <t>Clear Mylar Reinforcing Strips</t>
  </si>
  <si>
    <t>Avery Hi-Liter Smear-Safe Highlighters</t>
  </si>
  <si>
    <t>Fred McMath</t>
  </si>
  <si>
    <t>High-Back Leather Manager's Chair</t>
  </si>
  <si>
    <t>Belkin 8 Outlet SurgeMaster II Gold Surge Protector</t>
  </si>
  <si>
    <t>Charlotte Melton</t>
  </si>
  <si>
    <t>While You Were Out Pads, 50 per Pad, 4 x 5 1/4, Green Cycle</t>
  </si>
  <si>
    <t>Adam Shillingsburg</t>
  </si>
  <si>
    <t>Binder Posts</t>
  </si>
  <si>
    <t>Bevis Round Conference Table Top &amp; Single Column Base</t>
  </si>
  <si>
    <t>Xerox 1978</t>
  </si>
  <si>
    <t>Dianna Vittorini</t>
  </si>
  <si>
    <t>Poly String Tie Envelopes</t>
  </si>
  <si>
    <t>AmazonBasics 3-Button USB Wired Mouse</t>
  </si>
  <si>
    <t>Jesus Ocampo</t>
  </si>
  <si>
    <t>OIC Binder Clips, Mini, 1/4" Capacity, Black</t>
  </si>
  <si>
    <t>Ken Brennan</t>
  </si>
  <si>
    <t>Michael Moore</t>
  </si>
  <si>
    <t>Bush Advantage Collection Racetrack Conference Table</t>
  </si>
  <si>
    <t>Acco Suede Grain Vinyl Round Ring Binder</t>
  </si>
  <si>
    <t>Eugene Hildebrand</t>
  </si>
  <si>
    <t>Steel Personal Filing/Posting Tote</t>
  </si>
  <si>
    <t>Faber Castell Col-Erase Pencils</t>
  </si>
  <si>
    <t>Tripp Lite Isotel 8 Ultra 8 Outlet Metal Surge</t>
  </si>
  <si>
    <t>Alan Barnes</t>
  </si>
  <si>
    <t>Avery 489</t>
  </si>
  <si>
    <t>Peel-Off China Markers</t>
  </si>
  <si>
    <t>Bill Donatelli</t>
  </si>
  <si>
    <t>GBC Binding covers</t>
  </si>
  <si>
    <t>Xerox 1952</t>
  </si>
  <si>
    <t>Belkin 19" Center-Weighted Shelf, Gray</t>
  </si>
  <si>
    <t>Bobby Odegard</t>
  </si>
  <si>
    <t>Manco Dry-Lighter Erasable Highlighter</t>
  </si>
  <si>
    <t>Seth Thomas 13 1/2" Wall Clock</t>
  </si>
  <si>
    <t>Alex Russell</t>
  </si>
  <si>
    <t>Global Commerce Series Low-Back Swivel/Tilt Chairs</t>
  </si>
  <si>
    <t>Xerox 1894</t>
  </si>
  <si>
    <t>Global Leather &amp; Oak Executive Chair, Burgundy</t>
  </si>
  <si>
    <t>Avery 503</t>
  </si>
  <si>
    <t>Steve Chapman</t>
  </si>
  <si>
    <t>Letter Size Cart</t>
  </si>
  <si>
    <t>Philisse Overcash</t>
  </si>
  <si>
    <t>Permanent Self-Adhesive File Folder Labels for Typewriters by Universal</t>
  </si>
  <si>
    <t>Khloe Miller</t>
  </si>
  <si>
    <t>Staples in misc. colors</t>
  </si>
  <si>
    <t>Xerox 201</t>
  </si>
  <si>
    <t>Memorex 25GB 6X Branded Blu-Ray Recordable Disc, 15/Pack</t>
  </si>
  <si>
    <t>Avery 486</t>
  </si>
  <si>
    <t>Adams Phone Message Book, 200 Message Capacity, 8 1/16Â” x 11Â”</t>
  </si>
  <si>
    <t>Xerox 1883</t>
  </si>
  <si>
    <t>Frank Carlisle</t>
  </si>
  <si>
    <t>Julia West</t>
  </si>
  <si>
    <t>3M Replacement Filter for Office Air Cleaner for 20' x 33' Room</t>
  </si>
  <si>
    <t>Ryan Akin</t>
  </si>
  <si>
    <t>OtterBox Commuter Series Case - iPhone 5 &amp; 5s</t>
  </si>
  <si>
    <t>Kensington 4 Outlet MasterPiece Compact Power Control Center</t>
  </si>
  <si>
    <t>Executive Impressions Supervisor Wall Clock</t>
  </si>
  <si>
    <t>Executive Impressions 14" Two-Color Numerals Wall Clock</t>
  </si>
  <si>
    <t>Andy Reiter</t>
  </si>
  <si>
    <t>Canon PC-428 Personal Copier</t>
  </si>
  <si>
    <t>Paul Stevenson</t>
  </si>
  <si>
    <t>Global Chrome Stack Chair</t>
  </si>
  <si>
    <t>Brian Dahlen</t>
  </si>
  <si>
    <t>Xerox 222</t>
  </si>
  <si>
    <t>DAX Clear Channel Poster Frame</t>
  </si>
  <si>
    <t>Jim Epp</t>
  </si>
  <si>
    <t>Hon 2090 Â“Pillow SoftÂ” Series Mid Back Swivel/Tilt Chairs</t>
  </si>
  <si>
    <t>GBC Standard Plastic Binding Systems' Combs</t>
  </si>
  <si>
    <t>Tennsco 16-Compartment Lockers with Coat Rack</t>
  </si>
  <si>
    <t>Clytie Kelty</t>
  </si>
  <si>
    <t>Howard Miller 13-3/4" Diameter Brushed Chrome Round Wall Clock</t>
  </si>
  <si>
    <t>3M Organizer Strips</t>
  </si>
  <si>
    <t>Novimex Fabric Task Chair</t>
  </si>
  <si>
    <t>Xerox 1896</t>
  </si>
  <si>
    <t>Todd Sumrall</t>
  </si>
  <si>
    <t>Lesro Sheffield Collection Coffee Table, End Table, Center Table, Corner Table</t>
  </si>
  <si>
    <t>Tuf-Vin Binders</t>
  </si>
  <si>
    <t>Barry Weirich</t>
  </si>
  <si>
    <t>AT&amp;T 841000 Phone</t>
  </si>
  <si>
    <t>Boston 19500 Mighty Mite Electric Pencil Sharpener</t>
  </si>
  <si>
    <t>Avery 474</t>
  </si>
  <si>
    <t>Deflect-o DuraMat Antistatic Studded Beveled Mat for Medium Pile Carpeting</t>
  </si>
  <si>
    <t>Space Solutions Industrial Galvanized Steel Shelving.</t>
  </si>
  <si>
    <t>LogitechÂ LS21 Speaker System - PC Multimedia - 2.1-CH - Wired</t>
  </si>
  <si>
    <t>Deflect-O Glasstique Clear Desk Accessories</t>
  </si>
  <si>
    <t>Skye Norling</t>
  </si>
  <si>
    <t>Fellowes Advanced 8 Outlet Surge Suppressor with Phone/Fax Protection</t>
  </si>
  <si>
    <t>Xerox 208</t>
  </si>
  <si>
    <t>Bretford CR4500 Series Slim Rectangular Table</t>
  </si>
  <si>
    <t>Eldon Fold 'N Roll Cart System</t>
  </si>
  <si>
    <t>Memorex 25GB 6X Branded Blu-Ray Recordable Disc, 30/Pack</t>
  </si>
  <si>
    <t>Advantus 10-Drawer Portable Organizer, Chrome Metal Frame, Smoke Drawers</t>
  </si>
  <si>
    <t>Stuart Calhoun</t>
  </si>
  <si>
    <t>Bush Westfield Collection Bookcases, Dark Cherry Finish</t>
  </si>
  <si>
    <t>Newell 326</t>
  </si>
  <si>
    <t>Bevis Rectangular Conference Tables</t>
  </si>
  <si>
    <t>Xerox 1932</t>
  </si>
  <si>
    <t>Avery Personal Creations Heavyweight Cards</t>
  </si>
  <si>
    <t>Lena Creighton</t>
  </si>
  <si>
    <t>Jim Kriz</t>
  </si>
  <si>
    <t>Cynthia Arntzen</t>
  </si>
  <si>
    <t>Maxell 4.7GB DVD+RW 3/Pack</t>
  </si>
  <si>
    <t>Dual Level, Single-Width Filing Carts</t>
  </si>
  <si>
    <t>Cindy Schnelling</t>
  </si>
  <si>
    <t>Anker 24W Portable Micro USB Car Charger</t>
  </si>
  <si>
    <t>SanDisk Cruzer 4 GB USB Flash Drive</t>
  </si>
  <si>
    <t>LG Electronics Tone+ HBS-730 Bluetooth Headset</t>
  </si>
  <si>
    <t>Eldon Expressions Desk Accessory, Wood Pencil Holder, Oak</t>
  </si>
  <si>
    <t>Evan Bailliet</t>
  </si>
  <si>
    <t>Robert Dilbeck</t>
  </si>
  <si>
    <t>Rogers Jumbo File, Granite</t>
  </si>
  <si>
    <t>Cindy Stewart</t>
  </si>
  <si>
    <t>Xerox 1962</t>
  </si>
  <si>
    <t>Xerox 1953</t>
  </si>
  <si>
    <t>Annie Zypern</t>
  </si>
  <si>
    <t>James Galang</t>
  </si>
  <si>
    <t>Giulietta Baptist</t>
  </si>
  <si>
    <t>Laurel Elliston</t>
  </si>
  <si>
    <t>Jonathan Howell</t>
  </si>
  <si>
    <t>Vtech CS6719</t>
  </si>
  <si>
    <t>GE 2-Jack Phone Line Splitter</t>
  </si>
  <si>
    <t>Hewlett Packard 310 Color Digital Copier</t>
  </si>
  <si>
    <t>Avery 520</t>
  </si>
  <si>
    <t>HP Office Recycled Paper (20Lb. and 87 Bright)</t>
  </si>
  <si>
    <t>Tyvek  Top-Opening Peel &amp; Seel Envelopes, Plain White</t>
  </si>
  <si>
    <t>Craig Carreira</t>
  </si>
  <si>
    <t>Atlantic Metals Mobile 4-Shelf Bookcases, Custom Colors</t>
  </si>
  <si>
    <t>4009 Highlighters by Sanford</t>
  </si>
  <si>
    <t>Ralph Kennedy</t>
  </si>
  <si>
    <t>Yoseph Carroll</t>
  </si>
  <si>
    <t>Blue String-Tie &amp; Button Interoffice Envelopes, 10 x 13</t>
  </si>
  <si>
    <t>Eugene Barchas</t>
  </si>
  <si>
    <t>Recycled Premium Regency Composition Covers</t>
  </si>
  <si>
    <t>Newell 311</t>
  </si>
  <si>
    <t>Black Print Carbonless Snap-Off Rapid Letter, 8 1/2" x 7"</t>
  </si>
  <si>
    <t>Eldon Cleatmat Chair Mats for Medium Pile Carpets</t>
  </si>
  <si>
    <t>Jonathan Doherty</t>
  </si>
  <si>
    <t>Xerox 1930</t>
  </si>
  <si>
    <t>Ativa V4110MDD Micro-Cut Shredder</t>
  </si>
  <si>
    <t>RCA ViSYS 25423RE1 Corded phone</t>
  </si>
  <si>
    <t>Raymond Buch</t>
  </si>
  <si>
    <t>Newell 342</t>
  </si>
  <si>
    <t>Belkin Grip Candy Sheer Case / Cover for iPhone 5 and 5S</t>
  </si>
  <si>
    <t>Belkin F9H710-06 7 Outlet SurgeMaster Surge Protector</t>
  </si>
  <si>
    <t>Don Weiss</t>
  </si>
  <si>
    <t>Boston 16801 Nautilus Battery Pencil Sharpener</t>
  </si>
  <si>
    <t>Avery 473</t>
  </si>
  <si>
    <t>Daniel Byrd</t>
  </si>
  <si>
    <t>Regeneration Desk Collection</t>
  </si>
  <si>
    <t>Muhammed Yedwab</t>
  </si>
  <si>
    <t>Cyber Acoustics AC-202b Speech Recognition Stereo Headset</t>
  </si>
  <si>
    <t>Herbert Flentye</t>
  </si>
  <si>
    <t>Chris McAfee</t>
  </si>
  <si>
    <t>Xerox 1914</t>
  </si>
  <si>
    <t>Xerox 1994</t>
  </si>
  <si>
    <t>Jay Fein</t>
  </si>
  <si>
    <t>Binding Machine Supplies</t>
  </si>
  <si>
    <t>Avery 477</t>
  </si>
  <si>
    <t>KeyTronicÂ KT400U2 -Â KeyboardÂ - Black</t>
  </si>
  <si>
    <t>Southworth 25% Cotton Antique Laid Paper &amp; Envelopes</t>
  </si>
  <si>
    <t>Susan Gilcrest</t>
  </si>
  <si>
    <t>Apple iPhone 5</t>
  </si>
  <si>
    <t>Eldon 500 Class Desk Accessories</t>
  </si>
  <si>
    <t>Adam Bellavance</t>
  </si>
  <si>
    <t>Sabrent 4-Port USB 2.0 Hub</t>
  </si>
  <si>
    <t>GBC DocuBind P400 Electric Binding System</t>
  </si>
  <si>
    <t>Cynthia Voltz</t>
  </si>
  <si>
    <t>Telephone Message Books with Fax/Mobile Section, 5 1/2" x 3 3/16"</t>
  </si>
  <si>
    <t>Anker 36W 4-Port USB Wall Charger Travel Power Adapter for iPhone 5s 5c 5</t>
  </si>
  <si>
    <t>Eureka The Boss Plus 12-Amp Hard Box Upright Vacuum, Red</t>
  </si>
  <si>
    <t>Newell 315</t>
  </si>
  <si>
    <t>Laurel Beltran</t>
  </si>
  <si>
    <t>Brian DeCherney</t>
  </si>
  <si>
    <t>Hunter Glantz</t>
  </si>
  <si>
    <t>Tenex Personal Filing Tote With Secure Closure Lid, Black/Frost</t>
  </si>
  <si>
    <t>Universal Premium White Copier/Laser Paper (20Lb. and 87 Bright)</t>
  </si>
  <si>
    <t>Joel Eaton</t>
  </si>
  <si>
    <t>Carl Ludwig</t>
  </si>
  <si>
    <t>John Murray</t>
  </si>
  <si>
    <t>Executive Impressions 14"</t>
  </si>
  <si>
    <t>Acme Softgrip Scissors</t>
  </si>
  <si>
    <t>Tenex Chairmats For Use With Carpeted Floors</t>
  </si>
  <si>
    <t>Sauder Facets Collection Locker/File Cabinet, Sky Alder Finish</t>
  </si>
  <si>
    <t>Brendan Murry</t>
  </si>
  <si>
    <t>Bush Westfield Collection Bookcases, Medium Cherry Finish</t>
  </si>
  <si>
    <t>GE 30522EE2</t>
  </si>
  <si>
    <t>HP Designjet T520 Inkjet Large Format Printer - 24" Color</t>
  </si>
  <si>
    <t>Deflect-o RollaMat Studded, Beveled Mat for Medium Pile Carpeting</t>
  </si>
  <si>
    <t>Global Executive Mid-Back Manager's Chair</t>
  </si>
  <si>
    <t>Bryan Davis</t>
  </si>
  <si>
    <t>Cindy Chapman</t>
  </si>
  <si>
    <t>Super Decoflex Portable Personal File</t>
  </si>
  <si>
    <t>Dan Lawera</t>
  </si>
  <si>
    <t>Global Stack Chair without Arms, Black</t>
  </si>
  <si>
    <t>Sterilite Show Offs Storage Containers</t>
  </si>
  <si>
    <t>Avery 502</t>
  </si>
  <si>
    <t>Eldon 200 Class Desk Accessories</t>
  </si>
  <si>
    <t>Katherine Hughes</t>
  </si>
  <si>
    <t>Avery Hi-Liter Pen Style Six-Color Fluorescent Set</t>
  </si>
  <si>
    <t>Barry FranzÃ¶sisch</t>
  </si>
  <si>
    <t>Barricks Non-Folding Utility Table with Steel Legs, Laminate Tops</t>
  </si>
  <si>
    <t>Nortel Business Series Terminal T7208 Digital phone</t>
  </si>
  <si>
    <t>XtraLife ClearVue Slant-D Ring Binders by Cardinal</t>
  </si>
  <si>
    <t>Okidata C610n Printer</t>
  </si>
  <si>
    <t>Joe Elijah</t>
  </si>
  <si>
    <t>Heavy-Duty E-Z-D Binders</t>
  </si>
  <si>
    <t>Belkin F9M820V08 8 Outlet Surge</t>
  </si>
  <si>
    <t>Plantronics Savi W720 Multi-Device Wireless Headset System</t>
  </si>
  <si>
    <t>Ross DeVincentis</t>
  </si>
  <si>
    <t>LogitechÂ MX Performance Wireless Mouse</t>
  </si>
  <si>
    <t>Global Leather Task Chair, Black</t>
  </si>
  <si>
    <t>Inter-Office Recycled Envelopes, Brown Kraft, Button-String,10" x 13" , 100/Box</t>
  </si>
  <si>
    <t>Ultra Door Pull Handle</t>
  </si>
  <si>
    <t>Blackstonian Pencils</t>
  </si>
  <si>
    <t>Tim Taslimi</t>
  </si>
  <si>
    <t>Liz Preis</t>
  </si>
  <si>
    <t>Canon imageCLASS 2200 Advanced Copier</t>
  </si>
  <si>
    <t>Stanley Bostitch Contemporary Electric Pencil Sharpeners</t>
  </si>
  <si>
    <t>Mike Kennedy</t>
  </si>
  <si>
    <t>GBC VeloBind Cover Sets</t>
  </si>
  <si>
    <t>Eldon Regeneration Recycled Desk Accessories, Black</t>
  </si>
  <si>
    <t>Deluxe Rollaway Locking File with Drawer</t>
  </si>
  <si>
    <t>Jamie Frazer</t>
  </si>
  <si>
    <t>Ibico EB-19 Dual Function Manual Binding System</t>
  </si>
  <si>
    <t>Sauder Camden County Collection Library</t>
  </si>
  <si>
    <t>Christine Abelman</t>
  </si>
  <si>
    <t>ImationÂ Clip USBÂ flash driveÂ - 8 GB</t>
  </si>
  <si>
    <t>Bill Overfelt</t>
  </si>
  <si>
    <t>Hon Practical Foundations 30 x 60 Training Table, Light Gray/Charcoal</t>
  </si>
  <si>
    <t>Jason Gross</t>
  </si>
  <si>
    <t>Rediform Wirebound "Phone Memo" Message Book, 11 x 5-3/4</t>
  </si>
  <si>
    <t>Plantronics Encore H101 Dual EarpiecesÂ Headset</t>
  </si>
  <si>
    <t>Office Impressions End Table, 20-1/2"H x 24"W x 20"D</t>
  </si>
  <si>
    <t>Theresa Swint</t>
  </si>
  <si>
    <t>Elite 5" Scissors</t>
  </si>
  <si>
    <t>High Speed Automatic Electric Letter Opener</t>
  </si>
  <si>
    <t>GBC Velobind Prepunched Cover Sets, Regency Series</t>
  </si>
  <si>
    <t>Zuschuss Donatelli</t>
  </si>
  <si>
    <t>Newell 316</t>
  </si>
  <si>
    <t>Susan MacKendrick</t>
  </si>
  <si>
    <t>Computer Room Manger, 14"</t>
  </si>
  <si>
    <t>Cisco 8961 IP Phone Charcoal</t>
  </si>
  <si>
    <t>Avery 496</t>
  </si>
  <si>
    <t>Hon 61000 Series Interactive Training Tables</t>
  </si>
  <si>
    <t>Guy Thornton</t>
  </si>
  <si>
    <t>Avanti 1.7 Cu. Ft. Refrigerator</t>
  </si>
  <si>
    <t>Xerox 1925</t>
  </si>
  <si>
    <t>Alex Grayson</t>
  </si>
  <si>
    <t>Sony Micro Vault Click 4 GB USB 2.0 Flash Drive</t>
  </si>
  <si>
    <t>Tenex "The Solids" Textured Chair Mats</t>
  </si>
  <si>
    <t>Crate-A-Files</t>
  </si>
  <si>
    <t>Rob Beeghly</t>
  </si>
  <si>
    <t>Safco Value Mate Steel Bookcase, Baked Enamel Finish on Steel, Black</t>
  </si>
  <si>
    <t>Wirebound Four 2-3/4 x 5 Forms per Page, 400 Sets per Book</t>
  </si>
  <si>
    <t>Office Star - Contemporary Task Swivel Chair</t>
  </si>
  <si>
    <t>Eldon Expressions Desk Accessory, Wood Photo Frame, Mahogany</t>
  </si>
  <si>
    <t>Xerox 1900</t>
  </si>
  <si>
    <t>Newell 332</t>
  </si>
  <si>
    <t>Phillip Flathmann</t>
  </si>
  <si>
    <t>Global Deluxe High-Back Office Chair in Storm</t>
  </si>
  <si>
    <t>Kensington K72356US Mouse-in-a-Box USB Desktop Mouse</t>
  </si>
  <si>
    <t>Honeywell Enviracaire Portable HEPA Air Cleaner for 16' x 20' Room</t>
  </si>
  <si>
    <t>Magna Visual Magnetic Picture Hangers</t>
  </si>
  <si>
    <t>Boston 16750 Black Compact Battery Pencil Sharpener</t>
  </si>
  <si>
    <t>Global Adaptabilities Conference Tables</t>
  </si>
  <si>
    <t>Holmes 99% HEPA Air Purifier</t>
  </si>
  <si>
    <t>Xerox 1892</t>
  </si>
  <si>
    <t>Fellowes Black Plastic Comb Bindings</t>
  </si>
  <si>
    <t>Xerox 22</t>
  </si>
  <si>
    <t>Multicolor Computer Printout Paper</t>
  </si>
  <si>
    <t>Patrick Jones</t>
  </si>
  <si>
    <t>Okidata B401 Printer</t>
  </si>
  <si>
    <t>Bevis Steel Folding Chairs</t>
  </si>
  <si>
    <t>Personal Folder Holder, Ebony</t>
  </si>
  <si>
    <t>Caroline Jumper</t>
  </si>
  <si>
    <t>3M Polarizing Light Filter Sleeves</t>
  </si>
  <si>
    <t>Gary McGarr</t>
  </si>
  <si>
    <t>Hon 4060 Series Tables</t>
  </si>
  <si>
    <t>Erica Bern</t>
  </si>
  <si>
    <t>Ben Peterman</t>
  </si>
  <si>
    <t>Tracy Blumstein</t>
  </si>
  <si>
    <t>Michael Granlund</t>
  </si>
  <si>
    <t>Berol Giant Pencil Sharpener</t>
  </si>
  <si>
    <t>Randy Ferguson</t>
  </si>
  <si>
    <t>Anker Astro 15000mAh USB Portable Charger</t>
  </si>
  <si>
    <t>Evan Henry</t>
  </si>
  <si>
    <t>Luxo Professional Fluorescent Magnifier Lamp with Clamp-Mount Base</t>
  </si>
  <si>
    <t>PureGear Roll-On Screen Protector</t>
  </si>
  <si>
    <t>Eldon 100 Class Desk Accessories</t>
  </si>
  <si>
    <t>Edward Nazzal</t>
  </si>
  <si>
    <t>Panasonic KX MC6040 Color Laser Multifunction Printer</t>
  </si>
  <si>
    <t>Sauder Inglewood Library Bookcases</t>
  </si>
  <si>
    <t>Avaya 4621SW VoIP phone</t>
  </si>
  <si>
    <t>OtterBox Defender Series Case - Samsung Galaxy S4</t>
  </si>
  <si>
    <t>Max Ludwig</t>
  </si>
  <si>
    <t>Avery 478</t>
  </si>
  <si>
    <t>Ralph Arnett</t>
  </si>
  <si>
    <t>Linda Cazamias</t>
  </si>
  <si>
    <t>Pressboard Covers with Storage Hooks, 9 1/2" x 11", Light Blue</t>
  </si>
  <si>
    <t>Plastic Binding Combs</t>
  </si>
  <si>
    <t>Acme Preferred Stainless Steel Scissors</t>
  </si>
  <si>
    <t>Ionia McGrath</t>
  </si>
  <si>
    <t>6" Cubicle Wall Clock, Black</t>
  </si>
  <si>
    <t>Mary O'Rourke</t>
  </si>
  <si>
    <t>Laser &amp; Ink Jet Business Envelopes</t>
  </si>
  <si>
    <t>Ibico Plastic Spiral Binding Combs</t>
  </si>
  <si>
    <t>Letter Size File</t>
  </si>
  <si>
    <t>Bush Andora Conference Table, Maple/Graphite Gray Finish</t>
  </si>
  <si>
    <t>OIC Colored Binder Clips, Assorted Sizes</t>
  </si>
  <si>
    <t>Alejandro Savely</t>
  </si>
  <si>
    <t>Serrated Blade or Curved Handle Hand Letter Openers</t>
  </si>
  <si>
    <t>Xerox 1887</t>
  </si>
  <si>
    <t>Maureen Fritzler</t>
  </si>
  <si>
    <t>Elpida Rittenbach</t>
  </si>
  <si>
    <t>BPI Conference Tables</t>
  </si>
  <si>
    <t>Premier Electric Letter Opener</t>
  </si>
  <si>
    <t>Okidata B400 Printer</t>
  </si>
  <si>
    <t>Peel &amp; Stick Add-On Corner Pockets</t>
  </si>
  <si>
    <t>Carina Media Storage Towers in Natural &amp; Black</t>
  </si>
  <si>
    <t>Fellowes Econo/Stor Drawers</t>
  </si>
  <si>
    <t>Ellis Ballard</t>
  </si>
  <si>
    <t>Belkin OmniView SE Rackmount Kit</t>
  </si>
  <si>
    <t>Liz MacKendrick</t>
  </si>
  <si>
    <t>GBC Instant Report Kit</t>
  </si>
  <si>
    <t>Xerox 1915</t>
  </si>
  <si>
    <t>Anthony Johnson</t>
  </si>
  <si>
    <t>Newell 337</t>
  </si>
  <si>
    <t>Revere Boxed Rubber Bands by Revere</t>
  </si>
  <si>
    <t>Bush Andora Bookcase, Maple/Graphite Gray Finish</t>
  </si>
  <si>
    <t>Ames Color-File Green Diamond Border X-ray Mailers</t>
  </si>
  <si>
    <t>White Dual Perf Computer Printout Paper, 2700 Sheets, 1 Part, Heavyweight, 20 lbs., 14 7/8 x 11</t>
  </si>
  <si>
    <t>Xerox 1943</t>
  </si>
  <si>
    <t>Fellowes Mobile File Cart, Black</t>
  </si>
  <si>
    <t>Rob Williams</t>
  </si>
  <si>
    <t>Clearsounds A400</t>
  </si>
  <si>
    <t>Premier Automatic Letter Opener</t>
  </si>
  <si>
    <t>Xerox 1965</t>
  </si>
  <si>
    <t>Barry Franz</t>
  </si>
  <si>
    <t>Cisco Small Business SPA 502G VoIP phone</t>
  </si>
  <si>
    <t>Computer Printout Index Tabs</t>
  </si>
  <si>
    <t>Lindsay Williams</t>
  </si>
  <si>
    <t>Snap-A-Way Black Print Carbonless Speed Message, No Reply Area, Duplicate</t>
  </si>
  <si>
    <t>Eldon Base for stackable storage shelf, platinum</t>
  </si>
  <si>
    <t>Janet Lee</t>
  </si>
  <si>
    <t>Boston Model 1800 Electric Pencil Sharpener, Gray</t>
  </si>
  <si>
    <t>Fellowes Bankers Box Staxonsteel Drawer File/Stacking System</t>
  </si>
  <si>
    <t>Eldon Mobile Mega Data Cart  Mega Stackable  Add-On Trays</t>
  </si>
  <si>
    <t>Jasper Cacioppo</t>
  </si>
  <si>
    <t>C-Line Peel &amp; Stick Add-On Filing Pockets, 8-3/4 x 5-1/8, 10/Pack</t>
  </si>
  <si>
    <t>Nortel Networks T7316 E Nt8 B27</t>
  </si>
  <si>
    <t>14-7/8 x 11 Blue Bar Computer Printout Paper</t>
  </si>
  <si>
    <t>Advantus Push Pins</t>
  </si>
  <si>
    <t>Mark Van Huff</t>
  </si>
  <si>
    <t>Xerox 196</t>
  </si>
  <si>
    <t>Recycled Easel Ring Binders</t>
  </si>
  <si>
    <t>Dean Braden</t>
  </si>
  <si>
    <t>Global Task Chair, Black</t>
  </si>
  <si>
    <t>Global Comet Stacking Arm Chair</t>
  </si>
  <si>
    <t>Fred Wasserman</t>
  </si>
  <si>
    <t>Cardinal Holdit Data Disk Pockets</t>
  </si>
  <si>
    <t>Anker Astro Mini 3000mAh Ultra-Compact Portable Charger</t>
  </si>
  <si>
    <t>O'Sullivan Plantations 2-Door Library in Landvery Oak</t>
  </si>
  <si>
    <t>Premium Transparent Presentation Covers by GBC</t>
  </si>
  <si>
    <t>Logitech Wireless Headset H600 Over-The-Head Design</t>
  </si>
  <si>
    <t>Michelle Arnett</t>
  </si>
  <si>
    <t>GBC Twin Loop Wire Binding Elements</t>
  </si>
  <si>
    <t>Cherry 142-key Programmable Keyboard</t>
  </si>
  <si>
    <t>Harbour Creations 67200 Series Stacking Chairs</t>
  </si>
  <si>
    <t>Tenex Chairmat w/ Average Lip, 45" x 53"</t>
  </si>
  <si>
    <t>Fellowes PB200 Plastic Comb Binding Machine</t>
  </si>
  <si>
    <t>Justin Ellison</t>
  </si>
  <si>
    <t>Aleksandra Gannaway</t>
  </si>
  <si>
    <t>O'Sullivan 5-Shelf Heavy-Duty Bookcases</t>
  </si>
  <si>
    <t>Tony Chapman</t>
  </si>
  <si>
    <t>District of Columbia</t>
  </si>
  <si>
    <t>Theone Pippenger</t>
  </si>
  <si>
    <t>Harold Engle</t>
  </si>
  <si>
    <t>#10 White Business Envelopes,4 1/8 x 9 1/2</t>
  </si>
  <si>
    <t>Grandstream GXP1160 VoIP phone</t>
  </si>
  <si>
    <t>Eldon Cleatmat Plus Chair Mats for High Pile Carpets</t>
  </si>
  <si>
    <t>Nortel Meridian M5316 Digital phone</t>
  </si>
  <si>
    <t>Advantus T-Pin Paper Clips</t>
  </si>
  <si>
    <t>DAX Solid Wood Frames</t>
  </si>
  <si>
    <t>Executive Impressions 8-1/2" Career Panel/Partition Cubicle Clock</t>
  </si>
  <si>
    <t>Scot Coram</t>
  </si>
  <si>
    <t>Plantronics S12 Corded Telephone Headset System</t>
  </si>
  <si>
    <t>Xerox 191</t>
  </si>
  <si>
    <t>Trimflex Flexible Post Binders</t>
  </si>
  <si>
    <t>Avery Binder Labels</t>
  </si>
  <si>
    <t>Xerox 230</t>
  </si>
  <si>
    <t>Xerox Blank Computer Paper</t>
  </si>
  <si>
    <t>Samsung Galaxy Mega 6.3</t>
  </si>
  <si>
    <t>Electrix Halogen Magnifier Lamp</t>
  </si>
  <si>
    <t>Deflect-o EconoMat Nonstudded, No Bevel Mat</t>
  </si>
  <si>
    <t>Fellowes Basic Home/Office Series Surge Protectors</t>
  </si>
  <si>
    <t>Bruce Geld</t>
  </si>
  <si>
    <t>AT&amp;T CL83451 4-Handset Telephone</t>
  </si>
  <si>
    <t>Zebra GK420t Direct Thermal/Thermal Transfer Printer</t>
  </si>
  <si>
    <t>Avery Framed View Binder, EZD Ring (Locking), Navy, 1 1/2"</t>
  </si>
  <si>
    <t>Lindsay Shagiari</t>
  </si>
  <si>
    <t>Kelly Lampkin</t>
  </si>
  <si>
    <t>Embossed Ink Jet Note Cards</t>
  </si>
  <si>
    <t>Greg Tran</t>
  </si>
  <si>
    <t>Plantronics Calisto P620-M USB Wireless Speakerphone System</t>
  </si>
  <si>
    <t>Google Nexus 5</t>
  </si>
  <si>
    <t>Ibico Plastic and Wire Spiral Binding Combs</t>
  </si>
  <si>
    <t>Xerox 1880</t>
  </si>
  <si>
    <t>Dave Poirier</t>
  </si>
  <si>
    <t>Avaya 5410 Digital phone</t>
  </si>
  <si>
    <t>Xerox 1977</t>
  </si>
  <si>
    <t>Xerox 212</t>
  </si>
  <si>
    <t>Christina Anderson</t>
  </si>
  <si>
    <t>Micro Innovations USB RF Wireless Keyboard with Mouse</t>
  </si>
  <si>
    <t>Bobby Elias</t>
  </si>
  <si>
    <t>Motorola L703CM</t>
  </si>
  <si>
    <t>Xerox 1939</t>
  </si>
  <si>
    <t>Belkin 7-Outlet SurgeMaster Home Series</t>
  </si>
  <si>
    <t>Eldon Jumbo ProFile Portable File Boxes Graphite/Black</t>
  </si>
  <si>
    <t>Bady BDG101FRU Card Printer</t>
  </si>
  <si>
    <t>Roy Skaria</t>
  </si>
  <si>
    <t>Flat Face Poster Frame</t>
  </si>
  <si>
    <t>Christopher Conant</t>
  </si>
  <si>
    <t>Chad Cunningham</t>
  </si>
  <si>
    <t>Acco Pressboard Covers with Storage Hooks, 14 7/8" x 11", Executive Red</t>
  </si>
  <si>
    <t>Dorothy Wardle</t>
  </si>
  <si>
    <t>LogitechÂ Illuminated - Keyboard</t>
  </si>
  <si>
    <t>Dionis Lloyd</t>
  </si>
  <si>
    <t>Arthur Wiediger</t>
  </si>
  <si>
    <t>Avery 511</t>
  </si>
  <si>
    <t>Wilson Jones International Size A4 Ring Binders</t>
  </si>
  <si>
    <t>C-Line Magnetic Cubicle Keepers, Clear Polypropylene</t>
  </si>
  <si>
    <t>Penelope Sewall</t>
  </si>
  <si>
    <t>Wyoming</t>
  </si>
  <si>
    <t>Xerox 23</t>
  </si>
  <si>
    <t>Executive Impressions 14" Contract Wall Clock with Quartz Movement</t>
  </si>
  <si>
    <t>Mini 13-1/2 Capacity Data Binder Rack, Pearl</t>
  </si>
  <si>
    <t>Lisa DeCherney</t>
  </si>
  <si>
    <t>GBC VeloBinder Manual Binding System</t>
  </si>
  <si>
    <t>Cathy Hwang</t>
  </si>
  <si>
    <t>Samsung Galaxy S4 Mini</t>
  </si>
  <si>
    <t>Zuschuss Carroll</t>
  </si>
  <si>
    <t>Xerox 1993</t>
  </si>
  <si>
    <t>Sanjit Jacobs</t>
  </si>
  <si>
    <t>Verbatim 25 GB 6x Blu-ray Single Layer Recordable Disc, 3/Pack</t>
  </si>
  <si>
    <t>Tyvek Interoffice Envelopes, 9 1/2" x 12 1/2", 100/Box</t>
  </si>
  <si>
    <t>Honeywell Enviracaire Portable Air Cleaner for up to 8 x 10 Room</t>
  </si>
  <si>
    <t>Jeremy Lonsdale</t>
  </si>
  <si>
    <t>Sauder Barrister Bookcases</t>
  </si>
  <si>
    <t>Xerox 1923</t>
  </si>
  <si>
    <t>Kensington Orbit Wireless Mobile Trackball for PC and Mac</t>
  </si>
  <si>
    <t>#10 Self-Seal White Envelopes</t>
  </si>
  <si>
    <t>Ampad #10 Peel &amp; Seel Holiday Envelopes</t>
  </si>
  <si>
    <t>Hon Metal Bookcases, Black</t>
  </si>
  <si>
    <t>Eldon Radial Chair Mat for Low to Medium Pile Carpets</t>
  </si>
  <si>
    <t>Tenex 46" x 60" Computer Anti-Static Chairmat, Rectangular Shaped</t>
  </si>
  <si>
    <t>Cisco SPA 502G IP Phone</t>
  </si>
  <si>
    <t>Logitech Mobile Speakerphone P710e -Â speaker phone</t>
  </si>
  <si>
    <t>Jabra SPEAK 410 Multidevice Speakerphone</t>
  </si>
  <si>
    <t>Xerox 1921</t>
  </si>
  <si>
    <t>Thea Hudgings</t>
  </si>
  <si>
    <t>Ink Jet Note and Greeting Cards, 8-1/2" x 5-1/2" Card Size</t>
  </si>
  <si>
    <t>Chromcraft 48" x 96" Racetrack Double Pedestal Table</t>
  </si>
  <si>
    <t>Xerox 1954</t>
  </si>
  <si>
    <t>Sony 64GB Class 10 Micro SDHC R40 Memory Card</t>
  </si>
  <si>
    <t>Square Ring Data Binders, Rigid 75 Pt. Covers, 11" x 14-7/8"</t>
  </si>
  <si>
    <t>Avery 52</t>
  </si>
  <si>
    <t>Michael Grace</t>
  </si>
  <si>
    <t>Kensington 7 Outlet MasterPiece Power Center with Fax/Phone Line Protection</t>
  </si>
  <si>
    <t>Belkin SportFit Armband For iPhone 5s/5c, Fuchsia</t>
  </si>
  <si>
    <t>Jill Matthias</t>
  </si>
  <si>
    <t>Petty Cash Envelope</t>
  </si>
  <si>
    <t>Lesro Round Back Collection Coffee Table, End Table</t>
  </si>
  <si>
    <t>Ampad Gold Fibre Wirebound Steno Books, 6" x 9", Gregg Ruled</t>
  </si>
  <si>
    <t>Eberhard Faber 3 1/2" Golf Pencils</t>
  </si>
  <si>
    <t>Bart Watters</t>
  </si>
  <si>
    <t>Peter McVee</t>
  </si>
  <si>
    <t>Claire Gute</t>
  </si>
  <si>
    <t>Bush Somerset Collection Bookcase</t>
  </si>
  <si>
    <t>Electrix Architect's Clamp-On Swing Arm Lamp, Black</t>
  </si>
  <si>
    <t>Motorola HK250 Universal Bluetooth Headset</t>
  </si>
  <si>
    <t>Newell 341</t>
  </si>
  <si>
    <t>Hon 94000 Series Round Tables</t>
  </si>
  <si>
    <t>SimpliFile Personal File, Black Granite, 15w x 6-15/16d x 11-1/4h</t>
  </si>
  <si>
    <t>ImationÂ 30456 USBÂ Flash DriveÂ 8GB</t>
  </si>
  <si>
    <t>Logitech G500s Laser Gaming Mouse with Adjustable Weight Tuning</t>
  </si>
  <si>
    <t>Justin Ritter</t>
  </si>
  <si>
    <t>Pamela Stobb</t>
  </si>
  <si>
    <t>Xerox 193</t>
  </si>
  <si>
    <t>Sean Wendt</t>
  </si>
  <si>
    <t>Storex Flexible Poly Binders with Double Pockets</t>
  </si>
  <si>
    <t>Sony Micro Vault Click 8 GB USB 2.0 Flash Drive</t>
  </si>
  <si>
    <t>Sanford Pocket Accent Highlighters</t>
  </si>
  <si>
    <t>TOPS Money Receipt Book, Consecutively Numbered in Red,</t>
  </si>
  <si>
    <t>Thea Hendricks</t>
  </si>
  <si>
    <t>Euro Pro Shark Stick Mini Vacuum</t>
  </si>
  <si>
    <t>Xerox 1911</t>
  </si>
  <si>
    <t>Toby Carlisle</t>
  </si>
  <si>
    <t>Cisco CP-7937G Unified IP Conference Station Phone</t>
  </si>
  <si>
    <t>Bush Cubix Conference Tables, Fully Assembled</t>
  </si>
  <si>
    <t>Apple EarPods with Remote and Mic</t>
  </si>
  <si>
    <t>Avery Durable Slant Ring Binders</t>
  </si>
  <si>
    <t>Troy Staebel</t>
  </si>
  <si>
    <t>Eldon Expressions Punched Metal &amp; Wood Desk Accessories, Black &amp; Cherry</t>
  </si>
  <si>
    <t>Mediabridge Sport Armband iPhone 5s</t>
  </si>
  <si>
    <t>Sibella Parks</t>
  </si>
  <si>
    <t>Luxo Professional Magnifying Clamp-On Fluorescent Lamps</t>
  </si>
  <si>
    <t>Philip Fox</t>
  </si>
  <si>
    <t>Newell 318</t>
  </si>
  <si>
    <t>Avery 517</t>
  </si>
  <si>
    <t>ARKON Windshield Dashboard Air Vent Car Mount Holder</t>
  </si>
  <si>
    <t>Logitech Media Keyboard K200</t>
  </si>
  <si>
    <t>Joy Bell-</t>
  </si>
  <si>
    <t>Karen Ferguson</t>
  </si>
  <si>
    <t>Rediform Voice Mail Log Books</t>
  </si>
  <si>
    <t>Rick Huthwaite</t>
  </si>
  <si>
    <t>Okidata MB760 Printer</t>
  </si>
  <si>
    <t>Maya Herman</t>
  </si>
  <si>
    <t>Xerox 227</t>
  </si>
  <si>
    <t>Wilson Jones Clip &amp; Carry Folder Binder Tool for Ring Binders, Clear</t>
  </si>
  <si>
    <t>GBC Prepunched Paper, 19-Hole, for Binding Systems, 24-lb</t>
  </si>
  <si>
    <t>Grip Seal Envelopes</t>
  </si>
  <si>
    <t>Olvera Toch</t>
  </si>
  <si>
    <t>Bretford Â“Just In TimeÂ” Height-Adjustable Multi-Task Work Tables</t>
  </si>
  <si>
    <t>Avery 487</t>
  </si>
  <si>
    <t>Brother MFC-9340CDW LED All-In-One Printer, Copier Scanner</t>
  </si>
  <si>
    <t>Acco Perma 2700 Stacking Storage Drawers</t>
  </si>
  <si>
    <t>Wirebound Message Books, Four 2 3/4 x 5 White Forms per Page</t>
  </si>
  <si>
    <t>JM Magazine Binder</t>
  </si>
  <si>
    <t>Bush Westfield Collection Bookcases, Dark Cherry Finish, Fully Assembled</t>
  </si>
  <si>
    <t>Global Manager's Adjustable Task Chair, Storm</t>
  </si>
  <si>
    <t>Eldon 400 Class Desk Accessories, Black Carbon</t>
  </si>
  <si>
    <t>Pamela Coakley</t>
  </si>
  <si>
    <t>Xerox 1996</t>
  </si>
  <si>
    <t>Debra Catini</t>
  </si>
  <si>
    <t>Xerox 1924</t>
  </si>
  <si>
    <t>Canvas Sectional Post Binders</t>
  </si>
  <si>
    <t>Belkin F9S820V06 8 Outlet Surge</t>
  </si>
  <si>
    <t>Newell 338</t>
  </si>
  <si>
    <t>Eldon Expressions Wood and Plastic Desk Accessories, Oak</t>
  </si>
  <si>
    <t>Sauder Facets Collection Library, Sky Alder Finish</t>
  </si>
  <si>
    <t>Holmes HEPA Air Purifier</t>
  </si>
  <si>
    <t>Harmony HEPA Quiet Air Purifiers</t>
  </si>
  <si>
    <t>Xerox 221</t>
  </si>
  <si>
    <t>Xerox 2</t>
  </si>
  <si>
    <t>Phillip Breyer</t>
  </si>
  <si>
    <t>Brad Thomas</t>
  </si>
  <si>
    <t>Erica Smith</t>
  </si>
  <si>
    <t>Logitech G35 7.1-Channel Surround Sound Headset</t>
  </si>
  <si>
    <t>Michelle Tran</t>
  </si>
  <si>
    <t>Premium Transparent Presentation Covers, No Pattern/Clear, 8 1/2" x 11"</t>
  </si>
  <si>
    <t>LogitechÂ P710e Mobile Speakerphone</t>
  </si>
  <si>
    <t>Xerox 1972</t>
  </si>
  <si>
    <t>Insertable Tab Indexes For Data Binders</t>
  </si>
  <si>
    <t>Crayola Anti Dust Chalk, 12/Pack</t>
  </si>
  <si>
    <t>Xerox 1976</t>
  </si>
  <si>
    <t>Newell 309</t>
  </si>
  <si>
    <t>Micropad Numeric Keypads</t>
  </si>
  <si>
    <t>Sanyo 2.5 Cubic Foot Mid-Size Office Refrigerators</t>
  </si>
  <si>
    <t>Boston School Pro Electric Pencil Sharpener, 1670</t>
  </si>
  <si>
    <t>Liz Pelletier</t>
  </si>
  <si>
    <t>Magnifier Swing Arm Lamp</t>
  </si>
  <si>
    <t>Balt Solid Wood Round Tables</t>
  </si>
  <si>
    <t>Sung Chung</t>
  </si>
  <si>
    <t>Janet Molinari</t>
  </si>
  <si>
    <t>Tennsco Regal Shelving Units</t>
  </si>
  <si>
    <t>First Data FD10 PIN Pad</t>
  </si>
  <si>
    <t>Boston 16765 Mini Stand Up Battery Pencil Sharpener</t>
  </si>
  <si>
    <t>IBM Multi-Purpose Copy Paper, 8 1/2 x 11", Case</t>
  </si>
  <si>
    <t>Black Avery Memo-Size 3-Ring Binder, 5 1/2" x 8 1/2"</t>
  </si>
  <si>
    <t>Tennsco Stur-D-Stor Boltless Shelving, 5 Shelves, 24" Deep, Sand</t>
  </si>
  <si>
    <t>Hammermill Color Copier Paper (28Lb. and 96 Bright)</t>
  </si>
  <si>
    <t>Jason Fortune-</t>
  </si>
  <si>
    <t>Xerox 206</t>
  </si>
  <si>
    <t>TOPS "Important Message" Pads, Canary, 4-1/4 x 5-1/2, 50 Sheets per Pad</t>
  </si>
  <si>
    <t>Vivek Grady</t>
  </si>
  <si>
    <t>Manila Recycled Extra-Heavyweight Clasp Envelopes, 6" x 9"</t>
  </si>
  <si>
    <t>Vivian Mathis</t>
  </si>
  <si>
    <t>Memorex Mini Travel Drive 32 GB USB 2.0 Flash Drive</t>
  </si>
  <si>
    <t>Darrin Van Huff</t>
  </si>
  <si>
    <t>Stewart Carmichael</t>
  </si>
  <si>
    <t>1.7 Cubic Foot Compact "Cube" Office Refrigerators</t>
  </si>
  <si>
    <t>Avery Heavy-Duty EZD  Binder With Locking Rings</t>
  </si>
  <si>
    <t>Canon Color ImageCLASS MF8580Cdw Wireless Laser All-In-One Printer, Copier, Scanner</t>
  </si>
  <si>
    <t>Craig Reiter</t>
  </si>
  <si>
    <t>Xerox 228</t>
  </si>
  <si>
    <t>Dax Clear Box Frame</t>
  </si>
  <si>
    <t>Xerox 1975</t>
  </si>
  <si>
    <t>Logitech diNovo Edge Keyboard</t>
  </si>
  <si>
    <t>Xerox 1991</t>
  </si>
  <si>
    <t>Matt Collister</t>
  </si>
  <si>
    <t>DAX Contemporary Wood Frame with Silver Metal Mat, Desktop, 11 x 14 Size</t>
  </si>
  <si>
    <t>Round Ring Binders</t>
  </si>
  <si>
    <t>Tyvek  Top-Opening Peel &amp; Seel  Envelopes, Gray</t>
  </si>
  <si>
    <t>Susan Pistek</t>
  </si>
  <si>
    <t>Panasonic KX TS3282W Corded phone</t>
  </si>
  <si>
    <t>Erin Creighton</t>
  </si>
  <si>
    <t>Case Logic 2.4GHz Wireless Keyboard</t>
  </si>
  <si>
    <t>Xerox 1907</t>
  </si>
  <si>
    <t>Fiskars Home &amp; Office Scissors</t>
  </si>
  <si>
    <t>Howard Miller 11-1/2" Diameter Brentwood Wall Clock</t>
  </si>
  <si>
    <t>Wilson Jones Easy Flow II Sheet Lifters</t>
  </si>
  <si>
    <t>Janet Martin</t>
  </si>
  <si>
    <t>Avery 498</t>
  </si>
  <si>
    <t>Nick Crebassa</t>
  </si>
  <si>
    <t>Cubify CubeX 3D Printer Double Head Print</t>
  </si>
  <si>
    <t>John Castell</t>
  </si>
  <si>
    <t>Kleencut Forged Office Shears by Acme United Corporation</t>
  </si>
  <si>
    <t>Eureka Sanitaire  Multi-Pro Heavy-Duty Upright, Disposable Bags</t>
  </si>
  <si>
    <t>Fred Harton</t>
  </si>
  <si>
    <t>Helen Wasserman</t>
  </si>
  <si>
    <t>MaxellÂ LTO Ultrium - 800 GB</t>
  </si>
  <si>
    <t>Larry Hughes</t>
  </si>
  <si>
    <t>Aaron Smayling</t>
  </si>
  <si>
    <t>Xerox 1998</t>
  </si>
  <si>
    <t>Bradley Nguyen</t>
  </si>
  <si>
    <t>Seth Thomas 12" Clock w/ Goldtone Case</t>
  </si>
  <si>
    <t>Sung Shariari</t>
  </si>
  <si>
    <t>Avery Metallic Poly Binders</t>
  </si>
  <si>
    <t>Design Ebony Sketching Pencil</t>
  </si>
  <si>
    <t>Personal Creations Ink Jet Cards and Labels</t>
  </si>
  <si>
    <t>Neola Schneider</t>
  </si>
  <si>
    <t>Sony 32GB Class 10 Micro SDHC R40 Memory Card</t>
  </si>
  <si>
    <t>Safco Industrial Shelving</t>
  </si>
  <si>
    <t>Acco 3-Hole Punch</t>
  </si>
  <si>
    <t>Jabra BIZ 2300 Duo QD Duo CordedÂ Headset</t>
  </si>
  <si>
    <t>Quality Park Security Envelopes</t>
  </si>
  <si>
    <t>Clay Cheatham</t>
  </si>
  <si>
    <t>Xerox 1905</t>
  </si>
  <si>
    <t>Personal File Boxes with Fold-Down Carry Handle</t>
  </si>
  <si>
    <t>Ultra Door Kickplate, 8"H x 34"W</t>
  </si>
  <si>
    <t>Maribeth Yedwab</t>
  </si>
  <si>
    <t>Sean Christensen</t>
  </si>
  <si>
    <t>Acco Pressboard Covers with Storage Hooks, 14 7/8" x 11", Dark Blue</t>
  </si>
  <si>
    <t>Avery 3 1/2" Diskette Storage Pages, 10/Pack</t>
  </si>
  <si>
    <t>Hoover Commercial SteamVac</t>
  </si>
  <si>
    <t>GBC Durable Plastic Covers</t>
  </si>
  <si>
    <t>HP Officejet Pro 8600 e-All-In-One Printer, Copier, Scanner, Fax</t>
  </si>
  <si>
    <t>Logitech G13 Programmable Gameboard with LCD Display</t>
  </si>
  <si>
    <t>Ken Dana</t>
  </si>
  <si>
    <t>Dorothy Dickinson</t>
  </si>
  <si>
    <t>Adrian Hane</t>
  </si>
  <si>
    <t>Eldon 200 Class Desk Accessories, Burgundy</t>
  </si>
  <si>
    <t>Bill Eplett</t>
  </si>
  <si>
    <t>Polycom CX600 IP Phone VoIP phone</t>
  </si>
  <si>
    <t>MaxellÂ iVDR EX 500GB Cartridge</t>
  </si>
  <si>
    <t>Pencil and Crayon Sharpener</t>
  </si>
  <si>
    <t>Ann Chong</t>
  </si>
  <si>
    <t>BIC Brite Liner Grip Highlighters</t>
  </si>
  <si>
    <t>Anthony Witt</t>
  </si>
  <si>
    <t>Ooma Telo VoIP Home Phone System</t>
  </si>
  <si>
    <t>Ted Butterfield</t>
  </si>
  <si>
    <t>Xerox 1890</t>
  </si>
  <si>
    <t>Hon 2111 Invitation Series Straight Table</t>
  </si>
  <si>
    <t>Marc Harrigan</t>
  </si>
  <si>
    <t>Luxo Professional Combination Clamp-On Lamps</t>
  </si>
  <si>
    <t>Nu-Dell Leatherette Frames</t>
  </si>
  <si>
    <t>Plantronics 81402</t>
  </si>
  <si>
    <t>Frank Gastineau</t>
  </si>
  <si>
    <t>i.Sound Portable Power - 8000 mAh</t>
  </si>
  <si>
    <t>Chromcraft Bull-Nose Wood Oval Conference Tables &amp; Bases</t>
  </si>
  <si>
    <t>Lock-Up Easel 'Spel-Binder'</t>
  </si>
  <si>
    <t>Jane Waco</t>
  </si>
  <si>
    <t>Master Caster Door Stop, Gray</t>
  </si>
  <si>
    <t>Juliana Krohn</t>
  </si>
  <si>
    <t>Chad McGuire</t>
  </si>
  <si>
    <t>Ricoh - Ink Collector Unit for GX3000 Series Printers</t>
  </si>
  <si>
    <t>Acco 6 Outlet Guardian Premium Plus Surge Suppressor</t>
  </si>
  <si>
    <t>Nancy Lomonaco</t>
  </si>
  <si>
    <t>Document Clip Frames</t>
  </si>
  <si>
    <t>Space Solutions Commercial Steel Shelving</t>
  </si>
  <si>
    <t>Eldon Image Series Black Desk Accessories</t>
  </si>
  <si>
    <t>Colored Envelopes</t>
  </si>
  <si>
    <t>Fellowes 8 Outlet Superior Workstation Surge Protector w/o Phone/Fax/Modem Protection</t>
  </si>
  <si>
    <t>Nora Paige</t>
  </si>
  <si>
    <t>Sharelle Roach</t>
  </si>
  <si>
    <t>Xerox 1940</t>
  </si>
  <si>
    <t>Joy Smith</t>
  </si>
  <si>
    <t>Michael Kennedy</t>
  </si>
  <si>
    <t>Hon 4-Shelf Metal Bookcases</t>
  </si>
  <si>
    <t>Seidio BD2-HK3IPH5-BK DILEX Case and Holster Combo for Apple iPhone 5/5s - Black</t>
  </si>
  <si>
    <t>Macally Suction Cup Mount</t>
  </si>
  <si>
    <t>Susan Vittorini</t>
  </si>
  <si>
    <t>AT&amp;T CL2909</t>
  </si>
  <si>
    <t>Christopher Martinez</t>
  </si>
  <si>
    <t>GBC ProClick 150 Presentation Binding System</t>
  </si>
  <si>
    <t>Xerox 189</t>
  </si>
  <si>
    <t>Ed Jacobs</t>
  </si>
  <si>
    <t>Imation Bio 2GB USBÂ Flash Drive ImationÂ Corp</t>
  </si>
  <si>
    <t>Bill Tyler</t>
  </si>
  <si>
    <t>Sue Ann Reed</t>
  </si>
  <si>
    <t>Fellowes Stor/Drawer Steel Plus Storage Drawers</t>
  </si>
  <si>
    <t>Career Cubicle Clock, 8 1/4", Black</t>
  </si>
  <si>
    <t>Plantronics Audio 995 Wireless Stereo Headset</t>
  </si>
  <si>
    <t>Saphhira Shifley</t>
  </si>
  <si>
    <t>Hewlett-Packard 300S Scientific Calculator</t>
  </si>
  <si>
    <t>Meg O'Connel</t>
  </si>
  <si>
    <t>Chuck Sachs</t>
  </si>
  <si>
    <t>Westinghouse Floor Lamp with Metal Mesh Shade, Black</t>
  </si>
  <si>
    <t>Hewlett-Packard Deskjet 5550 Printer</t>
  </si>
  <si>
    <t>Okidata MB491 Multifunction Printer</t>
  </si>
  <si>
    <t>Square Credit Card Reader, 4 1/2" x 4 1/2" x 1", White</t>
  </si>
  <si>
    <t>Tony Sayre</t>
  </si>
  <si>
    <t>O'Sullivan Elevations Bookcase, Cherry Finish</t>
  </si>
  <si>
    <t>Fellowes Bases and Tops For Staxonsteel/High-Stak Systems</t>
  </si>
  <si>
    <t>Letter/Legal File Tote with Clear Snap-On Lid, Black Granite</t>
  </si>
  <si>
    <t>Sample Company A</t>
  </si>
  <si>
    <t>Kensington Expert Mouse Optical USB Trackball for PC or Mac</t>
  </si>
  <si>
    <t>Katrina Bavinger</t>
  </si>
  <si>
    <t>Office Star Flex Back Scooter Chair with Aluminum Finish Frame</t>
  </si>
  <si>
    <t>"While you Were Out" Message Book, One Form per Page</t>
  </si>
  <si>
    <t>Hoover Portapower Portable Vacuum</t>
  </si>
  <si>
    <t>Quartet Alpha White Chalk, 12/Pack</t>
  </si>
  <si>
    <t>Don Jones</t>
  </si>
  <si>
    <t>Kimberly Carter</t>
  </si>
  <si>
    <t>Global Deluxe Office Fabric Chairs</t>
  </si>
  <si>
    <t>Denise Leinenbach</t>
  </si>
  <si>
    <t>Mead 1st Gear 2" Zipper Binder, Asst. Colors</t>
  </si>
  <si>
    <t>Xerox 1992</t>
  </si>
  <si>
    <t>Beth Fritzler</t>
  </si>
  <si>
    <t>Peter BÃ¼hler</t>
  </si>
  <si>
    <t>Clay Rozendal</t>
  </si>
  <si>
    <t>Strathmore Photo Mount Cards</t>
  </si>
  <si>
    <t>Canon Image Class D660 Copier</t>
  </si>
  <si>
    <t>Xerox 1888</t>
  </si>
  <si>
    <t>Memorex Micro Travel Drive 16 GB</t>
  </si>
  <si>
    <t>DAX Two-Tone Silver Metal Document Frame</t>
  </si>
  <si>
    <t>Avery 497</t>
  </si>
  <si>
    <t>Anne McFarland</t>
  </si>
  <si>
    <t>Panasonic KX - TS880B Telephone</t>
  </si>
  <si>
    <t>Motorola L804</t>
  </si>
  <si>
    <t>Tenex Personal Self-Stacking Standard File Box, Black/Gray</t>
  </si>
  <si>
    <t>Innergie mMini Combo Duo USB Travel Charging Kit</t>
  </si>
  <si>
    <t>Ampad Phone Message Book, Recycled, 400 Message Capacity, 5 Â¾Â” x 11Â”</t>
  </si>
  <si>
    <t>Newell 346</t>
  </si>
  <si>
    <t>Michelle Lonsdale</t>
  </si>
  <si>
    <t>Erin Mull</t>
  </si>
  <si>
    <t>Hammermill CopyPlus Copy Paper (20Lb. and 84 Bright)</t>
  </si>
  <si>
    <t>Sanford Colorific Eraseable Coloring Pencils, 12 Count</t>
  </si>
  <si>
    <t>Bush Birmingham Collection Bookcase, Dark Cherry</t>
  </si>
  <si>
    <t>Telephone Message Books with Fax/Mobile Section, 4 1/4" x 6"</t>
  </si>
  <si>
    <t>QVS USB Car Charger 2-Port 2.1Amp for iPod/iPhone/iPad/iPad 2/iPad 3</t>
  </si>
  <si>
    <t>24 Capacity Maxi Data Binder Racks, Pearl</t>
  </si>
  <si>
    <t>Avery Trapezoid Extra Heavy Duty 4" Binders</t>
  </si>
  <si>
    <t>Cubify CubeX 3D Printer Triple Head Print</t>
  </si>
  <si>
    <t>Adams Telephone Message Books, 5 1/4Â” x 11Â”</t>
  </si>
  <si>
    <t>Motorola Moto X</t>
  </si>
  <si>
    <t>iOttie XL Car Mount</t>
  </si>
  <si>
    <t>Charles McCrossin</t>
  </si>
  <si>
    <t>Xerox 1956</t>
  </si>
  <si>
    <t>First Data TMFD35 PIN Pad</t>
  </si>
  <si>
    <t>Logitech G430 Surround Sound Gaming Headset with Dolby 7.1 Technology</t>
  </si>
  <si>
    <t>Tensor "Hersey Kiss" Styled Floor Lamp</t>
  </si>
  <si>
    <t>Cassandra Brandow</t>
  </si>
  <si>
    <t>Sanyo Counter Height Refrigerator with Crisper, 3.6 Cubic Foot, Stainless Steel/Black</t>
  </si>
  <si>
    <t>Avery 515</t>
  </si>
  <si>
    <t>Julia Dunbar</t>
  </si>
  <si>
    <t>Kensington 7 Outlet MasterPiece HOMEOFFICE Power Control Center</t>
  </si>
  <si>
    <t>Peel &amp; Seel Recycled Catalog Envelopes, Brown</t>
  </si>
  <si>
    <t>Linda Southworth</t>
  </si>
  <si>
    <t>Tennsco Lockers, Sand</t>
  </si>
  <si>
    <t>Patrick O'Donnell</t>
  </si>
  <si>
    <t>3D Systems Cube Printer, 2nd Generation, Magenta</t>
  </si>
  <si>
    <t>Hoover Replacement Belts For Soft Guard &amp; Commercial Ltweight Upright Vacs, 2/Pk</t>
  </si>
  <si>
    <t>Christina DeMoss</t>
  </si>
  <si>
    <t>Seth Thomas 14" Putty-Colored Wall Clock</t>
  </si>
  <si>
    <t>Self-Adhesive Removable Labels</t>
  </si>
  <si>
    <t>Patrick Bzostek</t>
  </si>
  <si>
    <t>Bart Folk</t>
  </si>
  <si>
    <t>Acco Recycled 2" Capacity Laser Printer Hanging Data Binders</t>
  </si>
  <si>
    <t>Roland Murray</t>
  </si>
  <si>
    <t>Economy Binders</t>
  </si>
  <si>
    <t>File Shuttle II and Handi-File, Black</t>
  </si>
  <si>
    <t>Avery 4027 File Folder Labels for Dot Matrix Printers, 5000 Labels per Box, White</t>
  </si>
  <si>
    <t>Eldon 300 Class Desk Accessories, Black</t>
  </si>
  <si>
    <t>Wirebound Message Books, 5-1/2 x 4 Forms, 2 or 4 Forms per Page</t>
  </si>
  <si>
    <t>Angele Hood</t>
  </si>
  <si>
    <t>Todd Boyes</t>
  </si>
  <si>
    <t>Cyra Reiten</t>
  </si>
  <si>
    <t>Adams Telephone Message Book W/Dividers/Space For Phone Numbers, 5 1/4"X8 1/2", 200/Messages</t>
  </si>
  <si>
    <t>Muhammed MacIntyre</t>
  </si>
  <si>
    <t>Xerox 217</t>
  </si>
  <si>
    <t>Roger Barcio</t>
  </si>
  <si>
    <t>Flexible Leather- Look Classic Collection Ring Binder</t>
  </si>
  <si>
    <t>Decoflex Hanging Personal Folder File</t>
  </si>
  <si>
    <t>Victoria Brennan</t>
  </si>
  <si>
    <t>Newell 339</t>
  </si>
  <si>
    <t>Maris LaWare</t>
  </si>
  <si>
    <t>Carol Darley</t>
  </si>
  <si>
    <t>Harry Greene</t>
  </si>
  <si>
    <t>Thais Sissman</t>
  </si>
  <si>
    <t>Tennsco Commercial Shelving</t>
  </si>
  <si>
    <t>Acme Galleria Hot Forged Steel Scissors with Colored Handles</t>
  </si>
  <si>
    <t>GBC Instant Index System for Binding Systems</t>
  </si>
  <si>
    <t>Tenex Contemporary Contur Chairmats for Low and Medium Pile Carpet, Computer, 39" x 49"</t>
  </si>
  <si>
    <t>SAFCO Optional Arm Kit for Workspace Cribbage Stacking Chair</t>
  </si>
  <si>
    <t>Belkin Premiere Surge Master II 8-outlet surge protector</t>
  </si>
  <si>
    <t>Blue Parrot B250XT Professional Grade Wireless BluetoothÂ HeadsetÂ with</t>
  </si>
  <si>
    <t>O'Sullivan 3-Shelf Heavy-Duty Bookcases</t>
  </si>
  <si>
    <t>Apple iPhone 5S</t>
  </si>
  <si>
    <t>Plastic Stacking Crates &amp; Casters</t>
  </si>
  <si>
    <t>Plantronics CS510 - Over-the-Head monaural Wireless Headset System</t>
  </si>
  <si>
    <t>Joni Wasserman</t>
  </si>
  <si>
    <t>Quartet Omega Colored Chalk, 12/Pack</t>
  </si>
  <si>
    <t>Avery Printable Repositionable Plastic Tabs</t>
  </si>
  <si>
    <t>Polycom VoiceStation 500 ConferenceÂ phone</t>
  </si>
  <si>
    <t>Global Enterprise Series Seating Low-Back Swivel/Tilt Chairs</t>
  </si>
  <si>
    <t>DAX Copper Panel Document Frame, 5 x 7 Size</t>
  </si>
  <si>
    <t>Motorla HX550 Universal Bluetooth Headset</t>
  </si>
  <si>
    <t>Boston 1799 Powerhouse Electric Pencil Sharpener</t>
  </si>
  <si>
    <t>Storex DuraTech Recycled Plastic Frosted Binders</t>
  </si>
  <si>
    <t>Maxell CD-R Discs</t>
  </si>
  <si>
    <t>Ibico EPK-21 Electric Binding System</t>
  </si>
  <si>
    <t>Eureka The Boss Lite 10-Amp Upright Vacuum, Blue</t>
  </si>
  <si>
    <t>REDIFORM Incoming/Outgoing Call Register, 11" X 8 1/2", 100 Messages</t>
  </si>
  <si>
    <t>Belkin 8 Outlet SurgeMaster II Gold Surge Protector with Phone Protection</t>
  </si>
  <si>
    <t>Avery Address/Shipping Labels for Typewriters, 4" x 2"</t>
  </si>
  <si>
    <t>Newell 323</t>
  </si>
  <si>
    <t>Eureka Disposable Bags for Sanitaire Vibra Groomer I Upright Vac</t>
  </si>
  <si>
    <t>Acme Tagit Stainless Steel Antibacterial Scissors</t>
  </si>
  <si>
    <t>ClearOne Communications CHAT 70 OCÂ Speaker Phone</t>
  </si>
  <si>
    <t>Maureen Gastineau</t>
  </si>
  <si>
    <t>GBC VeloBinder Electric Binding Machine</t>
  </si>
  <si>
    <t>Tamara Dahlen</t>
  </si>
  <si>
    <t>Binney &amp; Smith inkTank Erasable Desk Highlighter, Chisel Tip, Yellow, 12/Box</t>
  </si>
  <si>
    <t>Jenna Caffey</t>
  </si>
  <si>
    <t>Avery 485</t>
  </si>
  <si>
    <t>Tensor Track Tree Floor Lamp</t>
  </si>
  <si>
    <t>Newell 325</t>
  </si>
  <si>
    <t>ImationÂ SwivelÂ Flash DriveÂ USBÂ flash driveÂ - 8 GB</t>
  </si>
  <si>
    <t>Memorex Froggy Flash Drive 8 GB</t>
  </si>
  <si>
    <t>Panasonic KP-310 Heavy-Duty Electric Pencil Sharpener</t>
  </si>
  <si>
    <t>Howard Miller Distant Time Traveler Alarm Clock</t>
  </si>
  <si>
    <t>Wirebound Service Call Books, 5 1/2" x 4"</t>
  </si>
  <si>
    <t>C-Line Cubicle Keepers Polyproplyene Holder w/Velcro Back, 8-1/2x11, 25/Bx</t>
  </si>
  <si>
    <t>Safco Industrial Wire Shelving System</t>
  </si>
  <si>
    <t>Tenex Traditional Chairmats for Hard Floors, Average Lip, 36" x 48"</t>
  </si>
  <si>
    <t>Xerox 1968</t>
  </si>
  <si>
    <t>Belkin 8-Outlet Premiere SurgeMaster II Surge Protectors</t>
  </si>
  <si>
    <t>Standard Line Â“While You Were OutÂ” Hardbound Telephone Message Book</t>
  </si>
  <si>
    <t>iHome FM Clock Radio with Lightning Dock</t>
  </si>
  <si>
    <t>Tom Prescott</t>
  </si>
  <si>
    <t>Stacking Trays by OIC</t>
  </si>
  <si>
    <t>Bryan Spruell</t>
  </si>
  <si>
    <t>Color-Coded Legal Exhibit Labels</t>
  </si>
  <si>
    <t>Computer Printout Paper with Letter-Trim Fine Perforations</t>
  </si>
  <si>
    <t>Office Impressions Heavy Duty Welded Shelving &amp; Multimedia Storage Drawers</t>
  </si>
  <si>
    <t>Avery 48</t>
  </si>
  <si>
    <t>Home/Office Personal File Carts</t>
  </si>
  <si>
    <t>Sean Miller</t>
  </si>
  <si>
    <t>Samsung Galaxy Note 2</t>
  </si>
  <si>
    <t>Fellowes Officeware Wire Shelving</t>
  </si>
  <si>
    <t>Unpadded Memo Slips</t>
  </si>
  <si>
    <t>Newell 35</t>
  </si>
  <si>
    <t>Grace Kelly</t>
  </si>
  <si>
    <t>Microsoft Wireless Mobile Mouse 4000</t>
  </si>
  <si>
    <t>Acco Data Flex Cable Posts For Top &amp; Bottom Load Binders, 6" Capacity</t>
  </si>
  <si>
    <t>TOPS 4 x 6 Fluorescent Color Memo Sheets, 500 Sheets per Pack</t>
  </si>
  <si>
    <t>Hon Every-Day Chair Series Swivel Task Chairs</t>
  </si>
  <si>
    <t>Wirebound Message Books, 2 7/8" x 5", 3 Forms per Page</t>
  </si>
  <si>
    <t>Recycled Interoffice Envelopes with String and Button Closure, 10 x 13</t>
  </si>
  <si>
    <t>Maxell Pro 80 Minute CD-R, 10/Pack</t>
  </si>
  <si>
    <t>BIC Liqua Brite Liner</t>
  </si>
  <si>
    <t>Harmony Air Purifier</t>
  </si>
  <si>
    <t>GBC Imprintable Covers</t>
  </si>
  <si>
    <t>Mick Hernandez</t>
  </si>
  <si>
    <t>Karen Seio</t>
  </si>
  <si>
    <t>Candace McMahon</t>
  </si>
  <si>
    <t>Mitch Gastineau</t>
  </si>
  <si>
    <t>Dennis Bolton</t>
  </si>
  <si>
    <t>Tripp Lite Isotel 6 Outlet Surge Protector with Fax/Modem Protection</t>
  </si>
  <si>
    <t>Newell 351</t>
  </si>
  <si>
    <t>George Zrebassa</t>
  </si>
  <si>
    <t>Sanford EarthWrite Recycled Pencils, Medium Soft, #2</t>
  </si>
  <si>
    <t>Eldon 200 Class Desk Accessories, Smoke</t>
  </si>
  <si>
    <t>Robert Waldorf</t>
  </si>
  <si>
    <t>Acco 6 Outlet Guardian Standard Surge Suppressor</t>
  </si>
  <si>
    <t>Rediform S.O.S. 1-Up Phone Message Bk, 4-1/4x3-1/16 Bk, 1 Form/Pg, 40 Messages/Bk, 3/Pk</t>
  </si>
  <si>
    <t>Wilson Jones Suede Grain Vinyl Binders</t>
  </si>
  <si>
    <t>Ann Blume</t>
  </si>
  <si>
    <t>DYMO CardScan Personal V9 Business Card Scanner</t>
  </si>
  <si>
    <t>Fellowes PB300 Plastic Comb Binding Machine</t>
  </si>
  <si>
    <t>Thomas Brumley</t>
  </si>
  <si>
    <t>12 Colored Short Pencils</t>
  </si>
  <si>
    <t>Memorex Mini Travel Drive 16 GB USB 2.0 Flash Drive</t>
  </si>
  <si>
    <t>Col-Erase Pencils with Erasers</t>
  </si>
  <si>
    <t>Magdelene Morse</t>
  </si>
  <si>
    <t>GBC DocuBind TL200 Manual Binding Machine</t>
  </si>
  <si>
    <t>Desktop 3-Pocket Hot File</t>
  </si>
  <si>
    <t>Executive Impressions 16-1/2" Circular Wall Clock</t>
  </si>
  <si>
    <t>Dixon Ticonderoga Erasable Colored Pencil Set, 12-Color</t>
  </si>
  <si>
    <t>Newell 348</t>
  </si>
  <si>
    <t>Xerox 1927</t>
  </si>
  <si>
    <t>Panasonic KP-4ABK Battery-Operated Pencil Sharpener</t>
  </si>
  <si>
    <t>Global Leather Executive Chair</t>
  </si>
  <si>
    <t>Cisco Desktop Collaboration Experience DX650 IP Video Phone</t>
  </si>
  <si>
    <t>Belkin iPhone and iPad Lightning Cable</t>
  </si>
  <si>
    <t>South Dakota</t>
  </si>
  <si>
    <t>Leather Task Chair, Black</t>
  </si>
  <si>
    <t>Ralph Ritter</t>
  </si>
  <si>
    <t>Hoover Commercial Lightweight Upright Vacuum</t>
  </si>
  <si>
    <t>Pastel Pink Envelopes</t>
  </si>
  <si>
    <t>Xerox 1948</t>
  </si>
  <si>
    <t>TOPS Carbonless Receipt Book, Four 2-3/4 x 7-1/4 Money Receipts per Page</t>
  </si>
  <si>
    <t>Newell 347</t>
  </si>
  <si>
    <t>Hoover Commercial Soft Guard Upright Vacuum And Disposable Filtration Bags</t>
  </si>
  <si>
    <t>DAX Cubicle Frames, 8-1/2 x 11</t>
  </si>
  <si>
    <t>TOPS Voice Message Log Book, Flash Format</t>
  </si>
  <si>
    <t>Dana Swing-Arm Lamps</t>
  </si>
  <si>
    <t>Sarah Brown</t>
  </si>
  <si>
    <t>Xerox 203</t>
  </si>
  <si>
    <t>Rick Hansen</t>
  </si>
  <si>
    <t>Hon 4700 Series Mobuis Mid-Back Task Chairs with Adjustable Arms</t>
  </si>
  <si>
    <t>Xerox 1937</t>
  </si>
  <si>
    <t>Perixx PERIBOARD-512B, Ergonomic Split Keyboard</t>
  </si>
  <si>
    <t>Jessica Myrick</t>
  </si>
  <si>
    <t>Xerox 1989</t>
  </si>
  <si>
    <t>Neil Knudson</t>
  </si>
  <si>
    <t>Maxell 4.7GB DVD-R 5/Pack</t>
  </si>
  <si>
    <t>Global Adaptabilites Bookcase, Cherry/Storm Gray Finish</t>
  </si>
  <si>
    <t>Clarity 53712</t>
  </si>
  <si>
    <t>West Virginia</t>
  </si>
  <si>
    <t>Nat Gilpin</t>
  </si>
  <si>
    <t>Verbatim 25 GB 6x Blu-ray Single Layer Recordable Disc, 10/Pack</t>
  </si>
  <si>
    <t>Dixon Ticonderoga Maple Cedar Pencil, #2</t>
  </si>
  <si>
    <t>Larry Blacks</t>
  </si>
  <si>
    <t>Xerox 1899</t>
  </si>
  <si>
    <t>SAFCO Commercial Wire Shelving, Black</t>
  </si>
  <si>
    <t>Row Labels</t>
  </si>
  <si>
    <t>Grand Total</t>
  </si>
  <si>
    <t>Sum of Sales</t>
  </si>
  <si>
    <t>Sum of Profit</t>
  </si>
  <si>
    <t>Column Labels</t>
  </si>
  <si>
    <t>Count of Customer Name</t>
  </si>
  <si>
    <t>Top Names</t>
  </si>
  <si>
    <t xml:space="preserve">Total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</si>
</sst>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 formatCode="0"/>
    </dxf>
    <dxf>
      <numFmt numFmtId="2" formatCode="0.00"/>
    </dxf>
    <dxf>
      <numFmt numFmtId="1" formatCode="0"/>
    </dxf>
    <dxf>
      <numFmt numFmtId="2" formatCode="0.00"/>
    </dxf>
    <dxf>
      <numFmt numFmtId="1" formatCode="0"/>
    </dxf>
    <dxf>
      <numFmt numFmtId="1" formatCode="0"/>
    </dxf>
    <dxf>
      <numFmt numFmtId="164" formatCode="dd/mm/yyyy"/>
    </dxf>
  </dxfs>
  <tableStyles count="1" defaultTableStyle="TableStyleMedium2" defaultPivotStyle="PivotStyleLight16">
    <tableStyle name="Slicer Style 1" pivot="0" table="0" count="0" xr9:uid="{C7D7A235-2014-4D3D-8D3E-E1A9DB6225B8}"/>
  </tableStyles>
  <colors>
    <mruColors>
      <color rgb="FF00CC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[Sales_data.xlsx]Year_wise_profit!PivotTable4</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65052689309359"/>
          <c:y val="0.35353869402667004"/>
          <c:w val="0.82311957273997471"/>
          <c:h val="0.59553529946537664"/>
        </c:manualLayout>
      </c:layout>
      <c:lineChart>
        <c:grouping val="standard"/>
        <c:varyColors val="0"/>
        <c:ser>
          <c:idx val="0"/>
          <c:order val="0"/>
          <c:tx>
            <c:strRef>
              <c:f>Year_wise_profit!$B$1:$B$2</c:f>
              <c:strCache>
                <c:ptCount val="1"/>
                <c:pt idx="0">
                  <c:v>Furniture</c:v>
                </c:pt>
              </c:strCache>
            </c:strRef>
          </c:tx>
          <c:spPr>
            <a:ln w="28575" cap="rnd">
              <a:solidFill>
                <a:schemeClr val="accent1"/>
              </a:solidFill>
              <a:round/>
            </a:ln>
            <a:effectLst/>
          </c:spPr>
          <c:marker>
            <c:symbol val="none"/>
          </c:marker>
          <c:cat>
            <c:strRef>
              <c:f>Year_wise_profit!$A$3:$A$6</c:f>
              <c:strCache>
                <c:ptCount val="4"/>
                <c:pt idx="0">
                  <c:v>2014</c:v>
                </c:pt>
                <c:pt idx="1">
                  <c:v>2015</c:v>
                </c:pt>
                <c:pt idx="2">
                  <c:v>2016</c:v>
                </c:pt>
                <c:pt idx="3">
                  <c:v>2017</c:v>
                </c:pt>
              </c:strCache>
            </c:strRef>
          </c:cat>
          <c:val>
            <c:numRef>
              <c:f>Year_wise_profit!$B$3:$B$6</c:f>
              <c:numCache>
                <c:formatCode>0.00</c:formatCode>
                <c:ptCount val="4"/>
                <c:pt idx="0">
                  <c:v>3321.690000000001</c:v>
                </c:pt>
                <c:pt idx="1">
                  <c:v>3546.5600000000004</c:v>
                </c:pt>
                <c:pt idx="2">
                  <c:v>2857.4799999999991</c:v>
                </c:pt>
                <c:pt idx="3">
                  <c:v>-780.7600000000009</c:v>
                </c:pt>
              </c:numCache>
            </c:numRef>
          </c:val>
          <c:smooth val="0"/>
          <c:extLst>
            <c:ext xmlns:c16="http://schemas.microsoft.com/office/drawing/2014/chart" uri="{C3380CC4-5D6E-409C-BE32-E72D297353CC}">
              <c16:uniqueId val="{00000000-8F81-40EA-B5E8-59A6A3B00535}"/>
            </c:ext>
          </c:extLst>
        </c:ser>
        <c:ser>
          <c:idx val="1"/>
          <c:order val="1"/>
          <c:tx>
            <c:strRef>
              <c:f>Year_wise_profit!$C$1:$C$2</c:f>
              <c:strCache>
                <c:ptCount val="1"/>
                <c:pt idx="0">
                  <c:v>Office Supplies</c:v>
                </c:pt>
              </c:strCache>
            </c:strRef>
          </c:tx>
          <c:spPr>
            <a:ln w="28575" cap="rnd">
              <a:solidFill>
                <a:schemeClr val="accent2"/>
              </a:solidFill>
              <a:round/>
            </a:ln>
            <a:effectLst/>
          </c:spPr>
          <c:marker>
            <c:symbol val="none"/>
          </c:marker>
          <c:cat>
            <c:strRef>
              <c:f>Year_wise_profit!$A$3:$A$6</c:f>
              <c:strCache>
                <c:ptCount val="4"/>
                <c:pt idx="0">
                  <c:v>2014</c:v>
                </c:pt>
                <c:pt idx="1">
                  <c:v>2015</c:v>
                </c:pt>
                <c:pt idx="2">
                  <c:v>2016</c:v>
                </c:pt>
                <c:pt idx="3">
                  <c:v>2017</c:v>
                </c:pt>
              </c:strCache>
            </c:strRef>
          </c:cat>
          <c:val>
            <c:numRef>
              <c:f>Year_wise_profit!$C$3:$C$6</c:f>
              <c:numCache>
                <c:formatCode>0.00</c:formatCode>
                <c:ptCount val="4"/>
                <c:pt idx="0">
                  <c:v>7454.0799999999963</c:v>
                </c:pt>
                <c:pt idx="1">
                  <c:v>3372.4099999999994</c:v>
                </c:pt>
                <c:pt idx="2">
                  <c:v>11985.809999999994</c:v>
                </c:pt>
                <c:pt idx="3">
                  <c:v>13721.72</c:v>
                </c:pt>
              </c:numCache>
            </c:numRef>
          </c:val>
          <c:smooth val="0"/>
          <c:extLst>
            <c:ext xmlns:c16="http://schemas.microsoft.com/office/drawing/2014/chart" uri="{C3380CC4-5D6E-409C-BE32-E72D297353CC}">
              <c16:uniqueId val="{00000001-8F81-40EA-B5E8-59A6A3B00535}"/>
            </c:ext>
          </c:extLst>
        </c:ser>
        <c:ser>
          <c:idx val="2"/>
          <c:order val="2"/>
          <c:tx>
            <c:strRef>
              <c:f>Year_wise_profit!$D$1:$D$2</c:f>
              <c:strCache>
                <c:ptCount val="1"/>
                <c:pt idx="0">
                  <c:v>Technology</c:v>
                </c:pt>
              </c:strCache>
            </c:strRef>
          </c:tx>
          <c:spPr>
            <a:ln w="28575" cap="rnd">
              <a:solidFill>
                <a:schemeClr val="accent3"/>
              </a:solidFill>
              <a:round/>
            </a:ln>
            <a:effectLst/>
          </c:spPr>
          <c:marker>
            <c:symbol val="none"/>
          </c:marker>
          <c:cat>
            <c:strRef>
              <c:f>Year_wise_profit!$A$3:$A$6</c:f>
              <c:strCache>
                <c:ptCount val="4"/>
                <c:pt idx="0">
                  <c:v>2014</c:v>
                </c:pt>
                <c:pt idx="1">
                  <c:v>2015</c:v>
                </c:pt>
                <c:pt idx="2">
                  <c:v>2016</c:v>
                </c:pt>
                <c:pt idx="3">
                  <c:v>2017</c:v>
                </c:pt>
              </c:strCache>
            </c:strRef>
          </c:cat>
          <c:val>
            <c:numRef>
              <c:f>Year_wise_profit!$D$3:$D$6</c:f>
              <c:numCache>
                <c:formatCode>0.00</c:formatCode>
                <c:ptCount val="4"/>
                <c:pt idx="0">
                  <c:v>8216.1099999999969</c:v>
                </c:pt>
                <c:pt idx="1">
                  <c:v>12796.189999999995</c:v>
                </c:pt>
                <c:pt idx="2">
                  <c:v>29681.860000000019</c:v>
                </c:pt>
                <c:pt idx="3">
                  <c:v>12630.520000000008</c:v>
                </c:pt>
              </c:numCache>
            </c:numRef>
          </c:val>
          <c:smooth val="0"/>
          <c:extLst>
            <c:ext xmlns:c16="http://schemas.microsoft.com/office/drawing/2014/chart" uri="{C3380CC4-5D6E-409C-BE32-E72D297353CC}">
              <c16:uniqueId val="{00000002-8F81-40EA-B5E8-59A6A3B00535}"/>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40662096"/>
        <c:axId val="140645776"/>
      </c:lineChart>
      <c:catAx>
        <c:axId val="14066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45776"/>
        <c:crosses val="autoZero"/>
        <c:auto val="1"/>
        <c:lblAlgn val="ctr"/>
        <c:lblOffset val="100"/>
        <c:noMultiLvlLbl val="0"/>
      </c:catAx>
      <c:valAx>
        <c:axId val="140645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solidFill>
            <a:schemeClr val="accent4">
              <a:lumMod val="40000"/>
              <a:lumOff val="6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62096"/>
        <c:crosses val="autoZero"/>
        <c:crossBetween val="between"/>
      </c:valAx>
      <c:spPr>
        <a:solidFill>
          <a:srgbClr val="00CCFF"/>
        </a:solidFill>
        <a:ln>
          <a:noFill/>
        </a:ln>
        <a:effectLst/>
      </c:spPr>
    </c:plotArea>
    <c:legend>
      <c:legendPos val="r"/>
      <c:layout>
        <c:manualLayout>
          <c:xMode val="edge"/>
          <c:yMode val="edge"/>
          <c:x val="6.9007206362790442E-3"/>
          <c:y val="0"/>
          <c:w val="0.98603752889097829"/>
          <c:h val="0.26375509173036488"/>
        </c:manualLayout>
      </c:layout>
      <c:overlay val="0"/>
      <c:spPr>
        <a:solidFill>
          <a:schemeClr val="accent6">
            <a:lumMod val="7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[Sales_data.xlsx]Year_wise_count_of_customers!PivotTable8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92471672748223"/>
          <c:y val="0.2812208912715698"/>
          <c:w val="0.67296139811791822"/>
          <c:h val="0.5741074719383481"/>
        </c:manualLayout>
      </c:layout>
      <c:barChart>
        <c:barDir val="bar"/>
        <c:grouping val="clustered"/>
        <c:varyColors val="0"/>
        <c:ser>
          <c:idx val="0"/>
          <c:order val="0"/>
          <c:tx>
            <c:strRef>
              <c:f>Year_wise_count_of_customers!$E$1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Year_wise_count_of_customers!$D$2:$D$5</c:f>
              <c:strCache>
                <c:ptCount val="4"/>
                <c:pt idx="0">
                  <c:v>2014</c:v>
                </c:pt>
                <c:pt idx="1">
                  <c:v>2015</c:v>
                </c:pt>
                <c:pt idx="2">
                  <c:v>2016</c:v>
                </c:pt>
                <c:pt idx="3">
                  <c:v>2017</c:v>
                </c:pt>
              </c:strCache>
            </c:strRef>
          </c:cat>
          <c:val>
            <c:numRef>
              <c:f>Year_wise_count_of_customers!$E$2:$E$5</c:f>
              <c:numCache>
                <c:formatCode>General</c:formatCode>
                <c:ptCount val="4"/>
                <c:pt idx="0">
                  <c:v>318</c:v>
                </c:pt>
                <c:pt idx="1">
                  <c:v>318</c:v>
                </c:pt>
                <c:pt idx="2">
                  <c:v>372</c:v>
                </c:pt>
                <c:pt idx="3">
                  <c:v>465</c:v>
                </c:pt>
              </c:numCache>
            </c:numRef>
          </c:val>
          <c:extLst>
            <c:ext xmlns:c16="http://schemas.microsoft.com/office/drawing/2014/chart" uri="{C3380CC4-5D6E-409C-BE32-E72D297353CC}">
              <c16:uniqueId val="{00000000-28FC-4895-B964-EF410BBE59B8}"/>
            </c:ext>
          </c:extLst>
        </c:ser>
        <c:dLbls>
          <c:dLblPos val="outEnd"/>
          <c:showLegendKey val="0"/>
          <c:showVal val="1"/>
          <c:showCatName val="0"/>
          <c:showSerName val="0"/>
          <c:showPercent val="0"/>
          <c:showBubbleSize val="0"/>
        </c:dLbls>
        <c:gapWidth val="182"/>
        <c:axId val="306005904"/>
        <c:axId val="306012624"/>
      </c:barChart>
      <c:catAx>
        <c:axId val="306005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12624"/>
        <c:crosses val="autoZero"/>
        <c:auto val="1"/>
        <c:lblAlgn val="ctr"/>
        <c:lblOffset val="100"/>
        <c:noMultiLvlLbl val="0"/>
      </c:catAx>
      <c:valAx>
        <c:axId val="306012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0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C9-4556-95E9-1549D1005F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C9-4556-95E9-1549D1005F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C9-4556-95E9-1549D1005F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C9-4556-95E9-1549D1005F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EC9-4556-95E9-1549D1005F51}"/>
              </c:ext>
            </c:extLst>
          </c:dPt>
          <c:cat>
            <c:strRef>
              <c:f>Profit_by_customer!$D$2:$D$6</c:f>
              <c:strCache>
                <c:ptCount val="5"/>
                <c:pt idx="0">
                  <c:v>Tamara Chand</c:v>
                </c:pt>
                <c:pt idx="1">
                  <c:v>Daniel Raglin</c:v>
                </c:pt>
                <c:pt idx="2">
                  <c:v>Keith Dawkins</c:v>
                </c:pt>
                <c:pt idx="3">
                  <c:v>Sanjit Engle</c:v>
                </c:pt>
                <c:pt idx="4">
                  <c:v>Nathan Mautz</c:v>
                </c:pt>
              </c:strCache>
            </c:strRef>
          </c:cat>
          <c:val>
            <c:numRef>
              <c:f>Profit_by_customer!$E$2:$E$6</c:f>
              <c:numCache>
                <c:formatCode>0.00</c:formatCode>
                <c:ptCount val="5"/>
                <c:pt idx="0">
                  <c:v>8745.0600000000013</c:v>
                </c:pt>
                <c:pt idx="1">
                  <c:v>3262.3100000000004</c:v>
                </c:pt>
                <c:pt idx="2">
                  <c:v>2891.8900000000003</c:v>
                </c:pt>
                <c:pt idx="3">
                  <c:v>2836.4399999999996</c:v>
                </c:pt>
                <c:pt idx="4">
                  <c:v>2390.8500000000004</c:v>
                </c:pt>
              </c:numCache>
            </c:numRef>
          </c:val>
          <c:extLst>
            <c:ext xmlns:c16="http://schemas.microsoft.com/office/drawing/2014/chart" uri="{C3380CC4-5D6E-409C-BE32-E72D297353CC}">
              <c16:uniqueId val="{0000000A-0EC9-4556-95E9-1549D1005F51}"/>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[Sales_data.xlsx]Monthly_sales!PivotTable5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Monthly_sales!$B$1</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Monthly_sales!$A$2:$A$13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Monthly_sales!$B$2:$B$13</c:f>
              <c:numCache>
                <c:formatCode>0.00</c:formatCode>
                <c:ptCount val="12"/>
                <c:pt idx="0">
                  <c:v>29365.810000000005</c:v>
                </c:pt>
                <c:pt idx="1">
                  <c:v>32168.99</c:v>
                </c:pt>
                <c:pt idx="2">
                  <c:v>57260.74</c:v>
                </c:pt>
                <c:pt idx="3">
                  <c:v>58893.160000000025</c:v>
                </c:pt>
                <c:pt idx="4">
                  <c:v>53129.029999999992</c:v>
                </c:pt>
                <c:pt idx="5">
                  <c:v>61142.03</c:v>
                </c:pt>
                <c:pt idx="6">
                  <c:v>48621.929999999978</c:v>
                </c:pt>
                <c:pt idx="7">
                  <c:v>50657.610000000008</c:v>
                </c:pt>
                <c:pt idx="8">
                  <c:v>125243.02999999994</c:v>
                </c:pt>
                <c:pt idx="9">
                  <c:v>78960.450000000026</c:v>
                </c:pt>
                <c:pt idx="10">
                  <c:v>150382.51000000018</c:v>
                </c:pt>
                <c:pt idx="11">
                  <c:v>142091.91000000006</c:v>
                </c:pt>
              </c:numCache>
            </c:numRef>
          </c:val>
          <c:extLst>
            <c:ext xmlns:c16="http://schemas.microsoft.com/office/drawing/2014/chart" uri="{C3380CC4-5D6E-409C-BE32-E72D297353CC}">
              <c16:uniqueId val="{00000000-5F4F-4965-9B73-934D00CFA3FF}"/>
            </c:ext>
          </c:extLst>
        </c:ser>
        <c:dLbls>
          <c:showLegendKey val="0"/>
          <c:showVal val="1"/>
          <c:showCatName val="0"/>
          <c:showSerName val="0"/>
          <c:showPercent val="0"/>
          <c:showBubbleSize val="0"/>
        </c:dLbls>
        <c:axId val="140664976"/>
        <c:axId val="140665456"/>
      </c:areaChart>
      <c:catAx>
        <c:axId val="140664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65456"/>
        <c:crosses val="autoZero"/>
        <c:auto val="1"/>
        <c:lblAlgn val="ctr"/>
        <c:lblOffset val="100"/>
        <c:noMultiLvlLbl val="0"/>
      </c:catAx>
      <c:valAx>
        <c:axId val="140665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649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C461C816-C3CA-4B64-AFD5-919CEC758FBA}">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_xlchart.v5.4</cx:f>
        <cx:nf>_xlchart.v5.2</cx:nf>
      </cx:numDim>
    </cx:data>
  </cx:chartData>
  <cx:chart>
    <cx:plotArea>
      <cx:plotAreaRegion>
        <cx:series layoutId="regionMap" uniqueId="{8571BD69-C6DA-4F9D-B7C8-7CD7FE066E62}">
          <cx:dataLabels>
            <cx:visibility seriesName="0" categoryName="0" value="1"/>
          </cx:dataLabels>
          <cx:dataId val="0"/>
          <cx:layoutPr>
            <cx:geography cultureLanguage="en-US" cultureRegion="IN" attribution="Powered by Bing">
              <cx:geoCache provider="{E9337A44-BEBE-4D9F-B70C-5C5E7DAFC167}">
                <cx:binary>7H1pb9y40u5fCfL5yiOuIg/OvMBIvXqPnWWSL0LH7mgXJVL7r78lu+3YSifxYPziooHrCcZoq9kq
8WFVPbWQ/d+b7j836Xaj33RZmpv/3HR/vg2rqvjPH3+Ym3CbbcxRFt1oZdS36uhGZX+ob9+im+0f
t3rTRnnwB7YR/eMm3Ohq2739n//CpwVbdapuNlWk8nf1VvdXW1OnlfnFtb2X3mxusyifRabS0U2F
/nz7ftttzNs327yKqv59X2z/fPvsLW/f/DH9oB9u+iYFuar6FsYSdEQ5EVQgZN/9oLdvUpUHu8uW
lEeEECwdB8u7H/Fw7/NNBuN/K86dMJvbW701Bh7m7vfjsGeSw1//fvvmRtV5NU5XADP359sPeVRt
b99cV5tqC48dGeXdv8FTo/gfru+e94/nE/4//538AWZg8pcnmEyn63eXfoDkAZ036tsbT6V19jXa
PMzSKyAkjqRNHYEIfQ6N4xzZiGMJ8N1DA9fvl8U9NP9UrP1I7f+UCXAz7yCB+7jVmcqrh2n791hR
emQ7DMN/ZIIVPuIcc8kFuceKPdz0HqsXSLIfnseBE0Q+vj9IRP5KN1832WtqDz5yOKcYY+c5IoIf
CWqDabN3hk0+R+QFkuxH5HHgBJG/Tg8SkfNt++Z4q822f5ifV1AT+wgRaUtGdk4HP8fGoUfcEQyc
6r2yyIlle5lM++F5OnaC0PnxQSI026abdqO3r4cPkUe2LRyOCdsBMMGHAWkQnBK08zwTa/YSifaj
833kBJvZ/CCx+UtHg8pf057RIywJxgLRe2gmZg0hBJ6GMskZf+BzT0nBCwTaj8zjwAkwf305SGC8
TRp9Uzp/VabmHGFGOZdI7uXSCMkjjhzsILozbA8qe08CXibTfniejp0g5P11kAj9pZNNbl411qFH
YK+ETdDOrEEs8yzWwUeUSMQYE/f4TczaSyTaj873kRNs/ro6SGwgylF6c6se1u+/pwQEohwpGLMp
3q87NjtiEAURDsz6qUF7iSj7Qfk+cgKKd3GQoCy3Sgevas8gaKECCyr35wYEOaKUEofaO32ZQPMC
gfYj8zhwAszyMC2Zp/J8e1NFN/VrhproiDkMMULYXoVxIPAhAB7CEyv2Qmn2I/Ns8AQd7zBDzgWY
suj2FSkaFkdMMoYouQfGRs/djAA3IxxCsdi9YaI2LxBoPziPAyfALA4z8lzfbsJX9DCQm4FEme3g
B/I18f4IQdTJJHGEPdGY3wqyH47dsAkY69lBOpdzpavwjbfRKo1eNZ4Bt05g0hmx98YzjjxCghHB
+X04Y/Pn7v/lcu0HaTp+gta5d5BorVNASUXmYa7+PT+jkLIBzQH+tYs7IV32lDsLwIkKTpj4njJ4
StNeItF+hL6PnGCzPgyz9uuCxv0c3ePz7J3/tI4jj5hNmAN07N7rgFN5ig/UcewRPSJ3+E1SapM6
y8/F2g/SZPizJzmMIs6YFzzbdtHNK7ocQo8oRgTi/Z3xmoCCbH6EbCgJ2AI4wlN1eZk0+7F4Onai
Mudnh2nO8tto86peRx5BkkZS8RDpT4CB4gAwZ0dCpu1em6aM4PcC7cdm/TBwAsz6/DCBUe0rEmeK
oXpGORgxut+GEbBxts2Rvbs+4QLr30jzE0juRk3x+Osg8Th57YyZgFCFQunf2XmVSSgjBXBq8Cvg
eR7Z21Mz9nt59mPyMG6Cysn1YaICU1LfJK9YQCPOEcMOFpx978p46u0FA/vlOA5BuxBzYr9OXiDR
T5B5HDnF5vNBYnOq6si8snOxj6SAjBnnD+XLCRVDkIZGAmo4u5BnQsVeJNJ+dJ4MncBzepgG7WwT
5dsHavQKUQw7IlCgoeyJvXqqN1weYcQRBTd0b88m0PxWnP2w7IZNIDmbH6TGnG10n27y29dDZcz9
gzkDTJ4risOPHBtBufMhZgGW9tS7vESSnwHy8AxTTGYHiokxm5uwNtuqMg+T9Arqgo+gXAkJfmfn
Ribu34Fasw1hJxFQhX6OzAvl+Rk8z4ZPMTpQUxbdhFGwyR9m6hXggXomYCOhN/DeWk0ymsACADgJ
Yczu+oQvn71Aop8A9Dhyis36MPUnggqNUdXmFcHh4GokFAGg4Hz3M9EdSY+QhAoA9HI83PS+C+Ds
JbL8DJbHx5jicpjx5VlkzPivKKKHSfr3akOgMoahvekxUzlxO5DKhOYZDJXoXfD/g9q8SKifQfRk
8BSkwwxvzrfN5jXrZ9B9RhinQNJ2/Hhi1hDiABDUBBxxr1qgWU+dz+/l2Q/Nw7gJKucfD9SkGaNq
/Zp6A8E+dyBjRvd3bUqoa0LI6SC8czeToHNU5t9JtB+Z7yMn2JwdZqfGGTSdv2o+k8JWAGgEQBJ6
Me5+gCk/jWuQDTaNMoT5uIngqbK8QJSfYPLwDFNI3h+kupxvv+qNSV6TAECDBrT6EcfZJf8nTc5Q
kYEswbitZn+32Usk2g/N95ETbM4PM+IcCxqrTVaYMHrNLmdKjrhgkKR56KCZKA1ENwzAw9Cofq9U
E6L2YrF+htKzp5pCtTpINfq0NdWbjxH0ob1uZ60A84UZBDq7fOek61nY0FhLHCik7VwTQPnUyr1Y
rP1QTYZPoPp0mARhXL6flU4eZurfE2uo30CuBtNxU80+L+SwI6DVNqjcLrs2IdYvkWg/QN9HTrA5
/3yQanQRRq9YhobeDQpdzcAO9hNqaEiDK6A+9HvvwFPt+Z00+zG5HzXB4+IwzdpFkkIv2qvuS4O+
J0EoVDvvVWXaJCihwgOdAbbtQPrm7udBT++zBC+R6Ce4PD7LFJuTw9QVvQ3Ua2bVCFgxAdubCH+c
+WdcGttHsEMA2dCOPsHkt5L8BJHduCkeh7k34HKb56ZPm82rMgCwYULC1podV7an+gKboQURYixU
36MGSYOnNuylUu1H6PnoCU6Xfx2k3lyFsIP+zdq8bi2HQkkACyzZbmegnCRvRlKNIG8zblG7+5kw
tZdKtR+n56MnOF2tDxKna1X/73Tegp2zobSGH05+mIQ/wKmFhK0dsKPwHqkJW3u5XPuxmo6foHXt
HTBas03yusUEaCQkQJshHr3HYhL/QNRzhIkN9QY+ye/cz/Lv5fkVRg+jpwgdZq30PfgnOItk+4pt
BYTBWQIQmdq7hLQ9SfVAOyGhBI97P+/Z3iRj/SKR9iP0ZOgEnveHWfL5UG3CB9f970PSsZYABWzI
4ux49gSZu+3SDvTiYD4xb7+TYz8c96MmSHw4zJTo/0IaB4IahIWEMsK9GZuSA0jzAMNjsEvn/vqE
HLxEov24fB85webjYZK3TxtIhuZB9aqBjwNpAgR7CMRPnMxd4AM7Qh8KQBMr9jKZ9uPzdOwEoU8H
ilBkblRuoteMTGGDGhwfxAjfxTg/Fq4dOKqLwSa2x/zb0xjo00tE+gk+34dO4TlMVv2pV3CuWvB6
nmZMfkoJZzz95HABKPVA2gBBWdveofdw7/uEzgsE+gk0D08yBeb/Uerz5wetPZ5DN9tUm/ndAXZP
zlr79dW7Z4cz9SZDdzH+XqJwv/TXt+Mhd1CyfrKhavyQ3cj7yZ/GIj8M3W5M9edby4GtvfBRcKIU
txH0iECFu4WKB1yBvfDQtMBsKLA6Y/cIXMnHLZNwc+jFtmGjtsAENs+NRYy3b8wY08El2PAA5hT2
cUNOnGFIBz6eHXip0h7SWo+Tsnv9Jq+zSxXllfnzLZNAZor7941Pyah0GLTjUQc+k9+1fsP1m80V
rHN4O/o/dYSTXMeRWnWNg9q5DBPSenkeyWWYl8WC55jWXh7E4p2MyNC4GKo45y3v1KxJQyFmmtTo
fexH5BM3YX+pOM6vG8P9L5Ki7rIYSFusnHZgq0KTzHehGsNOIqtRMyfJVee1XcKzWWV1sXFD4khy
KlIrPE+QshI3hX6P43oo03JeyigYXN33LfKSmofdbGji/JvJ6qhwHdnTRWIZehGiuLtMQp96luoa
a26XFjnWfp9nLkCQxzOLhDhcN50p3Eb1/Axb2i+8CvtkXWeEHLeDIGvZRXY+79Ky+WxnINSszPxq
C3dBjatpLpHn17khrijKKIQPTvu57BlZd37OtZfwSiXzyGrZKrIh+zQng519iwDwFfNZd8lz1gZz
NET+7cBZWboJas2nYrAc+FyQ7BMtmPmUt3ZyJRO7u/S7KLxoaz9/XxihLiqjm/6kK7uAzWiN7dD1
Q0cYN81S5Hs2KpXtDmEh3nUJyFXyAiYyRr6fuTaJ/M6lcee8G6Kh+IICIS79VLXK7QZto5kPvQL5
TKatWjgiMy4bnHVXZMVFgkp5yYBehKcxlWxlYP4WjSrlacqjcjmEYXsa1hIvurDJMi9iubpGqBTv
LAqrJU7CzJO9YKsMBZmX+Rq991VC11EP6FhpRNdd7aiLRJeNdT3QrJ9zJ0bH1LStV6ZJTWcRHJ9n
VoOVVfDMiCxIHpVf2yErP+ta4U+F3VPiyaFk3GMBM7fIysQcVK3irmh7+a4rgtDteyqvsY6Cdx0Z
umAuO21JjzXkC/Y7Y1xYeQzPqtBqN2JIhJcYJE+LgjjBou7t4Jh2cR6tfKeshnVd97hfRn5tnWLf
alqvxU42J3Yn8tA1RMbVOmQJa92gLeorB0mWnIakk5eFsBBxkeb8Q456ehYay24Dj6TUsl0Rx2pg
Hkd6IMug623pu1Yct0XvWjARetWzSInPZaMa16pkW3phwYkP+Fht41JJ6rKdjz1Qi0CjAdcrX2mr
Oq54UdvrtCz76BMujKyO4Twbpt0cls/fjh9Y132rjYcT/8zJsuYkairzKSyzc1+S4BQOr4zkTcys
uMEuJpmi1nGQ2U4+c3Bqf4CWrGgRDX3o2kM1zH3dJwubw8uK2Om6HIL2Y1ThaGbJUJ2ZOCznpqiu
4hqFsygtMHedGCPhJrCGPnLuB3wF6m29zwPiL5XWg3ZrRrLCg6xTMYtiXM540gULq8ImuGU5yLDq
7air3abG9ayvuu7EEna8VrXNZr3Mr9QgTqvY+Ou4QcaTQnXHbRTXc6eL0jmtwtAtVbdsLWrdsgEs
Teprr/SHZSdQvOwjjNy+qJxz03fX1WCCmRO0S1HF7CPSunfjuq7doa/VRSvsKwR1TrfRA8BmZDgL
aBm4TeoXYCp4sPBz45mY5Sd2Xpht3Dvn9oD9z6VO2lXXlul1zhtxETfKeH1CB5emprlEtU8WpbJS
t43Cfkn5cB6Vol+m1K68MDTpokcJcjsLRqGkT7xIa1XMEjF8Vr7DvD51LoZCn1Vt4nsFDhsvIUov
Sz/Xi5hb9pnWfnvBTSpcOEn1qwRru8wjJOaR3/sL8Fexl/vMeArhcjUoFXlp01jHcRahkz7tG7d2
gi8qwmYWoDDyEqfPZ1jWyk0rpT+1cdmu7CyoPsS1rmBhtNYy0N23WvN02YdxP690i943CPtfSMKs
zO38kK55TLPYtQS21zVXbbIiGWUneRkVCym1FblFoKJlUSf0WPhW6nWW5byri1AuowFcU5yZaFkx
msGq4INz3psyz90mGaJ4LsqoupKm9D/KkoHKssyfg+8Nzwcpyq+5SlTiDl2U/F04abZAdaNdP8Ji
kZlKLtXQFJ+L1rc/SR1Y86qpc0+1+XCeC6xO+rLVq4xk4h2BC2eGd9aFEcFHJygz20OyrBeBGfi5
xj7q3LqrEnTMujg4lUkmpBvkrPTSKqodL8FERW7Jo2FG26x3WUWV18C+4XPi+6E7ZGGnXavIo6Wj
fLF0Cic5tnSQznQR1G5p1dbHqrDNJ1hxeTmL6rY4sYm+4n6s3nVDZZ+TOMlnooKZrlNYBrRd2B02
XodCusJY+25jqLXWvhNviaHZts50NuMhyQavqfyWgR/k/XEOuUfixX3JZpxF6IMK6+YqlIm47UQd
zAtZitPSx18sWX+LgHL8DVy4c60+tz1D2YecMusMdCrxMEkat0Fg54a+9D8Emi47En/xeX0jcMmW
g6KVO/hD45Go/7tvejmrUoVnjqM3ZZYmbkPsdRJ2yVwjXGwD32ncJLbUDA5UiVcNrnPl4aGn84H7
6DI1XM8T0ybvcsTPIWTOT7NB1/Oswnbv4qCJKq8NdVvMDcqG86Cv/HmRmds6Dt/3ajZGu54VDQS5
LWnSlYPiYcZ8G5euHI1rwsqRzJTCq6g2bgdebh7mfrTBSfLewlzNSFvaX0LsRCsVCWerkb6qG/TN
z0pX6Kj0pOV8zlNkz0pWRcsusZ1j2fvDaWHX1HVI+VkFQ7EYZH3c5okPtrMo5k1eJjMRNGQVd322
Jk2xZr2N3ZijD1HbJ6cprHk3jzhaIG3kEsdV6BV2vNRNWhyrqrumQ2gWaAhzN22YV4fxcFsB//Qq
UqtrX3SNF5kB5trPSD9L+7yZM64qt89NtuhqlbnaEjd+gP9GZeB/tktGLoh0Ui8T7F2JKlhX7CbD
GVpHQ23mRRgVJ0XeqJO6xFsnaz3gBbdGJGU4q0EkD+WmXYnCj11DCzqPyjB2G8HDJTAW5wpZfTAL
0zZe2MAeL3Du+JfaV8caQFepXkahfR72hnrMKWCJIhHM+rDDM41idE6K+EOXFPzK78J6WbQRq10H
5+qqDmvlxcZynYbD0wXKpeDST63S8Jnhw8cqjpYj2SxRfqGcKvBoK09wob6xKFiVOEvd0LIv/NZc
DGnkpmFlPG0cNy6yLzqVuTuY7n1r6ssCVReVlZ8BW4s8+OAe9N7vvL6vE+CAdeD1Mag5E2nYzBiJ
mO92DmWneSzEKc/K3Au5dnHvMONaSTZcYp0nUKqHY753odazWOFGFT3QHpDmLmR6fPk/71UG/+7G
fP/jeFL591ewIeT+iPNfvgtO5xqjJjN90yjN42fB3XfSjcHWsxc/RH4/ie3uT0z/ycWXBX6wlw9D
lurxRPQfAr+HjcbfA77dkF3AB7s0oJLpQFwlGKUSOpsfIz5kQ/TG4Lg6Pp6ePrarP4Z8FILNhxCP
Q1oA6IywMeECyjPon4R4cHDE8xAP2nQguQPH4CEODfCQtIY7PQ3xSr8SaRx0/CTDhUAe5hDozThq
e+CPtbGKqoTFP/h16yYZUf65ynvEPM1sS8vZACYAXaeqtK3s2BhOdDe3hk5TfyX8GnGvJg2sQqdM
h+I8CeEMWGeR6Saj7XllJ1HYuT12WupRY/EqWFQmzfhpQ0tzkwTtu4pGju8hbDkeDbmzSKELrF+Y
MpgVYK6vLTEM6HSowFR4pUS5XbpY4nhYYjBh9mneoZSButoaFFbDrpBVWoq6vIwtP7nWpS8/m3Qg
IahgWSNP6yYuTniuQ3+uevm3BaG3glv0fJh3MsXAJ6BTIHcJRItzcL/iIilz/rl0nBbIq2q/RA2N
LwdWOQtV9wx4VqgrF0hxV7mKhJZwK2UVy2TI0nVcp+EXblj5NzYEKxcpoNBKipu068+FDQE3sJGs
X8P//LOm5uQiYpG9ktJB8yom0uuIncF7iCzf1XEetp7d9/asasE3ubRwZOaqWmmIkH3euy1izSq3
huyyRrX52IWZv8a6b5fD4PTvpMH9sSXjUrvAZjvL9X0rWoVpHN3CemDv4qRpyLxR2LoIs1wsO8b1
yqgOnbZ+lb8PBydaDqJWl2qgjtd0Qag8Kip8RlmDP1kqNdTlJSYXigb1TBap8jLYZ75uIjScpBXr
GyAgtJ4jnNdzK4QgorX8bkFaMqxSiEaV1/vl8MXqs2IhotRallE5rGmIhxs7w846NKi4HuzeP6+t
Er5AwQrqbEkHq7/o6oE3CC26hlaYJ+7D7yrBtAnPIJoritqL7MyJSrdsJM31cVyYoM2PM9+0KSQh
Kr+M5QJr6wriMtHabtOmph3mdugj++b/W9QnXylx8/RbGB4SlWOSCUOO6hf2dHIO0HezejduZ1Q5
2EQHkmGQCoMeK9htDUbuPo0GBdKxQgQGE5qy4ShdAbmyXRoNGkcIdFzBCUa7Mw13BhbB5mGCoblR
Iui2l3C67j8xsASM9pMU2nhHhG0JzcTY4dAGhkGAp/Y1RbHOUZuwrUB+Vcs5LmgBMYldNNHwkbG6
SDbU0sws8rI3PZ1VuGNhBxkq3/4a5JBQsjyFuwQ4Xsj6epZIKy9XrcxSc5ayrLB6VyUdK76ypAJt
mVmcpzHxAsehaOt0qq+v0rBz0o0QrPBvSEZKfh5AXqYgboYiA6JARklnkByzqzafBSnTSeGqlmXZ
KXL6EkQOsgz1JzgjefzNMg1Em94TSPckGqHZ4NkcQUM8hswQnAQ2nnUMG+Wez5GDsqgOeSi2fqvy
uFxVGU0pqH9jtLOCqLqKWm+ICjiAObUh3PIXv749ep7mpBz8MTSrQp8xnJwEh8HcpUGfpDmHmAjD
bR7dxighSeRVijASulJiq4wXumsDXc10WAU0dCETMBT5ZUtJb7CH6MBbAjmUMDeJq1RJNDqHXqYS
rv1ayHEOnqZi4aRB+MIOEBRWOAWaMFlHbQ9hpx5YsnJySyfMg1yMQ75wnYQ6n/3TW8H3GAgHAw/B
YIvHDpCnSzbzcdbXAQ9WsF6tat2wRBHb7XCZwa9f3+o5+4D2YPguGDjlDQq40MI9KtvzW3VhZOFQ
E+uWW7qx8SwYnMApF6mgkCByc11x/iVhtl9B0eiRlP1+xY33pRLOoYEqPoZNs9P7FnWvHGURcRv0
oEncbewiNX+H1Md54LZxVEcXuQ/f51O5Yaig1v+bxwaS9wTM8bEhpQ7H22FJIY0PluH5YwesiSy7
C8mt5aROSTzW2pxt7qdbDZGTnkcWUuiMJGVfXyfGtgdIHIZR+lsAoIzwXBKGoQAL7adjjQG+ZWQC
QMUjO+6T3L/x5ZAzvVRlkfn93PIzI/tlL3QHqPx67n98eEgycsph499dv9iEcYZO6Kdxb+tbyluw
XZCh4gNKFky3tYFITviUfxkTtxAxGw7L84uy+0bLeRMpu2h/sxDQxD47Y3MAtNKM5gdO84TDhyZQ
yCFmsqisr7BXyMmsVVeFo5pnnQrhq4PqNqYD9aLM9LhwO4kJSAVkLKyvs4LHvZdbSOfXMgszUMOS
KY2vsibKzddfz9mo3d+1nzpQRrfhECvYcQdH9IK2TFSybn2h7XLovna60rAI7DqxYbLsriXMcjtN
IDde4KQclaZqR3XNI0j2/NPJgp2ycJ4WsaGpghIKBvv5ZIkSm6o3XH3NU2aBZ4rBJg+t2/R21bMT
4jPwZiao4SD2DDKZ4Cd0kWnEVsKKrSZxyxB8yOjP+hBG5dGQNicUQm2V/cZYjlHUZL7GnhAIVgQG
hDmfWMuOtHkh84F8NT7mVjaPK1Ok9WU5VFGRe23ZlyCc5WQNXFN9mal+JpKht67bovDXRmqIibxs
AGJ5koVlXkFuRNrcr7waAp/0imcyGDJITMkODD224h7lx/YgU/jUJPJbqNv8Gn8EQeazB4IyMLQr
S6gSjlVBWKzPZx5WZl42eVN8cZhiMYPcDHzdSQlsvYaUp4cGB2pXrt/fW8+0pnCtvrPeBfIFXOra
ivByUbfk9wo9iSHBjAKHkqBICGFodP9hWSRdYjI/VMWXQoMWlXNiEkHPMApJf0JM3cN0SL9Jh4+Q
mex7x60hfVaGHhj8ll8F5eBbK53RePiordrwcxHxkfZ0tMlSuUxqNsKjoG4CS6hvHNZcFTpOho9D
ypM2ce00HV1xBLMPAKlchvBHAjmN4aPIug6wIyyGLJ1rBjuoxAwKaMQsuFOP2EG1IALaVN7dXorA
6lsXigAxfIQCSgSSR1Y+Mp6qYFmy6QwfC5+y0ai5pkQN1anWiQ+xVpppnHlW4GfdKqBAGT7nIvfp
x8ZuoN40d0QA7KkpcwXE69drY2rCYfYd2NUBh3GOlWII5J8vDQIFzABBZPVlQJnRAThq2ymM26pY
peux6AOG4td3nFojPB6oB3WXkWuD757e0WjbhG1G2s9kqMfF2NZ0NH/YOAk4b95Ape2LH5MBFmGL
68oEZw4YFlinvxZjrIE/UwoCdXPsjMVx+NIlCtz/+ZMPkEgvLcmzjxnNs4pAiF0za6vKsARrFCYm
R3NIUqvosoFEO1icImQqmAcQnjbKhePO2rRxKxyUJ6kv+HVHdCp617SIN1eVsOzIKxkUDE5gEUEh
NbapD+VkiKnRqOyhDetQNSGwi7UfJ9Wo+Q3kdC7Gb46CVDVJNOma5a+feGrXBJyMY4+thfjuiwsg
0nn+xAn3w7wtjfMBSgg2UHOmNQZq3kDA27oUSBZdhajtYNl2iSTwK6ju+LrFi3FJkzpusX/td3xc
0riMhkyvogKT0USWg7HRokybAuojA+sT0Dq/zcZIAfUiA+10UAlq9OtHGtNnT0EUwICgkwGDVQME
oXV8YqpLkmeDinP8QVSQFi8WVRGMAlQWqUfVvdNj6ILtQTY/7EYVB1s5mhRdQG1sY4UIghPUsfFP
qkxgS3YqY4euojYd56HsW8XP/bKDd0UhGR+xDzJuoCXA0WRRCN0QqKiBv4DH/c2jTeIaeDQJnB1D
yhB6MijwvedoVV2CnLRW/QcSNKOlqnQJS2tIh0jdVLZIcO72lSqHj5BeHv1jZikEgHQ8S4N+PmQc
QVJMEqtuPwBL1TAdrRMTWH2kGcCa5JElYYnRNi1G61aD2VxFuGjBrFXASOCGUeXb8AoiRwRTkQUU
pqKqnNCqPJbWMahECBkzeHU/P6MpHHe0/4ppT3RUAF0AduVgJiCYtn+guqgdoBbES+t9kzkKrMM9
vcUhVAwSD+LlMMh/ZxZGtX9ClsZbUtiCDYlU2DfKgTU9n3Y7VkAhi855b2oEK6Tq4YyraAm+H+aH
xgVVbO630AJiXJ6SHiY8bfwcKAsYPZilVndpdelwI/x44VdUgDEAhWyuNGzqAg+QWaD4VZeDo9rB
FpRQ5GvdLhU56Apo0QhHkHQjEFYcIfgl+1g2V7bKFEjCkgR8E3SCjNH3r2cbqvY/PPzoBMBIwPHz
sNFiGtkAHTRWYHf9+zDseeq7VZ2QwvNb24/POR6ohraPUPNCuBJjGYeu1pBSO7bTmnTMLYDtWCc6
yCx65mehQ7yyVV1wY0epvWr9mvJZ4uQqvaVxOuirTPEMvtB0QGl7QRtkd8NMxLlkkJAF/mjqRdsy
0ZzrMvQ75fLMztApsTWSszzX0CkTd1UN5UTViXKI3TBvNO28oIOcIxTtBt32KZSuWUzjBWTSa3rN
06qngWd3qG6hNCPbEI3pWj+o1lXoADPznCFthwGCdViKxbpLeh8qnqaI+aKRTkBmLLO64X3LFY4+
1jQN/BmB9CDyeohPVe/yoDJyJiPcJl7A0mAFp5lVM+iaaYcTX+a2vUQtCvEisIwI7XmRqIx+6FkT
JNYHqeyue99VHanOLFPl1hV4DKe+ZZpz/WFwmiBXbqEUCs072UGtbOlHkLNZQPlSZMqVEGXj0HP0
YErxFWWxyG9DqB413QyWSl9uZV21re0laWtQvKr8vGRiBnEAS/nSz6yEn0vkWEmybHiBTRpuQ5GT
Cma5Q0RoejYQ1cCSHiA7XoTvoCe04vY8z2lROOta+lGYnuasS8pgHjdB1TanLfODKFr4NGtrduXn
mJRj7T0MxALWCifJ/2Xvy5rkxLV1fxE3GCRAr0Bm1lxll8tt+4Vw2d1CYtAAAolffz5c3ue2uyO6
736/ETt2RZezEiGkpbW+YVHpdY9xrA9zKTZQ1BHJzdJ0rd1luN74HHXisokRp03ds40gwK5aOPpJ
RS6n8zUWB8DeesuQtiQPTiPrYtUSstLnjwOQCfxY3n4ZCTHg30BmEFxuVzMxr7szLF1vZA5WO71K
DpK/ADNGe1dc/CQT0G2UrMe5GNNI4HZ4RnGofPVtgBy2lrRjlD+GTW+6eJJtJLfhXPRZlOrr3gVW
ro+5zKhglWHswCQKu9CuB10PhHy/JZBfYKaiYBCy7xG1TUdvo6y1xXCXCCOS4QnSHFm2p00iEPCT
EniDoa0Rso4hhTUa4vQU8y4I08S6l7ZspiWO6PQp5eArzXmUA2MvjpfG1BZ1MGY2LZ3ACVIn0MDg
SzB+pCyVMezI6Uk34+5r3SVTlp9ltx0zlg1Ljx9q7pboeRqLI+STdeFlUbNtUVgA+4R847IwO+Jz
+u1Wu4WCp6iMBDpU4CyZW1xt6BIUmVMijseTaEDw9Ldk8Mc8T4RJIGQQFlg8imjqy478bgwKGnO2
AiR2UW9lEgpTi7KjLsITJM44EKaTExPmK+p2dencThJ/X8riGLLAk9b7c46VhStk+Cfz2kb+WGA5
lFl48jRE+N3AxmNq1jXBR3HElmbDGFYIqXGPP+/H2iwzr4ARO/yOeq3y554S6JcOhhYAUKWLLsFc
/Fw97T4zfGUho+Pm2iX8mAyHVWPrnzkuozs9/iubaX8PjZONnn9OdfT28f9M8tvngBSk/X2R6hED
SCbwHK+9yLUAEz1lATdt0h3vka54mnERP6MA54pV9O1BQVayYKmh8naWX08JyH5aJX23hvyRjU5h
ltZ0HPCRVANjszVgjnZlVR+HI+nlI3r+Yo8WPDav7G0GlcYOQlx7u6cuFajRaq2mfEuugiuP6jx+
e7RvyyNv+wHzkxOBvzjRYjhu3kPHhXXKE3tcpgNFh18GcIFF97JHgrjlBneaHdP7tpB2FxxGiZs8
viURdsbfwT6QYXXNS3cM/W1Co33b8R9qyBQpTlFMp15e71DCen3hMRCt+LQJp7CnmeQH8jFveL5i
LVLzmuR8wvKZKTJW3Lxdkew+zkDojy9M1+MHWXmJH8MUH9th3Okx/snlvNte3MAHLs4TL/G9nckS
nl31cyiS5TZ7WytCQsZRXH5OOZOrxXC8yHp8CU4AhYtLLXqc82ti9jx+QeYmy7XRJlomUcczb3Fx
Kju8TBA6FQ1scwBgAMgGj6lz14Xix3Z2OF/xuz64XJbnHsmiDzcZmwevrqD3iaGkHBgZxrVqZw6U
NmGJw+e7xcz4gaSRDg+jcfj/MG4A0WgMIjCqDBiK4WHtlxagwGYlrp50XK0f86n1qALasB9rf2MI
5fLsM5MiwpS2G1x5GkYcsePJR1PL5mvKcFT5z3HuJeINH5Tq+6ufILlchs7Ks+sG1LvfApnR4uNK
yw7Tccl+7BmjygETNrcQnu0fs65U2/Jisq3b8qvl7dY94zOmKNN+73FHYIRnesr3OEGUWyw5pi/x
+lg1wKuOJf6Gn5Zzv2EGEpce97sIkeKHxQLH540AFBpVYtiBK8PJ2k+sAmQR8vE+01DsTU0OvRwW
9UrBfT//BFn2hA62PbvJ2Da95uAj8R37G/TWoiwHamgo6YGXtkmP0nccUTtN9TIAmKC3Y58f+2kh
mwC1wPtyQajM8jbgzJsDIo08o7I9Js+J7IAKUlf2YBjkMHH8OfrO4i4/b0jP2uhma2drxQPL5AFS
Kofj7r7o2yxf3hHAWKE9+VZGoTvnm6bD3AC6gISgKgAC5V8IzyDTq3AYMjz8PSI77iqfxuPYGGl7
LDeb2gSL720m5aKARGciFtkK7TO0cMW7fndbBPp8X4Aq7Nqw/AviLdZXtOkdMyBJfNxDq6cIwR/l
5YFSDQL5KjJrNqpNf8lZ6EzySvyQDw95bjSUhCRV8xL9sQlItNsTTrRsoNU8AP+O6nJICvsRiOTW
Lx9ibiTndUtD1vn3W4Hcxnxnq1hN+nluS0ATF9u7dWR1lEI79nGHCpqoCloEFBzVkiQKOSXkGQxk
OFb5KFlar/hlBE1YsYFv883PO3l7lkZLAMQ1pVk4butHuBmggMJyY4Ef0QTZ/7F5xTwen5h+oPet
TI/f0SSO8InAw/HBNgM6MZ5QuR/choDwE1uZI1tsH/YlJPoksVGPXcnG419+LlnklIhEDEZe/NMb
Hn6E04jX1gebFVWS2rh8ch2Up6ra4gnoOQl7y9LrzUzHLufRfsCBM9gv/CBIyxYob2OsbxKDf4DM
lB0j7wX40y8/L0QthJTPBkslen6r2CYh9wJi8Uk78q5/C1j9G9Bo0NsCqyEaoKfHGG1uCWlGPhrV
Vp3JXfTsBNW452UDN7neiJQfaVxHILF+LtbhGJb7seEiBZEIcEzqjk2u04M8babNH2uyaPe0FxXt
5mkcT50csBvPbxMCHPgIej1acOB7yZxE8rZLs6Eo/wX4+ktBDywH8QErOEVwy5O/wcpQjCM57XX6
3Cl4GaCM4dxjN2wKYdZE5NhBwwrgpatWYY6x/0t192ttd1wevcZhCjneBofr/6Wwtc6raJsLQFVv
oVECA8YoUAdgJ/3zpf4CoGM3xejdg2sBssL/50dZ/ydKdIPSrmyRSv5njcS9V6o2uiXkEQ2Ej9XN
8u54qA5yaSwSYgke2c/g+M9j+RVCoDHUTvjf8c4usJ9Y5+mvY2nXLAV8K/kzHAgIY4ImRz4+z3gn
3mlXSJ3/bZ7/fkF4rwEc5CVLAS6yv+CKoFTjZBjj9r3xEw4K3uPEvy5CjzD3c2f/8w0e3qE/IRbH
HR6tkig6XZYpXkbyVyDTD5LwaRny9z8jxtbBaQJPQp4FSs+ezOV6lrrd7Tu3ZUE2o5uOeJ5ZhIZo
3qGU/RdULvl1pWNEKKWOlwrAwAKdGqi6X+c8sDjaipCZ98PbptqQ12GPe9e3iOuiXAUeQUdgfUgb
luFwQGoRdcdApM6MgxDYoLI/U2jGKLhjhJZQI9QbfBz7o00eRMhQT9bbG5+l38LsP0/rXx8jHhyI
7JiCMYEtG68f//UecO6aBZKm9aGb+yMy7T8SIT3Tyb0LUekI3gf2/w51URAgaEICt9QPr+Th6Pr1
eoVHNoJ3NLiHn8cexFBGVrFCZFUVFGj8v4LWaAzI/+h8go0Beyb5WzjIthZI9Crkw9uxhCT5eBpF
P2BfTLM5Dox/vsG/sFAo9qDQwEuO0sMOiheC/xX4n+Kla6XX7FssAej+XIAQVx1Jlc3Go/DaynUa
63gkNi2guxvACVQDkrYZSuHJFy9yixEu/mVcbxKR/4v54TW/eD0JNi0Av4NaR7elX+c+jsGsFKKb
L3aH62k+pdQfegKHpsxO/THvEyjpWs0c6CirxnZHvVctlC/JeIvzFtIgXqteA7u5SwnQg/hpbCnn
6gqqfbC6D7BZ9YkPdZuCNPo8GzOikLEyJZM5jYPb06WOVZzPY1NaCrDsLvOJyvIn9sbI9TnKieyx
ncbE+PuedyuDlMetuUiAakhISK5QKhRibIZIasSznylGEeHPOigvt+NhIseG3r3KfwSit2Kh/zGb
WzemCL4o7o6DfFvTCCmpSktk+lPqMN1IknJXPGTzcKRj0Vt2okFv4rnFkH3uournZUz2apotm0ST
w98gXfUf0MLg4IOF5y0V+ZEDgRvbML+7KY9juDArsCFUB32ennSpcMmxR12w3sTgGwSvBz+ijfUF
iPwgh5cMiSvLHvKwMKKvZR5HRzk/rxZIaXirpNgW5sw0Xe9GAKfAUArwBJXsllK1deQU3+KxMmjg
RNMnZpguthM32J7mAw1s3dUHMAYHJ4UsLk7zB7XMoAE+CA28GCadgkAQcO6sSRJZjwnSxj8Cise5
vKG539IvCfVhKR8AfLX63cSY7NOTnGDGQi2L97T4pYZ9DGz4aVIBz7bZfLrD7hNHwBbWGslVQss6
kNBudz2blxnmxEFuAvUwKy2YTejP5wuJh2V7zeOxD13TEqTMUzUW02g/TcBOIldB/XuQZj+jiQGj
zfO7ckTkleepG/LUIQ/+kSkBuj4yvTAtx7HxtjSGH/ncVAw9ii7LoGmBq9HG+ZggFnFVYBiwHEBv
2Ucr+4AwrMpnPbFoOI8CNrmq43x7pkFQ2QSxtRdB4B4QcbZfj9avV8Ai1PvC5mntGe0eCrEMMVDf
1X5osaivCKdqrrD7uldp9fCJx0I1niUtqskhWy4oVwEKpRO9LXX8RfXYjtOm87t8E7opSNfh6UJi
fJaFJyephHvc5bDEJ+TVy6kMcTZgxebjt0675zQh+taSiN+O67yc6AwQGVISfrUqx5qObeW7QncG
zLwW3wWMDs3QaV4FMk1wZjBzU+7peA7tBB530pTgq8sw1UROxXnDV16XqKherVfuAuVC+92wfrj0
kBfvVWCSnjsZq2dNgK5XA0AWqO4zxV82v5dfh2iiKMbd+GErU3GK0yW+ITHrRKWiKLsjANrOdpnR
X0YW7TvAfwKKoyVj3xOQNahIEp28X1PZibMOU3RK5nF5P0PQen2EggauM3eTzTDVVXTcyrotWNuV
n8SasnANDYH7NqdEJifl9IJCRYxdgGqYlr+XCy3GJmojezMyCAoakizynV+zHpXOqG7pvCSmbstO
fY3lrO/gL4hv5zw5VmhLDxaUr9uNR0J6Hxf9eg38OroRPeyzTYno9z3Ztgx+hr1M4PSD3vHzps32
u4kiX6cQ/n6dZ6lSaAI0ZI37PmPldoMeKmierGv0vvX+Jncc9rg40eIhJAUCMYqiet2yIbuBxQam
FOuNPafapbd0GH0FrPYj3cK32LXtA0mwfdbZLQ3AwVhU3I9r0dCgshMplulBd8R+Dtojq4pBUPO5
cj1UDH1dCE51FbmMfAW3rKosHaaLQqlfpfG4vPPJ1L+Dk3np635Z+Ivpgvlk4YJNK+Odr9vEallJ
jA+caQnUDBvPd3tNfLk9sXTuhnqCNfmrHPVegaYZP+Klq6bSek3eMdAA1zq1Ze1s3N4QMZGvc5n7
OwnEfgVxAKs1YJulaqF0Rk3p+F1eRjCCDUnPvtoIaUlTIsOSFZWzecq3vD8j0Od5zcReXC2J6p6g
tIE6A+6ll1RN+rI6n1ykXvOvNmtfNlS6L7sZ9/JiNIF50Yz894AJuXRL4dwJiVx4XiyD38QSA861
50sVd+t6nbNeXwwyyaTixcxe2LSw18zr7IOE6+Z13df9d4cF3qyFgjIc0oBLjJOiMd4sz8gQo4pu
03oX2bn/ssdqumRwK0NbBUAYNp2Y4CyDoRkHpSiB6NA+vypArdR6nuSlp86+QJ2VYfxrepPEUwbL
WjZ/BrJmntjU2askDOx5HO1+y2dpTr5AyEUhO4qHCTbJG+vI9jTNrf1gy5J8g9kMwSE1YX0gYcTm
ASr1mGSLu/W22K7F5jMF5KWcLm0+kgYFLpSfAC7Y9Q67+B0cePbdnpbdSwnw47PZy+UDDnx+hc1W
3O9JtECFlIvzwFp6B446yeplZENT7mHKsN7tdN55pJ56gOhP3CsNw5ce4rOFWfKzXhzhKI/3/c4y
4m4hNepR34/qA892yP47PvpTVvTlVQLWrl71Th7LlWfA1m30PWpTqMjuAiW7YHUYPbLVpnAApcu7
nmZrsZxi9Pcdlmpgur3bIs2fgJMMDxEJ08dhsV/xNxxQrUg+ziMyGOkK+eCZhICS6kTcMKXTLy6C
WaQeui2+h1jHvYh0Xc2lS4eM1KxLilsC33F5ZvE4sZuxK3UDJhZ+1hWMdVOyfYQjal/YWo1ZOz2o
CIz9bYhMgbnO422xd4ZBhn9OvE2264mY8THzJHpXTAw+kNzbTp06pu17ycU6nkDahu52FL2CydhO
FJrGtk2iS7HO8/4+lJN13eVIPeKGGa8G1WPW1MZ7GPXK3A51UiBzqeno2vUeeIeca/Q04B+2Yleh
VvGQ30Fw1ybNliBFvF1QSi8fqUD9ZhFHrF5ojsSJTxAGXa1LXtzQ1MeT/LBnoU3XKngTw6iXItjF
1yUBpn8xMM/Zpltn6p5ZxHsJDQ0fmK1s1PKhryPC/LPIoHup0o4M71RIov2yoVSUdVyYNL7bmPRT
nVog8ffFgHDaQOK2NwrY1I1MF1HnCRyhSxT8LB+HEOVszzD9U+zHBkjL2B86K53S8XFZiCyXJuQy
H1JA5LPCfihBUNYuCel4IgmsLHdwGMq8GicAtfW+eAOXzBhA3RRO9leTIFSdOKi++14A6GykF/4q
43g1dJOXcVcA1JI2ue651SAUHS1gstzAX+dLujxElPmiHmVL4CIifQYwDajbx0RH9vvKkJpkVof0
olSbZCe+dqlLa6RwXaRqsOsQk21V0eXvQ0RUgcTMlUEMNSLpgg+oOBJ4fS+CkCnzU6cHXVFuEs9O
/VgkRXfSqVeU3ifRmrsX0LFjeyVNSb7ydf2y7x1/4Z3+wpmmskKZMD5vUGec2rK1lxiHR4wgkVsQ
WAWMLiEdHmwm3HntLKu10TsaU0BoqatxpOOznYa8sRZuHVcKgvi6LuO3hbf7uVADiDju23twhCV8
wn7eTLPjsCFPbO6y5wISINuIFWgN1gMWTAVF2/Y9Ubp/p800l6e5KPjdrNB1wZl54Sfn+dpeA/fl
RRWNnl2PSpomncxw7k1Ln6c+Tk5s6dRt38KCm/aewMUI2lHxGfQzQ1nUpGmLfq2ucJfdp+lQxQUO
4SZmq4F3M8nVAxSA23Kt7YauHvMW+9r0XNYkn1ddsWRsoQKFpNFdzzlu7hQAUz/vrRXfWzDX5iLB
kDUWm3Kr9tDbB5zyOPxF3g8w+SO/wBDa9zh1xNkVDC6zSXcfpeDJF2Bn/gzZDczYMRvPhS7kUyRj
W69j3n2Kp/FlkNBycRRu5yJt5We1pYuqaKbU5yxu7Y1LM7TBaK2XZS0Ab960OsVN8xgYtYDJFZL5
7FGiLLlZt0R867us+NK3PPnUJ9l2t4J7bag26joD6PsR8HkK2y3bva4yGZv7vG0z5K0IjsciJN8I
PHUx0vbxOLVhsX5VaxmJE/pmgMoEHKzy64lOQtWzFX4BW7QrwH3FJhP0hEAcqfJISHo/6Dl97bpu
6at0wBgqORQdWlTge2sAWFgTXdD0esxdWqCFBaSY8Ifj+L4ZtVp+Qw+QvKt7nWXxFxy8m61YVG7r
VbT0ebNoGV0JQ9OXg/mHAXjtXYXWHPqRwpz+6tZS43hA5QnbWws9k2ppdgfyzd7qAFlIZTlSmjs/
O/3ap4uHnxVA4VqJdfDfliVgr2BTok5zGjjk9xW801qBU1tPk1zRcMXALIzD1e9I5iH8/B1vx1rb
81h0yy0JqN+qCOnI0gytiegpMiNUu/G+0o9wEg6fC7169OnI5maIIxM/uK1InsGPlQy6HuRwVb5s
3XDZkFTdIPpN28mbDj5i4xlST+gwIvWQdVsS1eiyAGVQGGOqT1av8AhAU4JFBF/i2EnSr2e+5iBD
xr6WPZI0ezrK2LVug0ELnZpmU7t/mmY39Y+pSra5QVXR9ghpLFe7rm3i+BAuUZzKiTzmLmvR8iIx
Ivs6QPgZTfUalV4e/Ram3sf3fadyxWpU257oyu3dOLu6wIFLQ9OBgSqHykGPTUIzraEd+9tQtoB0
6tmhANNPwwqPSVZ5CLWZO1uHPjWfOO+J4s2GrQIiBC6hbLLV6o3KlzNHrjZdw/wcjX/MZvYrPXVQ
MI3TiRqwZc/wtoM9uWhInZapsQG9SuSTdLrHcyBoPCGchBYZKP4KoTpu//cxYkWMeZzlFGAJ7Dz9
RC1Nu+c3uDXSB2WwDOwAN9Ok9foWjbIO8h2M/8FkYB/uxXdO2tjnFyijd+w3k8xMfHZ666KumkrY
ZSJUtq3cchwRCMfLR9cBUECzDySU/iGWDF1hasdnZ/rLDn4KTwtHnlTyNSvdtI4NHRYXptvM4fb2
SijoJOYashU0KnrOFqpFfsohNRXZTeycCQpKIrEgx0HtwM1Z61IiHkeLanroiO5TyLGQumuGiBmY
QBJVkotYijEEDRx1BRYq0FnJumEjJz55gvYjeoNmhgE7mFQJn6sj5QntLPIWPNbaMu2qhBhGTkXY
M3IBczd+1KUbXiLoY5YqVTDFVcRh75ygFxm/x9PRNQT69c72J5UfHUhWC6WJr/bUgD7ccxd+6ORv
0E1pfQLcuV4ByRV3Km4z9JzI3b1MQhhPOhsht1oZqFwdDc+S+a24NkjhiiqbdCCVn7Z+utglhg7R
l3pDc4147b/rPW7RH8ASdHrKcY66Zsn28H5GMySPBCEaTshAUSG2UlN6sTlZxqYdS/8a7a0Pukr4
ZpL3ZS962mx45903i1cV2mqWK0qDaY9WVCNWJt0J6YSdrxxa7KzfeeQPxAUZdTrVe9/xM/xjaxud
R5eUkNekhk11GxOlTiTE81Uyq+LzsA4EgGXRplzVABQFRYVahPlhLPPYNWjW5JZPEC9A+FBZDZ1c
DVWGWZEgJSmUQQC3Hjgq77EiBnn4vQdl5tENoi9ORZ8PNxGfFcToDjZqDXWcHiG+SIObm3KiDKRS
tHQXOA/wYArPoyqDOu7K6MHI2gEwe90hOcDaaNk7F8UK94luD3mi/VPAw24Ia0t2klBH/B5BfgTw
UGp+FyEMz19QXG7du0KO9si6slRcIYPJbywpqHhFiMzCJYON+b3asvYeQkf+HZ2CMPPltnsIzloH
ZGTfha+0iLeX0lP3tFl0IXjQsNeB3y1GhWhajLAb9JS9h685KRom1XadALQQzQZ1y29bRuBvpP1M
riYiJQSGlj6blqvzkk7xp9zOScUKKAk7O+zQ2M97qOBgCg/weqJTUOrmFbasAU1yKiZWtl7z3EJf
Nk87BJ283TyGy4ZD3IBquNZTEdIzOB4wpXEGw2PD12xF6I3gWBDVogsIBDM+GyQFU5jvM6fdHU+T
tWxiynVxhpRBf9h8sUA3vEy4S/D5xRdiu5JXIxLwRxMdGe8MT/9UIacOosr7lkFQ0qP/V4MDXUI7
BbjkaR+BAFR7rnV+6ldI5JoMNu7Tbjz+hlMI4iD8GHWzZvqPbe6mU9rO6IG20PC5QLRYb/0yWd2g
8Vj5fqZ2cbgcRVOYCKqcm2xM1X02tOlt2Q19AaFPG9BzI2nZbRR16WsYRH/jIz0/QW0na6i40q/w
tbgJTAF6l6Er1yxtDS++CI3bAhquDbZEZxPXiXJA/LXZcCuTNNDzkm/0Y9R22j8AueozgAEKTWgG
PSafBYNmoRohpXhQ0IjEp2KjAUUBS+FLMG2Mljpjgj4pPfV2q3FuIqtDft50mTXlMW/545ZtgKFh
i28fymHMPhnoJNAmyQ2fs3lUn+yiVIVOpsAeoYmE1ImvWPKD/cyjLebIrXxUR8g87q2DQWcG7vJl
4g7NaiQ2dWNFXzwublE3CzVwa9iivwMuUFxFbVx+BGIsCiwDnr+iwUB28iSe3682pNf9rJa0luvh
AUd/mhHilwkQTzHP5dWcdVPe7CxC4oReWP4y0XQd3sPFKxoLcKuxWOqkNhl1J6Qvye0UVAd135Z8
6trgP7F2SSo9uxjmR9qfxnJo/4AwOG4IJctLiXT/kpA2eVXQkH+C8zzQKvKYOIj2P8E1U9570PQX
vS7YdaX7Conx8qQdHPFVuag4wT7YnxiPemQ0CRkvOA/shDJjzpqygLwEf323mdT+JgF2NKVHoYK2
I9Ne+S5RH6NyIM+yy8hYE6D611pPCcgsaCX7LPsWHNB/NMvRwIPsKw6oflwbsNjwIX1CRatG/d6S
WRH6uKC1F6L8jBcuQF1kDXzZoPl9kCM6dmlQhuqRBIhhwmVL4bZIm0zFfumuY9eNcr+GFDssL63w
G/1GJ6L6K6nKcSF1S2y8RE25UrJZBK8eehQ4Y6FwkCwRedxAOpfsSBvLOIja9rmN/bULHihmlaee
ngmZtvJLPk0LgorR/eDRSqugHdqDIc+D0qCJQs45JCkEKikIipHGQxcV4NHGpoEQnVCIOTutfo9N
FIq5ASUJqR3amKGrDrqH7YL30Pto3h4ycKxBAxqES77H5t2alQtKGJH53NqPqtzaVTagUkvUfTD9
CC8f0PJtdqqZN7xeJDnFOnOzeXX9viahwrdoEepNEaRk1a47RIarFkZHyWog1sedkJzHbLh0HP0b
zW8u4ntKK9GWPf4NavYiRzu0ZUbBfCvD3A557WNWFuv5n+m5X7lksIbQSsSgDg/PK6jKw/D/Zy0B
oLJyiaHz/31U+iA01jc1SEYnC0p5LjriIN5aYx/BqiAkKLp/GcCvRPAxAFDqsLmi0y1YQpBCvw5A
UHQZoVwU3/u3AYxvGo2xZwNWXKTAi70xpf+/P86/NEaF6+BQS/wva/63/jh/fUX0jxYQb3/0s5lD
ibd+omNDgUYAh8qG5pB7/OyJyvDeKShBGBqT0hyOmhyqlZ/dHEj5f5Cvwcx9eMljvLkSowBrezRF
Pd4gwvBS8aIkCQoqRLX/pqHDX5UR6AmGPn0E1rOjkxf0BbjQn1ez8ZFfzDAjjmuC6FKvfASgZWHp
vrRdPOVovtKFUd3Jo+/ii/ATGljq0GlkqoCKvhZindKkCTHYUQ+oPt8DWCf0O5C3PIUrFazIhFgN
5MbOlz/N9NMbG/7nfq7HyP7EkafQ9JDDc17EZUop2gf9OvJydhvaF+72NuOxf5908FjSTbI7wLTx
wxYFcHP/fEHYdf52SailkoJANQW34N9aCURwrOuDrb3Nc3anliKSiIFwGUMniCoJki0TmavExvoz
2wwA2NqRFd4tljuU+ZTjCLpuC4GWfvtaYFamvHXo77Pk/qmcBGQOanL+CcdT8mFIk2W/kHZSt3JO
UIHjjYLoSJvAnJlXxoLWgPIbBfgZDV4w11G++vcD6OsmTXZY72H/msF4AH2pGAASkPtFK8cGFogE
FGkOu0ed44mYelxm587tHIX7kIv0gwU1ABkL9IogUUZxQfnL7GlfdPJgS0g/6oKLwKFXZkdf12Pk
MVBb25iOpx+SBJ3iKlHMuDeohM3nqAv+iaMPooCNE0r7U0ZT/Tldt36v4Vkx3SP692BEPzrKIs3p
/Is1tAN/b1AqfwBTmMy3KVTT6cPeb0UEm2vI9ScorqfuZrEz1h9H2yOII4GmvEcmkH6IsiH1v0EE
4KMvWXpgF2L2GA+caV5do0KB0ngFK7DXbR7h0oNe8a/orojRpfIQe/jdxGg5GkvZPbVrAjYAQMXY
NQQljwAgMtGvcuPtRxdy9nGFO5xXbEvQMtCI/F2HHoN7Hc8GkyQCwVNA4begFwMYIX1FdgidT5jH
zNUUoLeAHXcwW+PpYvbnsKuj5WBK0+SWw33d3YBZST8UR7tdZkSP54fM4n/YO7PluJFk234R2jBE
YHi8OWdyJiVR0guMKomYxwACw9efBamrj5TkJa36+Vibtam7SgQRiMHDfe/lFwEnswVPtAMkNWs9
XMXRMN/BAYU/9Vs2usG10W2pprII84D02ArbxeARwtugQEMv2uSysbjVv5qdnmVfPUVpJ69+ZqgN
7VnXg67zW8fJoiebwPqA51KQVeTO/VRGmX5EPYf9x5qZsiRvxls96M5fx+nAiBd5mE0ne3TluJWV
F3xCTqu6OzuZDXcjtce00USvyRp/jdvemN0onZ2SkVGC1OvRrVObFgj5nU3KjLT/GpZqzypxajE8
T+nU11/4Y5E+1+Mw3ieFCabZzfNkyfHKJ2UjG1nHVWB9wLfA58kzo3FXBug6d5UNc15sZ6+qvzAy
LC4PF8e8x8U/oMc0uWJ8VpCM76GgsRAMAFHj4krEZJLlJqVlG/4woZ9qD5FOK2qUoT3eCkc2y012
Gi+dsmfovarnKS7x1ryyWG3BdhxTxgWkJOmDXrbVRRlndvuBC6lhfDJ6b24uO7s12ttpDPhN8slh
+0XyNQUfE0HF757oCm9lYbRUtkmBHWct2CBmgn5u8R2RGNEP6gOwLxEDUZsYA8Pcz0dixJDVUzeE
FuufEzkbDT5cZXDv2Lh6WRTo0fkp1InZQ4lP7Q9JD8l3TTwUu58xBvb2TRoGbBR+ZGXVXx6XnOvY
9dMINUTBMwnP0/EAbbdNv5K9GCJqEX3UfScT2GWPLTuEFa/HcJbtTVWUpeuT5TfCYOvlkdFu7czi
JyGFS0/IvvjmXY64PO1mZ3z0+7DJfkiP9BXi34l86rYwtW3fFJw/M8i0Po3cI+YunyI2qlbTPCKd
BawLimLOEItH5lfuDGqVJJF/XTpm8FnqPlxXs4V2NxqHtVVU/ccJCfU261S8YWIsNbIoPjrUODcg
ScllF4keVpZjTXITe4U8GES0w2UlUu4ujxEBoNqJWrpluoJGGMKYrCvuGr75ScnaXjuF+dVA6bbq
SgiTGTKXVRIPI1XOzI6+5Sr0fowQgVcl1dMbZJSX/dA20zbL2/HOrSDQUtwstwWHFEUw5dz78G2/
WuRud2QcohDTYEEKqfNaLkowcr0akMbKnrP8CohG/tFOoTQGpup2s9FBKNXjuC7J/Wx1MdQ3cA2K
S5xm/bYfvPyObb3+mgZ9/KBFfjt45ghEk+zYDubESAmb6jYgk+QhUm7+cSiEihCAlOUljDlrk2fN
fMqNIMMSICC8YSzlIu55bHvaqT5w6NSfS6hP8SadVQkQzaweY5cil8XRE6x8V4KcXcgG17U7Oqul
AroBd6qeYZu0G8oZ8FvnNNoNuW1fy0h51K9x10xgSAkHNqq19UXDNXvv582Ur1MMOEcPMOYuktZd
Glb1HmpNv8HlVX9Os7bG9Iql5lhOoaW3U+H1100nwgdyuu4eXSpQF8qUeGCN2d9Nk+teG/hTLtiw
p4NZlngEjaVsjkVtO6mWO8CCk2/6KT2AU3I/oOqfv5tmnl4E1FAuWiyj+TuK6j+vJpKQCD0x/8Eo
i3gwOL8ZcEV1/BSlwGns6vYABwcy1+BwCAkDQ15qAiANWeWHt+Oi5cLzZyCGwwDmDugdGGNQIP8M
xATyQ9L1Mjg1ObtoIhI2hrqziTHefs6f955fb+dC5yBctlFGnhuhNXWCXgURYhJs8eypZsueXeIm
kbhEoneCvdce5tFGkeG0HBq9nV2yLNawEREEnnyMh9uqAtSsYhfKSgKn4O33ehnIgg7yGTduk+h6
z2EoTRR4tTGa7snBrnNd9oTekpzfWpHxuFBe5b8zS155nsU9xGKaLH0G/TNhr+WD0ijzQp7mMQ4/
/TqCyhiA5Vqisx02KpkY3rffcRmuP+cIL+eby32VkuKLYH1C/4UpsxOn1i2JrjyDajVhScgJXI42
Z6AggeusjULzZxMO/PiPJym9zLEa+JSYFk7W2UtXSCvMEfHgqe+T9jAMhnMcraH6BZKF3EpvjVfu
JC+XAk/xaHHiupaE1XM2a0hYDsCPlXuKOpQ6E/0j9p6PH/DtwXztKVwoMW/QgpWFd/YUt3PsRlLm
PAVU/zYugK21Pdb/xTSRgXBMTCKgLLzzaZIhCkZhWMmTTSV7DwGUSaEnPErbiRzfNV5mPb9zpXu5
f7Gns4fxWqQ4eOyfO0mZaKy5uStO8ALdz1bvR6fZhCy46vMq2JYIJe2Vq2amyNsD+nKxY42A/GLx
tgFsh7PJEdhDYs61tE9Zz+oOK/bJziVnPqeu/46q/pVXZHIghkARAnzqfLP08qHlUYWN3JBOESQp
q4tZdfWXXDBhsuUGNy6z5p+/3y8M70KPkueWE23iy41hBZ5yt2kPZSGcY2768Z6Lzrsr/adq/s+l
HpCdwGYhcM74L1da7Le+yX5ymlsV+PTjKGgNIT0zv8dfTyY9zaFuhxNh8jgQ1w3EWupaN3pEk0Bf
Ey4XlXzKI5vOFtQ4iTrnMo9v/cyt83eG5eVGuMDSENqzIy2kxmWd/eYKKhM5UPsPmeFUiJ11AhDn
S7o0F1jpVCw48YCw/u0vYb1cu3RvY1VxPC8GqHMXR5STLwHixRT3DWLdEYVzvaKRQ/fdby2OzLgO
l/kOZ+O66fPmi9ZytqjFBuN9o+wm3zdRP0MlQlm8x2aXx5u3f8HXxoQ9jNymBXQE6sifY4LeN561
z6pHOEnQbcqU3im0LsG9WCarAdvMOx/hxdpzoVSyGkjlMEXF+QObRC1B/zSftAiRiJpptOiPSqbp
WHMbf/vtXnsYeSMc5zDfOA7O3g5ldIDlMphOYzSOt2mZBZcmZBTYChATk3ce9uJT82Y+GkvLdJYT
T9p/DmWRGVatQnM6uSHQDMLXjpnFQuSW+PZbnUGHiIxctssleJC8HCn5s4mcO3Ey4nEYiCDaWN2a
3OH6teGrLvsYGtWsLupUkwkRkfAvY+wVIzcSz2lXTb4cg1Uz3sdJRp7AGLgsrZU1119mr20PJqCl
LwFZL2eHBni5njcZl2MUfNNtV1YBHPy33+Tl96EFGMJavC9QX16EQkk5+fWiUDzZ84QPoezBVQ1g
NyJz+sdRF4Yf5gDdoMjyelRM/vw6XYR6XY9xe2oB7xx9uEEo02jzszXQyV2Icnw3f7icXr9tjIJj
DYAfS9/D/me++ErlXDhW00pxcptR/FggPNSqw+DTz4QInk+yOs2cy4/VONrvLDJ4OecPZ3lRNXB4
so2DbKGx/77XiTzsEkEvmJNlkUmaN2bqu5naAwTvHXs9jKH/zbWyTGzoyGKp6yCqWIFOGyUHu5vK
cGXb6XRv9gVZxDlb8jVN6y0Xix4wHZV95lELhird9/z8W4qZRslPotnA4Zfo08p8p7pDyg13a5le
ucFhsJ+61qpP1CSpftuuGm8lcuR+jZiIvF9G4ihcJY2OPHo9DBAngBVm7ca0suKOClJ63bqdsUdb
4t7+Uo1WXpktPBDKfb+ko6SlzXKtPNkHEB3a+rLLBJ2nzlWkg59YYBRyiSKAXj1oKFZ9k8iO3Lep
h+rJmVP6d6FMhxK07msrt75Tjs9IiuM9ohfTWC/J0CnK4ls9wcrbekYzV0e3IkW5D1pcDAcXRgHq
tWbmn86N9+/gUyPpGXdBvsQ1Tc1aiyFRTs9ky0EEZ1bUcnGf2jHIjpFvjPcoUouYije63sssanR3
hxqMD2JT9m+3kFvqjA5AJudF2+N42Fl4e+4xDPmXkYsl/96rLfV9VCZvMTipnH84btmLK3xDSypq
yPnMo5nwF3l1+YSInaQkRAKBhNROxaVmNDUZDXoU7ZKsg3Xq1pQ8N+RByFx1iwlt7xe4PLfaCfmJ
9Dai0DvjnTg24+KqHStQBUgnZ06tAGs3KZw4d5R9Uw5advcLOEVtMjTC8S331QoQ5OQN9dqAvnHU
usV7t+k7DW+lLmuo/pRWb+UcMYPKUnORsL0h8S6FDlFSg1ZbaFGjpZPrqs3Jafl1r2h0hBTGprFb
QJYx6s2x/WDBic33Pl23sqsy9l372khazoafcQA5e2bfHLmkGmK3Im+GiQkMZEgixG/ItlXjc9DN
4a0/6/H2VwoOFBm/DH5+64NIbfmUhDEUftWroT78Wlauzd5iLmsGI1zqP5UyIfWGtsD6YNGVJjmQ
7SU3b3e4/YDlSGYRml5uZjGMbDidasmZO6nqv01JNejdmJCH/1WasRD0ollcAolIENv5lSeeECks
mdiW9DzwEq4/o2WSgf95/Hmo09rbmNyVdylRj8yAVijV7iofJOsFYFCWKVxuKg35JBhYEWqBJSGw
o+ROlQ2/iGWSO9nVua3uy9lqxq897jZDk+iBDHbvV8HYX8kxtz64KXpA7CBhMv3wDSoZ2xTTmbgD
FkAWOJ6IjR3WH7obzmPKADHSCNIVzBVBNSdjBXeO90hgnnXRCsXIwp7ME41SD3DoXJCbN3KZnvJW
ka2fcpKSOzJos09KIhXhqTDNkVQbeu3OJ0E29zodfp34/1cnfadOCudwuVP8/+uku7xC7Ywh+H+J
9//+O3+XSc1/8SNMiTXe/dkEkvPr79aRHm1dbVcuBHuLuJmC599lUsf6FykaNiCHXwAEmkPg8+8y
qU1nEoIuAjCT2xbh/T8qk54f3USoUhCkAsbgjxAT/jw9o2E0Z7+u+oONt6GjgBCwDnEDBpeih2Kz
QrZeXmYu+KdNEHNx/G2sXskqnEVFnNgExz7MffInJG7OofuohmdMoGO3H3pbI5AsXHBDdr6ZsNi+
cz959VHBcmsDisrQLQPx25WodVLqmYXs9sLi0k8SF6SRiuut41vNf/FWDCUFbpzfSwD756NmC/TE
JESHjXZMaIE1N5ulboHI0nuP9Pwn/kH+HMDlNkPkz6R4kTAZNdjAXDKAQRIGJDHsO6Sp7vOo3U1U
hunaqxwM/2GYUSeh+djbX28Jvn8L+/798IVmyyym2n/2nh1JttCpuw5lhnBXEGHibYnU9Z28wssP
J23mJf0OcWa+vFeqyHeUbsIei56gMaewS1Szcmw8vaUj07sXKe/FS1GFZG3ZMHaYJuciGNkg8Y2t
rt9Hk4vHM2t/ALp49iNuBLAmLmi+Vr9zNXg5jNA/uKqTFbK4Up3jCMI4SwdiyH7PnVTSpo8EaW0G
1fbtj3V2/eVj8RTB9cP3TGj2zjLMv81/0Yd4Irnk7J1EQ701jEvYiDeTZWMMNjk13n7aa6P4+9PO
pgY3OVyhxAt7H/vFKsT9GOmi44xeelYEQbdqs+zb2488vwj8fMOFWL8ASOCBnG9lU4zDGyU2nuXY
FTeiEvmnCJcp0ersH9A2EGM1956efNqRCvXd7Uz/hJvh0EdthcUy0Dhu7GHVDl791zg6xnEiYb+y
w655WEzjWDUiejM28zsb03niZPm9EVt5pgVpfykCLPPjty/jq8i1K2Rt+2RAmUdFY8i81ThKvcV6
vACLsPji1R82tPurt3Y+iq8miuNbhNH1tUfxcB3VUXCDpCt6Z4HLV6YmyW1KBaxwQJHneaQ0gNw9
I7Dfo/FD5hrLDdlSPEK+SwG+idRHeGq42QaXgk+Vz+UJJEN7qUKEW5ti7OgGiPclEwqvBnLMlWPV
4SYsfaj3XLQvot5ur213No5oIGB7oxfeoOkDSop79VM/JPQ/xC+1Dhy66bXC8HakI5Z+Sq2/7WkA
2mUt+Gwj79ddKAO4rsCkRfaxH3x1nYmJG4ZDaat1ehTNRndTBd58aBJvqbgjCuUaHF6auAweqTTr
PTGjseCqnrPJue+o5iJujrIDHUO6G35yuXt7tr5cICS5CQxY9bA6yNz/+dExdcheDstHV/G1kfUx
yEXzaCXjh34O623fY///L55IDprkkKRQcJ6fDYABUJ3Lun0bhui8xTa3or+CUly2DsErgszPbz/v
5b7tS4/dBkLAAuk5T3+pKNB0Fui7fTrh2LO1GI4RgvWtb7fvAZxfTlPyQ7Zrw48jQ/ui60LUSyJe
XXEKIjC9qIzGOlZD770zgK8+hUZBhCkkTRnDPz8ZnCE6F8M22xuoU0kxeYFxgJPo3749btZZQoP9
gLchS4n4C/si2/afz8kSY7bcOlD7cbRog2ipdOeORbRxFVxaESqwqQ4T3/Sc6NT6j60d7SuRJe9t
S0ve5M/T3UdtT7VnQTpZ1jnCvGkq7Mfag38x5t4W1Ve+C4e024mhS/y1Q7uNo1ViwmzN6sfPZo40
Nhr2kTT1FQ0ZnBPdaN6rZtiv/k5Ugn0yzAEx69mxEgnDQNHuqD1a8fJotnIbmHS8m8uuuQ4VbcJi
bNJfcslSBnI23fSL8JbWKbCP/JJGYWX+A0qfvkYTtZnn4WufImWllWz9MEE4XdUdaR1uxsOpnHBT
m917WdrXX4D+C/Cx6MuBkeHPbwt3ICgmf2BQ4+k+ar161w8i+hizi+E29dJNqCyTzmtux4nVFica
cDz5ifcBWFtw7OswXGOT0dvYrIK7Cm3PB1/MP2YZghr342A31NG0GeiZylnR5TBdcVa8MzuX7OGL
afHbG5zNzqHD+BRR2NhPRhqdwjko0eiP5SY16GyXtGzyPfbYNDWPTjXptUK99M46dF6dBdQ7Kfn4
FHvP8Wr+xF4yyV4t9tMOY13uy2+EVbeeUChSAvN7levx0aOvxV9qoU3qaA3GIt5kOABWOlI721TV
piWDuvAABrrK2329jnkgbfNwuog0sn5MpWWxVXoPnpNtJXqQjWsEyO/QJllampeGtPKlk/KTp80H
F1nEGqt0v66HQMl3xvxl6IZdyaQnABGCS+H+bMjJkoOOpGSzb9L8sQz3nk7zjTHjj61m6bwTJ76y
bbtEJNw8ER8SK57dkxSV5LJl09nXUfkc0OWHU1unKzHO7+Wpl590NpN40lKfFMKlM8bZYsZK1JPe
k8ykNvqALTd6JAtJ/qiYuE3Q1gBDteka/olGDu8Bsl45fV2YNmS0KNojUD57yS5KGkzFVHx6b/pC
Z83b0WsWCvhz7nXfuPK6m3dWzfKJXryrpIWVRbKaJPXZJ8QiqcYkYcpyDS/ve4e4ZwqdzVTSyZsm
AT/MkB6uST5uoqkmuBF+stYqIiVMtPL2r/LqZKIMxskCgetFGSwhzyjBF6j94Ffdxqw9dyVi7GdG
UkVrGafPbz/ulUOTjmy07luq+i/rHi5Ipqigg8t+It27j+hys54BF79zR/wZ25+PL2U9SrPL8Ap/
+TV+i6FREkcVdCG1544MWJnyx0aX+Cvc0DeOg4JHEGmMjGDA8+0QRgUeISvfjtq4mDF6vbNeX17K
MXlwK+RSLqgTn6/XYeolTZipQTgaEhJ51min2hnKxhStowKbcq2Kch97HUK+rDffWcDWayuYaIjB
Jm73xflc66AG2E5ptntY+fG32msNibko6m5UYskCkXQFawbmgQlWYArInGq3ySV1kxrKVNF4cbZG
ZD5c6djB1G13HW1XAU2p72/PjFd+TcDisDl/NsXxzhl1tFpNJlm6zd4dw3bXo/HcCkWVilg+eWdI
XnkUXfmo2oPiM19C55LUUjVVnWZPQrt4piOgdzeXcYG53jX/i9ciBgU+6i4ptRe7Ggl8NOW+aPbS
Tto7KoLurpq88ALwOlnE/yQab3/N7t9tAq9sYjyJtAghIs6Z83sjzX6jtOp5UuKY0YYur/VDEcE6
43SjTDQWYiVwOLyzfbw6lNyvBVhTi74pZ5t2FJkwg2LZ7Cfb0utCjsMqSQs6cpu2eudRFEZf7ppE
GiYNc6ksOuxYf65qH697H5F537vYx5AGTJTV1kksBjq1FyEKardV9sYlJs/x7enB2HFz7MftTJ6+
uKNjOYsrccgxHkM15Z/sWpNzx5vvA6/KgTesaBwbP9FD07jKEAupXRTnFOkV8HzM6bySs/bcyvc3
gZbk3MFVUyGRRhzsk6n15i0wVTAEVMcoAfQ21alcjNLeIQwZ3a2DutL+jIA+KX64EAhtxPjcYOIL
SrNOuFgc2/ijyitrOubYkqE3JVYBndesLSQK42jsVZ9pdS2LsvevBCb38M5VVl7u+N/GsCsGMEzj
qhdBBns30yK68r1SehuqWBVMb9nkDxpZZ3hqS6PCvIFqcjVF+M9xTiSfCozFWMB7UaVHkMRRvfZ7
0OC7KVtsEAUYs/Yy1VwnwdAE9ZDvlRqCbIOFbRqR2k+heVEYiADIOxS1vakLuQRXCT2EnjwYTdPK
C7txPfvwvx9qmRjeHrZfOt0OoacfgM203RZaUODd02zFB3Yy6ag/EsSOu8Yfg2QnsHfCL6ujeV6D
IQv2ZcsRtc3DJf0HiDCgTZ2S/kcMi/l6zIuK8j5cHguuaS0Phd/fkefd9VrWj6BB8s85PoL7DnI+
ne/R4BlTmm+dJrjp84mWrmo3xl55D5htpWmcsc1mpEq2yAYoqFmxi3p9cpCIre1aPaUZpG7Z2+Gm
T0dnh8Lmu0DDvtX4khdshrd3IalsA8q3exHM1YqIeYZjFUQXStTjN6+j4CVQz65KTz/NjSsP2hnx
CYwTLQvzT4ALty42glsZFO0WUFZym0FuXfdUMC/8Io+vnIHvwW0BPEESfhpnR+6lYd0lCYobjCnh
MQxEth7TrCeoUN6aNp1yo5Q33+GbPCL9RZc9409N5uwGfsV6HER7yijOb2YzA7zVwZJPcdesMy+D
u+nEcGsS/zb0xX1hxOPWGvx4N8/tvJ6Mrt+ENmifmdD1HvBR/bX0l67esedvpq5xN6PZtc+uQbt7
o9P1xidhvfeqSh7bPJhXHjj7I40Z7CPwfn9LkuJkW+MO56G1y+T0uTD75nOZhAd0WQ+0P/iMJLbc
DibG7bYPPxdAU1pWYOEfde+VO21ADQRy+yEL/PCkQgdEZlT5WzMVBt+hmVciDbCsc2+4pxmEvm2i
Fpd2P3IuOuoS0Im3ykdsOpT5fyAZrQ++0yUHoOEF6jJfPwuFnxvOInyVTaaTbp7WfdXQwZCruW22
qPZpEg5JrMLTsbKZPI+FbTrjxqM0DvWlY5NIo374UjP218jGE9Ij6Oj9zMJDSzMpo+oqKAGzf8Ef
KlRUDHcoEWKrS+SW0aC+gFPxFJATOxRDtpmV3X7BwrBDXoTT3bD5nfeeYVd/jdgC6oOT5Xa/KfwF
FzJVludfGrRwT1eZ52P1zictjRPpWVORpG2SQ9syUqsuK/PN7Bf6Q0xW/9bOU/tDWJRZchxo47KV
QdJcW4Pt7yrsAtgpGpJxcaJMIJkh8ST53XrrzWZ+UXPI/tXR1M3d5hOMhnTAHHQ50p3vQSAReA5I
7mMYwozH5TvU5gZxzPiROlPx3NYIakG5KOsrONoWnkAtb4LSRocdlEh56aKy74hYPviTSL9oxc/B
EDRuMYA3p3lpm/azbmwDJngkC0cZJEUAtut0z0yInaD5TH+c5q+mFtkOn0jz2WvgLMDB62jGN3bZ
LgEz8SirBnu+Vw1U5UNZdJt+ViyO3DbkOjNFtkF/QPN6Aq5j38gMStto0x4dRfAu495UHCD38O93
kDo+NeGAF8GXiUVPp2gIMfGYgEHWBaXBYw0odJmDxnCK6Pb0YBZxvqq8trd3QK1r41OJsBR6TJ0F
MQbEmV/VzfQnbY/9cEWrm+gm8ZFY0nl1vqo6QHEiRgtZO3UCvzRxH3Rny3lFJNKc3DqOb9JB1V9J
3dlbEmfyJmpZqlBSi3k392O2o5kUHnQPItVNjpGMDi0yljcsooZFxdclCd+csiIQN14c199aHbWQ
SVrrg0oY7yTNJvAp5bT36VlyMFoxQTewmzs6WC8dsLlhwjuaa73JmjTZM7LJQY4FP9bAJmjhUj/V
FobHWav6WzfV7WeNuQEvk9f8VS3iEWrcUCcwXxbhCcbUtO+DTn0PBiVvxNwYdDqtguhmTBYE5uDS
5+E7vaOFDxDDBmtBm5oBbuGlxbFcb6CwRWsDSixN+Mo4Ldmh+lChmMJrVWOEuYEKHX6s3Ti6xrZR
fXUjN9t0eKDgeEE8sVbaJ4iUiI22EV1tThNUyE1k9PqiLXh57NbjR/qqsi9GYXJwav52bRrRTR80
7ryKfZoerUrTp2LhNPmRJpVog7qAJM4myYbwFBcd/wJ9YvwVoNe8w1FSV/1qZp2TxirV4zSRtPY9
rb57kZDrMJzyo4UgnVnex8BnaqQaDyBF9SdRdT0w14pfMpcmCoaurZ+cNHYfjGBuQOaWQ3wzuUVp
rZQo2895M4+3vqv6T2Y9ZrjP+Nx2G/qXMrVgrqMrOlqZMe1o243MhyAjvhGKUfPTeLo1adH5bM5V
sjdGIUHNtX54bxepODZmXF66zsBPrGa0O5Y5fkTOqr7PgxYG4lpS4lsDBuqzR2tcqC99HFYr8i0K
A65rDDhnDARR7ORzYawTww3vRcyVC68j7sRjoTUov7hnJs1G07L1uoKZxp4V3+RZWlmAhOfq1gD0
BTppyvnWKCVj6JhO5ZdrMMDPFQpWSe2igHpSDM2zUaXWJxEhzdGDsn64Ou177Ixjc8duMT9XNizo
tWuXeJLaVPY/6P80S76Zx9yva4bF5SRXe3PIrHaFXtf6MNu5cR90+GkTz9U/0Lg3d3QKI/Hf2PV1
p6f6CyCp5s7q/OgGkjuS2KD3N4nynSP7GIa9ic6/R3CF3WOTJKV516KKZI+vskIeK5THz0TU3hV3
4nBX92HLJkazSvKmnUOjtdDxv864MK7Doo72Gor1QQDJPDYcm5dOK7IeXXOU3LpC1bu6FOpjW2tw
d3P83EUV/5eq63oT6tr5JoMIOkON/AkWKcA5B6Sh1I67txivFRVNscm6lnXYARu8pwHXeEsQAnZF
pOEnO4/EOjeqB3g5V9pjSxxNM+Eu06Ia6oOUZg3+CbYE7cOKGimOytwbcyjw5HlYeF1nprxuJsbV
6AI6KycZPrihXR2DMekjNt0CT2JJsbFBO3gE2XvS0wSZjrV5ZUZDe1lGXnmKYnxVhPqEgMjlV6RQ
nwAlN0f656Exq7TzHcrQqUlMiy3N578c1WxL16rXYycucDuKR+JteCPmWH2jWRd1pqqDNWzYxyas
PKplMQEpFsrp0UdCd4+CfNh5Y31wq7zZBFiII7SA1QF4zxP5v+ILVEMQTV7FINkGdOTU5Yaz9qZJ
xJh0M3XMDBMOZGiYN1kh6h0+ZwpfVg+RZhqGW4G+ae+kqXroGwO51hBE9z1Qe8yYoXfbm2gASUxP
gJJQJQfoxT65qssPSeJ9GlOz2JMujYkDCeVwA04gVJMhvkp8EjeVZR9DZ7a+xWY47CDgmfsOV/bG
T3pnM2gWIw3rOnBepAojbGQXBBfiMRUS1MpY7VhObMAVSslV5DbBHqhD8Aymzn4ca2FdB0Uwo1oo
xAdIYykmykDsJHvXRRGq/JMlPe9uogXoTmo10uWNuHAFDJs2VeD8f8yUmux1HXXJdZMyDZKS7lDw
V0poxTWu/hUeWrUea9g5FBBWwQwmpvdcAnoRgfmdxuyE3/zQZXDPV1IYl9WUjnezaT92iVHgfaWX
wiKWXFHVIyDDQFcIGX7Ms4owQ+hdxhaYrmq/S+59s5038AL9C4VNBmZVvI3lYod0WnlT1JL2HPEQ
WBQt8vk4TZW+cqXBsVOgHGPBueWpjkZ4nyl6alq7zaj9aHjEtRTkPMuIGpq+gkWTfi5s4e6RApcc
OSOK1Qb3RUubD2O8DeDgXU4ks7nVeRpfZ08j5lOAGeReeliVUm88hLpba5owXeV85QtVDrCmRJVT
HB06GN+quyTvS6dFlR6wnAefA2qm3HOeWrz86yKW6B0X2GTqoS1cad1Zn8dJtMfK9r5Zs/sjbKvm
KxFr/jXHqMimpYyP9CMzdo7uo23n9cUd7Ub9TQ43iKI3WkMaSkIrIhwaDzTt0skJPPeAbNczlXfw
MgtFHk1zqhsD6iuIgcmrbkjfVPTjwp9L6yDaOM3MUXT9RZGWd3bjF3cujq8cDiIbKJ32uu+5ss1v
pUrj71COIPrZBj+wQQVwkm1aPUzC9ofPLREP340eeLsCZxynhIGQOq99ThQksV84LcmdzWgve5L+
/KMqxM1OfMzNNCticYqyUX0vsqr7jjhy0Z1PffGciZKsgpq78KupUusb3Us46SsBSEA1Y/jVzmAw
ruldbAAenUP13ZC1UWBv1YG3nTNZPuTNyMag4nGodl5Ew+CdCAYyGv0YMz1iuyfAwf9WPcRun4Ez
B775VVqSvxPUIzpMLw1AsonSZBqVDmDFjVb8lttUIpfalKi0PC4xIw9NE1Gqi2SWHfdGs9SYmod6
SKIdwSs/eTZ8kANiIP24iQVdifYgdQgBOiqkmL7HIrhMY1PQpastCFrz0OUrGXRccmkw0IdfdatB
7kQ93o9VGMni2e57noodHqX4IJzg66/BlNqIoH5RnkzWs4IwsPYsGj2vuE9Ue4e2imv6JahsTS6I
oXcsUT5I9GPlPk9S0j0oCxIumADDD7VFFugGc9lo7WC5y4sJleUDVI2s5hNSb10PYcP7ZZ4kH9LW
ZpZeKFQMel9MCD+uAt3pZ+2SG131tqzjKxAL4LEmbe/LviwfC4yrd5kXNNCusUN/GOJaTYeRNHx4
I3pe+mBrjMmk2gW/dVKGfDx3GkuD+h9NidZ8E9Yuuf942pCXYRQ1wJ+OTQK3UMLthYZKPxEgSqsf
SarSfB/0bUMBIyiSFEp3Ang1N1k/q4HPOeMxKcRpSGiFsGIeEtHJWNTp0XRbkihQIvKUzSVBa8qa
4sLNIcz5BZFgQf+VgBUR4870Pr2JNUDKZgkhc6zp8NzQBn60oLFv8cSaJ2rSeA6L3rkrIn+8RMuU
fAK5O3wcbKF/pdX/T4P6ngbVNEmM/icz/ALV8//yp29PBcnj3ySoP//K3wpU8S/q5fiQXDQFFtIr
crZ/K1D9f2ELoBCE2ICSBbq3/1WgShSo3qLgoIrhumRg/6NAdcx/ISXD5oXlDjUJlfh/Auo5qxAt
iCBM8vwWxFikQs49n6lV20I5wsBPYYiUbPI0H/pAqA+/jckr2fKzxPXPx+D4XcBCSJrQcPyZS565
PUwA7o0DbZgs8jMFWL/e9G+KQbP1vP2ssxrb8qyfFXJhOwtL59ySwrdIVYBV4DD9D3tnthtHkm3Z
L/KEz+4GNBpojzkYEWRwpl4cFCX5PI/mX9/LWFm4kurezK5+LiBfslIqkhEMNzv77L22UYlbPnPq
jDcoRFigh9SIHX+3zyTs8qtUzpf0MPByjyVuhl9L/81YMGcdzBOvDfco0yHo+abqT5Q0cC5WYOcd
AHyTeMaibJlbdKYR+jGPALlz4SqXu8aJUGFG1uo8vJGkPq30opp56kjRcmDOSXtqRCd2LG3FbmJE
2xWuNDErzur2YRTXPMvFLtfa/gl2TnkUY1tvtRB0fyi5k3HJcmiIZL7eyQYsXxJ11Fv3XXHlhrt8
p/RkeY4zu31m4jvrg0w2IBpKEim0WS+mlZ1tlrkKuWINV7PjMF2spbpdrCl9MvUEIVUP863TxCXA
xGJEkSunvV6FeMqWxsSDqFdBS8H8Bg5PHeS91d14Rl9dgOZQ+Agi710nqrfPXYXsbrVpD1TBi9h5
i9AF0YaY1kHXOblLMVP/sMRDoDcTalvr21tdCXBkzJjY1yj7Sprz/iHUEfZXsl1c1unWKz34pVPI
7/lKj1FpoIAU5dcBB8hbSnfwC0ezeS+gwHHS6p34lvqUYQeUZjLoFqasIHykybxtERsgiJCt5P6A
74GjxM5v9Xz0Yerjyzh5wzTcSCi+z75c8lUWJkhnMP2PTMvUZ9hgqG+pr7yP50RfhTPRJ1JB7gbX
SftG8fu4rdBrt/7oMgDPtIZ/a4si3sVl/CHbtF5HrEluIuHTUQOOKS42HS9ODI7h3OTF8mJbpnYl
Trmc9IWSx6CbjQyC+ahr6yxJQy4BFW2GbuIcQlJklFCV3caSSXZCvRy+gdrov2aGUuaXaHHLjdYn
4shL0NFV7X40bHkmsNeXMietM3v5N4TVCRqlfRMq3keWRU+ig7HYhARqNc5SLirFDFwSyaBiW7ui
PBsMTt3fpEhSOAD7CHeQ7qfvBKdD/rD3xQoZZcAxSNon3OY+BMBxcgkesueajMAn+MyvNp8e1jzj
2cps6oYMxvcCgpPTav05M8vlaz9TOcA763xFNslu0SspU1v6/r5xem1F9889xZnJBsniVRta6wJp
h62dXLqL5i3LZhLu9FCWgsulIcatLOxrORUvnhVW5j7JQH6j0MLQlx+lm7CyDccB9CBXvjnl9u7X
ZhosXYq2FhWZs3HNAVlC5ohNJ3/K5XzAIRPJghhNo+tBqAEbfM66ibJdICFkeSJeiKpZs5Dp0keb
Styoz5W5GycvxCZ8oMLoYCw56NCUHISUppFp0VF9e78sd9NIP9brzNzqb2niM6GZY3fSoTpp0t92
aZc0NlXHPU20AIqi+zFz+JPIlCPyWkPJQ1BRBzXB1gJSYQU1NKX4RoTaiIWYElrnzazpyKCtrQy1
eDMRITOf02HSnG1Dv5H3zZsBgQdxT4/2MZPoR+1DxvWwAM4puuyNO3X2IEbEg5a9ivpiHrO53ufP
Xig11f1phjKYBpeBYB65tSL0T4ghaufn9BakczNsTgbu3L1ZaNyXaa6HxFosIJjMuFLLw0b9z17o
hg9SDtMHshCU8NIo6y29CMwKOa1SbO1AamdDbh9q7tdHgJksvothKVeFcusHmg/BobFZiK+80SPu
4+JYytsElnct+lXZ6dz1aTuCjRqG4stn5L7ptfKBa3LIBFtqSg4Yp+I6W3b93cYyceIbUTdcalZv
ailIStKknMebVk7VgSYccZs7ifueA0eI6SMfDeBpXnFVbmRadGhpZoFDFXbMi9FzY/fb/NnS+/kO
Tc1FA1iK6iEqYkaLjiCLwcOD1Aif2z9JMP+5Bf7dLRDT/k+3kH+9BRJHrcpfb4Gff+XPWyBr9D+I
iTgWgjOT0Oel5M9bIObOP4geuP8otgSdwp79T1yj5XEL5G/5ipOh/gvfA2+fwjUSUcLWA+AFOyZc
EMP/dy6B+I9/vcDAL+EGQ27ZJ+zBt/d7aAbfSQfODtiUkdTUz7kBvRRFrgQXhsebqh59E9dOg999
2GXUqBf6CyVqwFazsi66R7Owe2BYimtqbvKWLrOJ9MtYNrX/kLhAqN1+NaRl8mnRm2mVsK2JIYfH
rNynGtQU2OAEKIrxANq9YMoKFqDLfX0uc4k4M7L/hGPt1+XJIdl65FI16oc0caEL2mH4mFoNYU3N
fdW6atxN1ehRcDCLNZDX+pQWsGQRv/hUOA4bq9hN+DAlMY+tQBSTCjO2o9hMdBdMfMgXLm1uTsB1
gcz/rtemGsn6bjwnUIWBiMU9T6R2HIgnCwiR+a6cx3w3j23urx1RJQcXG4h3YQs3pkgPOgeipkFj
JtPa7/o2G4dAy9mPxYXNYBy20zZdcDOArin5P1a6LIPgGI63Jr7St36Sxv3kxuXIAj/t13HXcVJE
tLlwskZyCbqsaNcpuZlX4GryOVwqxvw2auqZAD4tvJDkHX5QWgAG8zXM0+Y0YZ3cdSabRNvIxo0b
1Q0bB6M9TVVlqFY5SgLxlDHLsgFxDi7PoWeBRncye9yVuyS1GwTWrqXlb+RXfa1Z1JteGzfbmDwC
i53V5yEURkft1NPeI0GRpiA0x2L0QG/ZbbXWB3DAqFfFnu7jeE3RyuBvzWmaNlOfVisKMsdoK81e
54WO8BOsjC6ffqBP6++LY/AQdfg0btXlakPaV5JDFcLcirZwdgQT6gejbOObzO3z14rWyCDUR2Na
1Yj1+3yMI31ttt4tW6l2PZgkaKlC8oh4xBjyV7pBsncTRXmzxRExb2KvFbez09DbFbbDagBvfIxF
OHtBZRXZg5tb9KA58cBlKNWqA/W75qEvKI1zybx+4dNAJVmZGuIrmQyD63zXj9ku6hsWunkyHKa2
8LZmDtw7EGXYPYAv/9DxwyAl+8s69Fu2n3wCkkPl1RZUFwDFYhW5vnEqXFTxLHb8NzVU7MYudsPA
6RbDWDsjXpeO89Fad2HzSFFfe2l8ffma9wWmiSaSz0NSF/tw4WAmBK0LpFMNkDeJVyJJ1VxeGny4
XM2rFI+DOSbhyukyf22wCHpyowaNWRPlgSap6AXGK9QHEOj5fWbDoINmVu/Gvtj1FU2i0EFtjm87
069o+qyI+9kSW5hJ5sSTJTTCG+Qaai+cvr5FjhPbztXz76WRyQPzTrWaVTMsxgwRlGH/keqJvbYQ
2VcO9T/7FAGbfhjzfZ7kC9XzhLeySMy4hUyvzdaQxHkfp6BmATC4d1NHLxRflub5AZTs57P+P6fi
35yKJhMvp9X/LI6cE/pK+aeuk58Fkj//3j8VEqDEFPMSkEdLRBH9GWVs/EEiC4VRnXz/PBR/OgT1
PwykEfXxBnPmes6/dQoCA//1FGSMV2lgTinXsgTnLj/bzz7WxKPCJ2PNdSjSajkTQFq2mtmhMy8F
GCynj/V93/AECqDoctk0GpnZLLvNEkZjJZ+WcGCNDRuUDyD3L1bkwpDgBjLF7mwT/AoelUBvS53R
lkEjRzIsN2HiyYF2gdrcWKB5z8Se9D3fJXsHGdtzdhl59n/3UuXUYNVIDybuCRi8HOH3CqXOyjOc
dyTvUMc9vt/aiiUWdXLpPIFRENxyLk98m+yAw6lk4SzKZcu1IluXA6AAiRHKCNzY1sp6n//jxm6E
y6Ad/c+rvNTIDn+jGy9yt5PA2fKsj2GUbIohmpkDslhz3mJdSOYDJI4+xjdjgeQIpqKpp7vG9Bgp
vMifogvo/xjLSiaN6H6KdHer51nBNJJEhc7Tv8Osu9ZivJ0Hw1Z/MjJiwSjTZnW5c9WEA5yfYcf9
HHzAxDMEYYRaLJ9UoGtECfsyN8QQii0h+losMrodPVltKn3JmV082ahqlMZ/xWDRayRl4ewDovB2
A9fnnn9TTI72w0mb8eL5qd5hMIksRAnLuC6JWa2nMBzZTVyBLOa7oi30M1glAA9iWyMLpKsRBhae
g2nb2E1910Bd5Rem9vSgH2imwuobXkc056esdjIKCmQWoLHEK/oOKGGjrOW7Vs7pPWydOWjE3Kzp
mKV7Fy/kofeF9ZbyCA4m2AXrxGvLA1Ntf7TDfA+EJr+P8zS7jhRflFwjIm9VTs1OMyb3SJ/ZYRby
0SvbEb+tEN1Xp8I9UGSxt54tK6FQzi02Ope9G0haHUB+OgwAJedP1YgBqEFn31GvKD7ciOVc0IZt
esc+pnmPRsMxWOlJ/SI4rCgwTQ3tWILZxDakq414V8vd1DTLM+2gj6lWm28ud42InV/2kaCHPrs+
HyobR8iWLKB9wEY20ngzF4fWmr6HYee/L3NGx1pd6TLg4O7fKZvapAugCSOe7CCrpxvsgg6+gi5n
sbVYReBGYbVvQVQcwPK6ZzbAxhtztU8tSknJmknbGp74/MC1QUDRrrpHigOiW2tyqn1GodPNhIPv
As922RdR7VzrOjYuw1inrw3ulDfeUe5682DdDNWS79k9YANZ7PyD3acbrsI28o5Jay13aA3jqejZ
sMGtNUYqjXzvXqbcqQNipTxWrDk5+7K1rmyzXMoL+Ujs87kNNdaYCRXIbmTdDv7QnUYK8V6Aq9AL
xdmnU3A3Juc+zprHIRumhyRx6yPsZOSaORFvLLTS53Z0+5veqYS2memePJJXXcytUcQFfUUiPNTL
PGHGxrZMwZO/JX/p/HDGttnhN5Uvc0obWyS0Q5nVxaF3wjNAYiqih5h5XLB/NcroYIr6Rjo6Vd8C
mSCzh2+IXsBDsK7tdXbCQenU1dqg0GbH2MwlJ9bJfM1u87WmjPkGAY9uT5uyCbe0p2taOc0lpk54
j2hqXYH1ydehSpYP7gjjlRckvKXic3hZPGms0EnpD+9Iq1bFnO4nmPC72k5dOmeGKnuqE7ArvO18
WrSpwR2T1d8sTHc7HHVU38yhTmWJO9tBU7T9nWfATaP2Trqr1BzjwO8c88eiGgIDHYo6v8q4KoSJ
F2nOxnMcFndUiIiLWZnRK+NZjvFSNNvZkoBJ6M7Qz2hC+ln0mbhoVWFe5TzS62V0Eq57xb1b5PNt
3qCsBgYf1OMwRPZ6sRX1IZz6+UB9enRkSV+uYYTSxDFY5XngwsUUyKOmzMsbzQVFYja2QeqpcMwV
vR7hqmtc+QERe275of02CQbu3PtO0oJBDc9mhqRy5CwBQdhU5pcUEugh7xxMrHaSPBpt2t1HXu9d
zJ42JW0AFhWgWjVPXTmIy+x4yxknmPaO8UnnRDOm+zypqH7j0+OdymmS3yQWHbkCHeTsy9KZjlpU
jDuydONl7FvraOamovA2zfPkON3d7MhwLW0AMFYyx1dOtvrNFUP11e9L7wd6JIqX23fgz0X0jZLj
dAM1WgQY3zDG+eirc+es8S31K61S6prQOu3gG+T4sRLl4ztNrUaOQQja/IolJOSW2G6eQ+bJDfdo
1BanUFdaN81+lDZUIpYFzYsfUQG4od2t+GpFkb8rWQqfByP0b0a/xLw6L+0hFv5eDJmJzmdyvrGN
6/NLb+viNvWL7ox22m+ojKmOTYUYGfbQZ1I7cy5TjjVIG8vhBScwPKFajMqqTOdW0FnTcK2jjuYy
TcjvujXkQyCGhONa8Brf5FOvPcax4741ScWjJwP2EFQdjgX10K5d2qPDcEOWvrr1stK6JHpY8lga
kbf8XGLHDh1/5/VQVPidmBJrZQpqkQsj5nJdef57xhp+q1OhB5e2OmtR6Tz4EUo1rjDrNOEL4jEo
zTuKUfVVFJZn9QbC47Uw4vSYsGSZ0FzVmOfB79NDZFb0HMUlxNPItJ48vx8RcqlKJ83qkNtNS7Dh
YJwghJlAnGmZolSkPshF766eE9kffdxSq2v0NerYNIoH3AS1soezNYlxNzL7x/aq0Gr7Lgsb1eQ5
zuKaR6W3A+ZWId1bJ3pFJ972wtbPjW6ce9udj6I3fcgmWvM9HhK2qMRrxB6wAL4GnIGrLu9oUQ5l
d1cveX2Hbtns09g09zPdK6sF9/xqmhax7MiPei/cBcxHxhjMGVj9vR9+oQ1vReU72zCrX7H9exst
FVfLbLuUn08nIsk9pdtjDcYFlFLxc5zqVkOXNztqD4BqhBzazfKR1G3RKEv5RNHtvHYqjjeZ+RG/
mnZHE1Lm3IXcTbdGwmE9oLun2wljMeWutCfj2OEhfLGioVl3TftMAKm4hZRv16tw0e0d5x32bHvI
1vD95VajcmxvVrl/SwYa2pXuJW9c0NwOCjXSZiPD/VCn4SqKM2EGnoFJ5EA/n7HiNxtcN3pQDBJg
Th1oyRXX15GFUqZl073btnSKsRo6uLqEMp5hlAxyy2355RA0y+Bh29h2Zu4ysnUkJkwu09THzpSC
mfr0MLIJetKzKn9i0e1v7Yh14coJm+a2znpxs2Qut5XICQ+6Vw9FEFEPojbsnGCBT1trMoy4f4Cc
p8e0F5TEJUzdFHFGotoXjRl1360i9TrCCxmMS5+6UaoOwxHnMOym9ujkcXOlxMJi4dXKi2haY017
arTqowaLdTktm4iL/+vi+jep7T5GbjKhIVCQnTgGP6V9LDLP+JKABgxamZOKCV38Xl4Bc3YZzYPU
WCeNU2ytm0GjAdZa3ttYfk087erXhBRA/LjrnLoKZGz2QxgHpp1uaeAB8CjMjAg3SW4UmzyNnnhb
rO2ACxHHJBXTVs7lRsuTW/rjrHPn2G9GR0GuAtRgz6cPlp7sdlUXOS9MMYkgLyR9dZYFDsSzlQmv
sVSuZUv9kDz6yXgb48V5tijczVaYTYqVjml4S0TIXC0a/cVhxqKGauceBw1GZZx1VDil1psEcrhj
nYiPSPg7uru929kl0Va7JRQ0fv3etc7bmJ4TPtIQ4u5r+tfoeu70c1zkyXqMJpvQSssx18XJIak9
f4tmgrmRroSVtAmbU8UaXbCbcbJnqbzFSJuvUz/fJAuig9vUbb+CWPl3YajfwrJqpYxJHY+ybeGq
YT78dTCMQ5tmOEqHD4iJjHXa7JHrWXye0s6Q4abXy+aj5i5VcmTr2fqnkfn/bXduEtVV23kHSVX8
9sWXpGxdudTJwZir9mNJQULVSR7f+uQb7v/6S/03bgALaBJKsFKdPee3L5U0SerOccGXqs2m3PAZ
kTQ1kB34/tdfx1CT9E+JUfWC4jqwBUM/hBNiiL++oFmFn7LNvEil6uU29lv74Crzfl4m/V0Dnkac
RhHrCW968V57ERM1+6r4FvugGq7DmO/ur7+lf32LAfaC4vLwYTDT/p52G/Tej3umDJiC5XKm1oKW
x1Q1zNi0XxlrPYrbj3kYeZ+NNjx+fu3/6Ed/ox+Rq8Mp8T/LR/+nzd7L7r37WTv6x9/5p3Qk0IeI
Nimwt0vK+SdzjbD/cA2XiKtpe7DMQY7/l4Lk/oGnTqhOAVwvfKR/UpSsP1iA8KeZqTHf+BhV/vf/
+gXT3v327z9nRMGg/Pp7TnySfyy12oGXwXeqPnA/JaMbku7IooPN6en7q8HRxktb9uNuCeP5mKsL
M+te7s5EXOQ3R12onczmbg2gZLqv1IV7UFfv3MspNAYbcFnK0FLEQ+4SLk/VddTZ3iXOx47pckwe
C3Wtz9QFv4hc40tVhz7nBTMgDqRNrwYC9srpfv6cEpLPiaEb6uVDr4F2JCEsJGwJmfnQdhRh0t5Y
gqRk9BisLiCWU54rcrUrxCkK/9ICauXYTYcyKZhfClyaa1MNNcXnfBMy6VQ1E1Kd+5RndREYA5r0
zOusMVV4akwy1MAkP2ensbKarekxIRlqtDJwRl8MHLnG7A7nkPmLplfmSTWSlQ1F2lhAauuHJSW3
DTW8+Z9zXKtGOj6tNhtzaq9ggDDxtTy5d06u198mdjxbqyUJ1qghEQpw9tR8To7gOxki1Tgp1GA5
qRFTV8Nmj8v0pVIDKJmT6dqroVSo8RTQm3WN1MhqybS9uBaGZQ6RZMWDPNlSEM+Qq8ZdHJgzYfjI
2xJ/HXfMpfwYakC21ag8qqG5UeOzxhydtI5cEVy9MZmw7VCbN0OSc79R43fHHF6ogRy+94HqUkb0
psLyocb2Rg3w5Jaoy0375KZ37WnnqkHfVCO/8Tn9C40ZMKa+UNvgpB5uaiUURBLJwGu4U7FLqylx
x/pQj1PzKEI7OSNM6GfcAygP+CSSl7C3u1M66PkDdK96R6mmKYKJpA7podxDDITnfF2AB54jTJ1b
6XkwJDCCePflpwYCJkZlKKzxBGRcvxNKLKk+dZNUSSgDTvJL6Lr5XiqBxVVSS1G71FX7XvLaKCGm
VJJMocSZWck0ujZaN6aSblol4vRKzkkXS6zmossP3MvJdYVcjETp+BezQYEqlSjUKHkoMfJ6n6Y5
fJRCyUfTp5DEldtU0tJYwbOHQEOxK7JTPNCLGeBSNzZmHXrvDfqUo4QqcBEjwAyV+WhCe+spQUti
1Hy20LjkZKF2aZFtvnl++UiUYXnulCi2KHms+lTKYPhpR0frgIkIUNIXErSoapMS2EjxpndI0Khu
Nmr1B32U8a5Uolyk5DlKbSgcs0C96yMpUdqJClaYCHoUhblr384L0Cld/xWYD8pfnxmPPVogGxD3
WKEOliXrGbwiRRkkSjwEQZTfO+iJrpx6wOJLebCzgkpNGsyCQQmQfSWSg0fweysTq1l7SqgMlWSJ
hcL+vpBCXFkQdleLkjZTJXJ6ujY/eWWtXWuzqFa8oaih1D2Y68alYF1rZxp2EE2bT/1UiK3TpwWy
ASIXBaioE/l1VKIrhVrUgyshNlWSbMn53a3ySR8vVH60H5ZSLTA0rSd9JuashN0xNwaN5Z3lv/af
ym/9qQJPShAulTS8dFVGMqpXUVPpIKKPs6vqQKeKbmS5GcqlYwVdDYR+hBifooWUYwCdk15hdqs8
5jr0ZlG3+g3b0/oMyFrf0FL3inTWqqQY27QkF/hTUK5Xoi1xXtPghHlIpyCBwl/2knRKpVn1NXdj
lgBVLK4OtdmHriOJFyyR1l+TXmNh4JHnYX/+7hIaUIhC/07v3KLnLm/pF4D6+soPCwQb08/dTWFV
4llwalwWO45fMMglp2IZvxC4cPeciCSG0268dJGd8Ks0pacudcsVUG1xKga7vetJWpxTfWqetTDJ
L+yWa/DPdC8Zgtp7ZLF643SN9QJC29y7sO825NGqLYER8/viRQPygKjfSdIhN7DcsF/Vrf6JlMqI
opNkYmulItoNS0y1uoymlWaE8Z2h4v6TYCU8MmY96AMvfUnAYQ1voN50s+nf+Nwn0/Wck+WyPOi6
VsZCV2i20wS1DjheRtawKwHwHjKx1E/5EO4So043mQyXu2y07E09jrj+ZK8v1INrJQnyCMx0U40X
Y4zMozCi7MvUIHxOpkuewuC4TfiI33ShWe+5MWJ7z5pWvDGAJuuinPRXOiLDPU+m+BD25loCmr1b
AFp91LAGj3Xv050eed2tQRbmQKQl3GIQ7K65nPynaPLDraE3+kM8JtTPE73SVlJq7tZi4XxpZUNI
YpEf+jLw+B/afqHearYjyGOTsWblQe1Wp904pW7S5l62ydwENJk7hUbgipw6T7RER1fTW87+NI0e
B4eLSJAOTY7QYYn+2kRNvq9iPtLBXHtZhmWtpYDeC/3mh2jr7ACqwQzsedJOiVlspF8Wd+NYAuRz
hjendT7FP8rA/WEavma9++Yk8bseDj+8fHnzq/m+NOiV1hYo25SBo+jTL75pm+TRbKL6WMee9ziS
Hn5Gsys/cNbOL23IXxwJGPKrngCayMjh8FMMx7rpmhGYqzs3i3vmqgWZIFjMTHc2SDG9vXGrJD7N
0NzQjObBv2v6RrqvnRv+GBJp+ez8J9443Fomnlg8yKuw0neD5NazK2gkprys0aq3mgcody8xro05
zLZNJqPiSCaoXXdTaq655GU3RiTLI2B6782RTvNFp4guvQvnOL/xYsdoH1UqNdzlNKJhMJm7aSEW
FPVO+o0YOfkbpwlnBxPsSOK80pKsOjReYq1LTZe7VlToM273wl6LbP0c5Wsd7whOQ/uFwt9p7zIM
U+vSDxf+5Azb3eM6SZVj0tqnQZjYYXWtcoIs4pTRPIzW3EWeyiXONzHJwyMniPYQE3Y74dw0VlFp
SDaLUXNpeTePS8+2P06mdzujw6IVrkYYSRt2EOZkgAjMdctaTIRJx2pvEpZGIVENV0LiD/u9j/Cx
yho/2XXY1VcytK8FAJ41pXXRYbGj/jCEIeMycdxjr0cn10AZARVTn7CV9msZec2XwaICy0cY3sHl
T2iT7+hLiHTMGUlegQwC3EBfbMZBhgS2cnib9wPWHNzDZrFz9FD/AWGVa3Sd1cnMKhKcyTfXpwDw
pdOH0us+BttrMucpbFB4+1XS5AmbmP8McWWf9PJvhjgLDwBjz/88xT1/b4uq7H8e4v78O39OcZ5B
DoLfQBdsswlRW3H5/jTHedYf8LFhFJHVAb726Q34Z5cxEQnKsEyfseBTmPmvKc42/2CYx85mM/kZ
OtjNf2eK+00UMXEF4DDwFK0MZte/9GswWgxLgsC799k6BUVM4C6NaFD46TX5b1Se3/UHoFWoD66t
2IrYq34nv4VIC6ZVRQivaUlgaMSyF/hzWH1hXJzvCmBqB4p4eR5VEI7e/vprq/frFzlGfXHGaPb+
vGz0ZP02phKzy2f29mIf2QIKjdd2hK1ng6+rkuqpYVLaKopaAOfhicXZlHyfNdbNG7dl6qNGE6or
3UI7gLE5qTA4BUPGYd35Ke3JaY5418uWw5yb0XnoPBbQbj6t/z9+CKRVyJQC4Dvn9K+ztt7amKT6
RewJzpub2a6WbaERq068ST41ls6T38gYC7UCMiILjvptUqlup4ok3x9puDs0+fmu6nw/0EfCzUKA
rBh91sWzGCmbHCfjsQDhtpXlAsRDK/7dQi3anw3F2MbOCViKSPhv5TGdbQ2D9NhOUEE7rWn0ytFw
UaK86u/IcL9bXT6/EuEi6HtKHPk99+OMRlfUBl9pxMS4BxXDm+eCJmh7q7nqDoy2v353fvsQff5k
8Lh8kiJYdcTvVDbT6Mqy0HK+XgSYiycK9+shEn9DouMj//vvsU0GBzwsHVhIO7+9fqLlcZGzAt23
VK/tKCT8UVsi2Wed//jXP85nYOlnAZPXD1I5Ga1PiuG/PBRgVJpC3RVpCjXyw+J15iYW/M5IyRsn
CwuVGBB2R1dsn93L0fFPNTTnta3YDTHzxQ09q821la7y6IxOF9RGQq5iNKxlD8YH+04OwAMqoHyi
qKZEF2CNowVRSvwn+IQhENs2NyTLkj1mzu5lcqGS/PUP+Y+yol9+Sqib4FKh7UL2JnGmIGg/yVch
hSJcatp5P6WWERSkn6FVhd0BskOGl6ejNs+qfpBu1dYOPbKsjb10nxfpsB2Nut9mddte6iyZVCct
Ww86Gl8MM0sujpD2F28qihcH8EkLzebBEIUymEzcTlo3zB9NnXkBJ0q5RpWFShMR4ygpCd9ljCPp
GH3hcZYxhDjgUwiF7qmLrW44XeJ9UYeYqVjO7DX8xavKSYpNbNrGrgMx8diGTnqgYKdYl0ZDXp6q
34+Yg2dVUP55sOtlvK1zY2qCcfHsU+E3+W4MXYcJwrQJ+UC5dQfYAShDEZaRtsqe+65c5U2JUF5I
7ZYJiIW4lF3g53G/ibLe2jmhneLZcmPWJ1ntrgma2DgiLf0RaAbZEtZsP2p2sqRo8FJJJkZCPcFU
ARqgG2Z+RT9gFCzM9tMZdkhJx5+WRri3bo4vs/eTUgRU2063Q18yO6S0rFO4hiNEpKs4zL5rmeaf
6bzW1naURBvNa49FweSXu0ZDB484gGIsL1VY45CZSwLoUdtqAduqnV6nJ/V6whdnU0ovGTfDamI/
XFhvTgzOy55jXVl3ipMd1vJJyzO4ikahLxdGcHCiciRdo3O+rFg8WTuzEv6BydB6b0O3u0t5ncoD
Rl+xwoFuPWb2toxrfiNGIvtDY1nvCDHVNotNmLr17NOcZJbtE6ivYVVluFhGQlTknKpoD/dxG8fW
1QyLYcOzbTz0eYVqw5TvozqY36yW97xFebjKlsri0IlX2gRHaozyYT2EXC6BvdCLozO+maooOrJt
qvrm6KFMozPS6Jd4lvo+7ntIW8YiN2nrvhDjfjepml5PrHtZnrriGccMkZq2NU7ePMAyZqgIKmo2
iNZbYCC4Fgf9SOAJgHXMI2pQ1dClwt5W843mR2KXdUA8pOaHb1odS74ZGgxjM7NXcWZhJIfFhz+e
w8hbcwxBSsIqAgB4SpL1gH67a8n63ziwcU896+dVy62aYvlOvw7AyMjCSFTsQDfT+napCO5hTjGa
G4loeojLOd8bVqLvvYqPi6vJSgfE3tDxPGzMyYTr4sXQf/oYELKelh/taEevaWgM31yvk6/W2E7H
wvfHQzbC/RijGrw5Vee7ps8wXODDPgwsQm81SQ8B5DfGdqqevc5AQoYO36wNJUUWelQEs7bMTzb8
+q2lm/FBz6J6Y+eVvaKUHUEPqPzOcJvylCj0QqlTbgArqjzRsZ7Va2qLmqMgRb52MYhgPCA80HR6
tg3TUf7AkjJVF10yYoU1l4JllMhSFbM/MhUCZcTJYZCfC0x9qFHXJtBHGBOOntuDa2pltsbMJG+W
Xu9eFjEB5eGDekHKboZ1FkKsD/S6Gr8baTutRU4YXKZp+xF7c7RlVPWe46QvT5ACjUdN535Bt3F8
m2UTtxNFGaqqScfFJmAMo6BjJx0MIhWz7mb30Fqa1zS1QJ/py7ROaNi+I1Eld3lmUPlkN9mWJoLh
uepRP0mXg/TBULnPU5tnT8sP2YDzO7t5FR4XYfN9Sau+WPESHr2OSCl6JR1mAF6zNT2+9Ua0Iz/5
/2XvPLbbxtos+ir9AqiFiwvgAlOCYJBEZdmyJ1iybCHnjKfvDbpcbevvdnXNa1LREkES4Qvn7JPG
0Y2r5+P2jFiqu8XwTctkgqYq0D2pufAzhpu1H88oLubEHEnau/oeJgVvSUOaCXtGLSzR08QCy4he
T3Bj8BbCyPZVZywHNPqZ56qeAGb4Hl7F0nxDHdlcDDbnq0DQ+kYNPHyIh4b7eglgLJkzJkrUNsZe
6JjLgkKzLrum1O5nXiDaahlP3iVQGDowylmfR4ISceUSJnCPcIB/SsP+vtENkmFUJJ51XJUt4fDo
Zuty3ybGMm6oF+WlNcFYqbkpCKb914OszV0V1dMxTw0bwWcS7UoZRD5IjkcRwDIfuw5SAK4JXzHg
boLCHZDIhmjgqmGO9nz8Kn1tTKeOrpo2r8F3zFa36aainzdd3ujbRkJ4unKDHFuBObE0gQZgmNH1
NBpTvhzPj/d/t45/07BayKd/KoT+w8vlvWTxW9kU8S92ru8/9cPOhWeLSh2GPLFJ5+3iXx2rICGK
5bmuY/WnZhImzeyPjtWgY6WQclC7I1k/+/1/2LmMP9AXUPOzez6bvf6Rqf99iIEOGVYYAoG74jQ1
jdW79nPdxmS2rGoYXNfFKF1/GFcyRSmT1UqoxgGNizVfJBMDPV/X047Zvjk8pSZkn03rFvXHnz69
/6WzFe9QuevRIIKDkquok1fUwa9Hg9ly5eb1AzuYQlyjqqe46VVpRx4ClZKLfTT7Twr7Sbxpcoc8
wzppsGUFS6tMz3FV8dXloXvD74j6rZFl4mmxNEfsZ9sKvolZg1j5+yM+J6v8VPeej5h4r5WOToIw
prh3RxwrEvvcubuWEy6SrQ2L42lYW/cd+wTGbMQxCghxzEvJqLRntgipLvc5rRoZiQPkGQZ+rYCO
VkFw6eJy4PKOKO9VY6Uwk0qSCLlJXuSty6CMuHj3QxvVl2k2Iq+FGmKfCHoZ8v3v39V/fg2KgGDF
F0FIO66gd02+mrVw1KqsvS460kHL0AHpgxSLU6MqwLWhHnUfqkBkz79/2Xc9GZO8VVIBH8HgXOQv
62H91ENY+hSaVRsW14WziGuRRv11Aa8ftn304fev9G6Ecn4lNvpEjNGdwSx+d55BSpuXGjvXtUPc
1ks9wn7cg5efDaTikc/zGUKR1GcHEqa0xvzvTpp32Qy8PCcKNGgGVsS0Y8v89Y0yQIrpUoAurKPG
F5og6yUlvy7bW0veMimhdpt1vvr9mNXntW+pvnWZ2x5HuqGryZaN7sFUKFMPqlP+JJvKwA3vzPO3
SgPdqmtLrjwshiZtgLSX/m8GUO8hFuvxq/W2QbodmgnEEb8ev273VmFZgXYSfZC/xM0qwWUH37Et
YdFehBeILNMvoeNWV9NSR1Qz5hR7LHfUW4dzvvTmCO8BROPhGxp4XCOQetR3pcwvCoufFRUmlp5f
WnxdMYXjJKIb5d7K1Qmc5efTyW7YfDZRJ0/4EKvApf1hSkNC0uosAy9KAT/V+h2KbqvfRFHEbk8U
2B2bap+hxPDSrM7vK/IuJ/wXY/hxTMBjoTEjHQub3xM8I2cb1EUAxWJ1v8UdIqBNkLTF9bja4+rV
KBdCBmD8c/bPIRrPDxZew3t6hlsWBJJA117V18CtH7uzC89eDXking3uDWa/QAcfneQqizDv4co0
L6LV0LecvX2jHuG/4E4Vs+df3X/jagQUqyVwSabXqq27h17X8AuOeaewiNc9QgHDeKwjMab7QGm4
DFmvBV/cs/cwLmrtc78aEquqNY4pdd1RkCXzlXhL+M7My9KH+OxnHFZrI/YOTHqr3VEwZ7upx3zy
zbEh8fXsi8woWkNvGCG3Iq/GOpmD9t/2lXvDGhtfpRBld+BRY4wQlTBeOp3Knqdcjy6Nxq0eLNlh
0HRB8+Hzy0lWscvGR16QMGRD57rTpkl/MVarZ3t2fS5nB2hxdoNOqzEU8PLoz+HqFm1W4ygoEbjA
GERRFa++UhyleEzBM+E3VQFENXV2oaLSDjx59qY2uFRDc/Wrjqt1NT67WBPOpG4nz+7WSarpitQt
uG93/Vh3eQ5uOIPG/ZWUBsNYPrUj4r+cdX3Drbx8NeY86SSDj67vK/26S7s8RXAc18t+cPsuOOZN
jCk/MeCC6QrDVTJLnFw93wEGr1oHwbVEtEzbIqA89aChjLVvp7hBPKTQ4KsirE+KQQNTwWg7T5nb
XdltJ1c9XMBqdvR6noU7W4uS4IZFp7RDr0aGwAkn0zbfFVncIPeseXgFBC7ENsQCBufWBoI4uVMl
YWH4fdx+DNjFqwyiSEBVsGPJli+eQ/jY4hW0nityriHIGp1v2N62QPlyvwxj5w2YI6XuVi8NsrRM
B6ONhc8yuCgkhgIr8YqprZf50DLxbiK/CiFH+kE7kDTvNsySd3Nm5/NBb2nYPctAZOkp+tUM00iN
7Jqv1fioVTnYZintFFttmusacD5da/nIIX8lee7mR9m4XeanUWffLz2ciB1mXENcEkneorhVEabt
fdAMVfHAw1heJCH7w11fcQQAi7MVCywIWPGchOHdKXdmTm2NS6XZBkL0F420rGwbBoiryTAa+Dpj
xaxoU0C1Xb7Br3ERXHAAJBbPOehKgU/1EMYqtT0jTWu5jcsYLDYjBosk9KZybxOinExPxvAFN3mV
LNoljbi5I58tRFGN763yBdlD5REoPcHOqWtGKF/5cyBpcH5x+oRy5YaTVUX3EGufmwLmqIbcOXWM
awE9HWGDA85VPs7ZaPTXdoVFD0tZ3Z2svuCRFBJ6zA+44NPlLogjUXxijkkOMcDlbNq1o7XEl2id
u+9Zw2C/gaI5gpN31wOEln7LuJGD7wVDlUzWaes5Y+DHIq4/ZeNIZZGEyfDQWvb4pcKyeBjUCJ3b
SVkm0dME/B4rKwmpxpgmrpepkuZd21kEFXcaf2JkD+wwYpsVYg6wtfGhmQwDqZnCXHkDzt5F4V6v
J2eSgGFTGUDqWwCIxBHr9Wrpj8aCAytbbrqXPMHcD8w+Obtz7pLN1hEuAD12jIFxmzQ9acKGA+D5
OJnJ2J+6qVuLTwRGtyRZ2TCtUTuMx7JcFrg3BhsGgG9rUnm+HvrI/YnjqqCi4rHkXQCi5qOK0pIk
ZDdFcu9VGZtskkHVypLsqQpC/h/3VKMroptamHMDn7ciVOoYQVTpT0Deq3bD7ruedpOu8CvN7IbW
mwYXk8c74gYyuWKtk7si/wD92r1whjhmXxRZKefFHNovYyE5DDya873sJiKXQ8rcBJJDkSYPDk+L
fVvo4rp2w/oTOTW4pyIzio2LkglUfxkAUxm2M6EdCLvVLPfIgaGg6qqeX9MMJ8LUt3p5qPV5SJk8
52F7yAMtf5sXd72HsF+NtvQBDjIYY47aHdQt96NGzA65CVUIo8nkNjc3YwSEuGsv3ZzZwNYyCFPj
tsc6D7uf4X5oEm0IfcxDXCaLFkj3aBalqL/l3JCRqQtOKZ9gd86RxNL4RCe2+z4PmbG+pGGnRSfM
ExteFslBp/Suk8+NO7iP2kyZzgiEkPivzG6Z1OZCqOEYjwa/asIcs3jmGNrhCvCOUKmQzrdbSgYa
p4kw6YdkgDLlqPZg5uQxHJYRyA9uUUEMeAWStDwV2MuutI7IVx+dcj5chvNYRR4RF3n0SCXSfgUD
y22EW2e7DghaBqruODiYPoO5fkAWKuJnUSL0GDYLFdj8VHVSc/lliMKQNWlpeKEF1fgFmIE2eJlq
bQRtZLDcITMIln3T122MIn5lVOB3SeTthCTBus5tcjeYAg26fTIF7mJvprppfXCJfGujUyAqbRbY
vtjg2swXk5ya7ZABm8E8V3P2p+ZEbPkczAiwWMTb9cdzuHhyZmnypHM/cK7n7W3h4uHf9UblJjsH
iOdI0sUnsMyjI+BEDerJMgpmM6MVduYJF6sz3NdBu2KVQ85ovwL2Sli8PgGdiGWXwtVqqkjeGpOe
2ccAOyrva5q08JQ2GuuWnCAMQExF3nenDG0qbaTLlqCNnDTaErGsH+fa5LqfbVuh5w4idTo3Hv9O
Uv5mkkL8m/PbUcqJvf/Lr1icP3/mxyBFN//QDbl22rS5FB6U839xcWyQOS4sRRb/9HTr0vrHIAWY
Dk2xzn2JiaCJI+MvLo5p/kECpYUh0tAtCImMX94Jtn8n4DbPkYC/TAIQl9MRERnIWNxBZ/Bru1Et
ZWoAdY9uVFW5AhlfTiz8GBmWx+YqnZmUp7LY9WkYrd2CrE4hbHEvi8Poaxs4xI+oMDfgAOvr3DBa
agSXqLzt16UxXJ8FskNOEHEvVyWr/exjvJj1Vdku+tdEhpO7EWDFwN1ZQkG50oZB7mOQuU+q6xSR
HTUwtItJxs14atCC+1GXYqSajWzepLOdnipsHh7NHMPxWbvS+7niyqA29ERSLKgw5+bz0BswbYwo
O5rDhJ13ThwI65beUyHK0NyR48H+BnIA2xLTjuJTNrADxKSoyBXom+NQ5iQyY/Gd7oZa2xtJz6rI
cD+OxST3kQZyxGNruB7VvCQfJ6tlidTLCr7ZdBW5Ait3sogGaglw9oB8B9ZMSLYVsGZ8gMTUbjCp
NS2moyBdxIZvnk8ZWZy4jY3YWql6VKOwhuzLUSjrlU9kvkxbNwmaR4LFliNMnFYzL1UTTin7GrGp
zNGeqn3jwHvxDQKHT2ViZrGZHRR2SdJedjY+4QENLgLKTh6g/kVlDWsnrUg4uQQeUDTIKNmZCAOA
QJT2STTA+qU8GY4iT0HG4dmEqEh69SSIkU+PoaMpVbFcwJU1SEPcty2lRVa72vTVLVSVvLmJaN8o
yHGsXhtFa+XiQeWB2NldrFhvENOnnskA6lfPsjtcAWBOL+yip0gAdBJE4OX65BibboEeM0vvaMNQ
Ba9EW4Cw403LsHyjxzFNUTahPmcYhywZbsCFgwCVZlYndSKO0/2q2AD/NN13dm+CgYfpvY3XVSTb
zS68cGjnTM9kQkFdmzjBARnz0PmZnKHMTXqzwyLZvpRGlb0aXU0mipsiCNs09QoHcAInQwuXNHJT
tK64aGm30DWHGX40AsIOZtF/jhITKPZSmtatxido4S2rws9hY6KyTUxKh8nS9vQ4xVbxcifQDPSp
i5juirIT+2hMneQG4q/a5LUDSillg3yJv5ASZgQvsXUIvjgOo25dxyunB/5gZl7ZTrJcFFgkN0ui
r0y46IVj5Kml52LXZ1DxInKgtr1pX+lKtc/RlAafo4awT8I6BlCdaEvJ9UYWKFT1BFz92iqUdbee
2TeBgLxH+YZKphanJVHzBkBb5zmysrBDVwaLfFnpb2RQ6Tclg8HnkFyay6Y2x6tySLNDm9Gjz7Ed
7pMEblAQtwFoUcoHYyTerrKZ14UmpEgbLcSVk6oPi6HfFDKBWqcF9lW6DBZOsVpD596ObNrLMdok
bE2vyI02PuVESRFgNS8lvWSmy3ucND3m/la+acqBbdfxaezSJUHA12WvZN25XhMHrbPV+rl2N+lg
mw+VHKfIM9RQvprOHD5aiRnqwE8a60uXkz5RuG3L76jwLDgg4nEcapu6J7pi1O2S0KM6p+tKEj8Y
6AVkETqHyYJkNFbF4Gx6e0p2nRUKTvQeY4NgiPzIKi71Mj6fR8bVhC4l5b1jzFfuGAGZSgP3wHSk
ohSWtbpwCK1yN66ZOV8nu4hu3cyJD0NQFl9pWt1tps9GuqlyZvn+XJpriIA4BnZyzy7GOc5ymLYp
Z/eD0MqK/PlxNrB/y4A1z/Lk6ImgH7dCpgyqjq+TbODO3uvyc5mh4MyjXttOozCRLZNV98lyRncr
RbXcl8RreaZqxo8UfvgHZVKejKxKW8rB6RVm/kDHI7s3AI0axs+anLMsIo0Y2u0zeMv8ZhGxezNM
znI7F1a5E1nY3RpNU4HhHPUHvLpLChCgSetdWbah35a1/uJUfbM1p768T0wyjrwZEyo81x4wGE3e
27SgASqGQn2SZCQxa+LU8hduOV7UzQODHEJ5twWryaMzIgxQzmCfjJqdHlekxKUrjKewxrfijFZ0
USIgvq2RuW67Wh/4ZN1o/gYXt3uwEHiT6UGS+bbVYWJuIkRI+I3AzQmBP3ZpYDZ6pkGFn8eS+pPd
gLSM8jQlFct1ZOVXS1GOd5nSSCxL3VM9GBaM8TmOgqO0tfQU6YItskGln7WD8Zi0WXVSlTM/6KNo
YRvYkXtvulN3GBxoC+UUxLjpA3P0hijWb5gQpB9zfPcfQ6dobos+Cz5UYMYu+6meaCmd5UkAWfNp
1RJiU4fZB69bA4oo2mhr8m4x1WNj7o5kCwxkBaj+CTkh1pGYaNythqnfsy2aglqP9Nsapa/0lROU
F8WomZ2XpyPxdsmcp17ckAzklKbkc+zGZ3NSUD6HyN7PU47zOqmD5ULEwn41+P2aVwaElIUdrYqd
6O7HebHag24uPOidQu+zTRu28Q79vX2lIDU9EgHHNlSzGIbhdgCltXXG6aqvy2YH/oXIl3+L4/+P
LlbZq034/5bFMsYtm5ev5c+62O8/81dtzL7QxKBDVUwBaqwLhR+18YqTxE0It9qkdEbu9j+1sWDJ
aMh1A8iA/FdmpP0HQ3NicCFlWVLBpPxHtfH7fYejIO4yhlcOL4eVd53U/7TYISOrIpSd4RX4tzpx
MYm4ztw/N4NLfNEFYSbgtDZE2jgRm/W2gzt8JRkPjH5IlJGlVsnGzBP+gtGkk8pTobFAIrxa62hr
KSpRAMQQ9tOkm4J96pAmFV9Z4ThgO1j4r0F/COhJXfNJt7CsLVAR+7yfInIzeLIt4F8cRQgTnh5P
G9CC5xeIe5mcEOZH5AYhPASefUJMFHReaRPFND8kNfg86BRmOKo7JPt95N7EcQeU0KVH3eSOoeUe
4zNJzHXfLBohizN1qRciPYEl8O9V8/+6anDd/v6qKYpvr1382ne/XDjnH/vzwkFPvuJSha3oLNfr
hs7xf/TkisuFphIpKuw4m/b1R1PJ1YYa1oBB+cP6+wO2aup/YAi2LYdJrxJrmvI/unDMtWn8qak0
2YayCdUNkxmVpbOx/PXKYdCNcbmMh0NZhAI5UYxLYylcz+q6Zxq3L46OWbZC6O2zmHU9EL+Ai6Y5
ZeZFYgZO9UcHWfIF7VV6mvrsanCQ+CjNZsFOgZ3pGkPvBFTk3JsTHh2Ib6bM9S3eG8kVUYMsI3iY
6TqyO9bFd+fsP+imBVg5J/VFraZNKHhNljpoVIAne7pe69skbZ+HzMVOFBNfUZUGj7PkC+FP+jbL
+eMp4i4P+GpzrIbmWTjEySzWIDcJKwo/D9QHCpR7hKRfBuoyfrZ6zkqUGIRiwQBRjP5t405EiLUM
Mq+wN0+drzf1s00Y3aZbUeyjtvYPjIBxeBb6dtDUsaFSC4uuY6vARzOw5Qi7XFLNp29Gqk0bm7iw
Tek07Vav+aUZoVksvcMn3gIfg+4c87httywHAE1CQfGGysQ5GCBP7iOjPCQmJH0qumxr1wCZhtS8
G52+89efTEzW/7EL32kxVlvmzEdQZbLzrU4sd2EJK47Wy89aXpIlg3VpmbgGUGQYfl9zQHINo9MX
YB7tmsSiVrNhWbzNBXFUtWwMFHOIzcZ0pg12s/A1yDTB5+A+MhjpfFlkoGv0BIVnzgaN0TfiMX0w
AAK67WPgBCmZATDJKi2DCrigQ4MWIzeSWSGDNwUwSXs8nyRxPeNaNet2WykyIJnx3+UDCeiN7j4y
sBtYYqxZw7p1N8QcVJik5hHfKff7pG+3AJOmCwVhB3woP613/FmgxddxK2Bwlsii1RAlJIHbbLqY
r6L7Y9WD+Pma8/ltclO8bIC0SAeNv2AE4btf+DewRdNmEBq6ys5pPdoLfibnU2oFFltDEbOIwJV+
pG2ez983+SegVTBZet3I+2Ua4yKwhFBY1jwvetvJLnQRvnGRc1bzNGBUztnpKE4VMGmxF9bd/JRF
/Csd4RcpOBCuPKx5qJevez4usLiPM8slf6y5TpQiG3CEyn0it7ZCvNY+q5RfaCu+YafnZHK4Gs8f
BonUgzdq/NEqzb/kJD74YArJADRayzdhBnng64KLGWvyfd4isjWYZ2zQGRJN31XVbskNg8iYUt/m
DQRJSmqOIYzaS6fViHRH6nEla6LbztK8VHFRIuS7ikfSsjC4c5bBHWdVBH/FMbhQpc6NwBmYfuBw
y3zIYG/kF8R3QwSnar28ZLIgyRP96qAAadwDEaavwVuu53zdZuSS1RXpxX7CEecPYr0MUxQV5+9W
y3n7WkC+ILpcbiGcAkVFxqZkwuydz3IEcMuurBp3jwk19Vk2uTtYw9l21DidzyfAeoZzid/F5lLs
5cxtjPifzjcZLwCj4qvr+lFyHXAaQSro/AFJ/UsVW9rBiniraB4xHfZCO4Cm4+5lxV+wAfIViJSe
iuNjM859ReNqzmXnekYhggu96QuKY326tiYLmmbyRUNqjgJ6LK6C1Eh97HYxq1ZdO4QW12kJh/hq
ZlO3UzYnWZHL4kpraewW4ne59+ZgLbg5sIljUG3u3Sgj5pDe7ioQCD0JXLE91elyyxIZaarRNsfR
prFmu+hspzjXic+wMKqQouYpkEMM4PjqNJW6+6A37iJ02PtF4A9gL2D4lTkMTCN52yhIY2/s6Ze5
REAeOdzBckVy2PneZLjYYs4XLXvgAWe69sjvjm4tYJbbxjLvjHnNJAk0Z2Mhy+KxM3Iy1RMZd7gP
PahM+pZ1dIFUxZyue5W+Ucbx0cxcAefPGmsX2tScX9kLvlezYNtuTh2YL8fiFrjadVWmBbcG5lCk
uSjrnaB+qxX/Oe8Tn4uepinmfmKCMtqJpnl1dM3yCw3VQVmrDzmUVTBT0a029tcKHjbxek54MccT
MFYtazOxBe6r+0aKIndTTBoI/CVbPoNPWtGSVAS27zqi1aCmNckXA8X1FpuwS46HbjxaISih1hmr
5MSSu7+IR52vUBLFx9QlFMxGEh0ccVRCqIkIHiPnBSsjYIemnUB9z2mn+6CKm9bHfF2hpK1r7aIK
+heNKOGvQOZezRhY1iaUU/rm1FJbaKy1ZQEF507joSsQurMIm1zmqVotPdLyuOaZiWnbkEfRFj1h
cHLHctF2mSQh7hrplqOOLC7b/NDNS6c9zyGxTxEBMxlZUK7sNk2TEa4FppYJhTXYxuyH5BBo97Ce
oEEo+/GnUux/UfqtFf+7usZk2CTZo+iM9N+bfDJXMxYSx/uDimc8reRVxikPF1k4j30DG86iCfBM
YjS3v39d+qr/fF0T3z/7AARC+rt6CvmUMbtd1R/EeL7ZcQ3KOP1KX53ib07ffv9q7wRta/VmIg4U
zMOEiw3v3astY6gBJCz6QzZzgqyVgJuC1QjBOHx/X//ulf5mr4QEll73/26dt9+yl/Gl+fZzB/D9
Z350AHhD6UhxUZqKNuBc5v/oACyaA0Utv2pzv7fHfzYA0v2DU5fuAAwULQLQ6b+2SpKkLhOEj27b
luGsQVn/pAEQ7ipS+/lCwaBogxnCq0Y2GHbPd6dQmlATicWtDzM842fA/kW1tZml9puJJA9vUk3e
7ap6vs1KxOheFlFUoeyEUqhXOzg/BTWnXMRzEPdokYoCqQn73/Hb1Nna+nRPoEKAuVlHgwVpusgO
ss+m1nApgn7fFSEc/1nqIYHvLh03H2J8QHNuPSQdD7wJLsZ1llhM6J2eulGxdja9IMmbC1tgquhL
Hu6ayhjrR4RBI39pLqeax6Cdy5WNZiX7kYODBtvY1VEtcXAstaa7L9zQvAAs9DlRtfYcZznPn7qw
NybELXRhRog+iFK5clqsKRM3CXitd4MTfrW0lDcZ8E5FZNxxrac712W1O59zxan+93qIgQpGDQRQ
t0PootM6WQzTd0YNNbReePVoMO5sOemId7pTV1II9AZFhnAeSfA5iQBQXzQVD0wSxNXEQwDcRzFs
DPJ++EtOIikOJ6d6DnKySxfRTeTbhJ8psI8rRQL4n7xL5/RzbVH7qbJ8mBJt+ZRmlEcQuSNonFW/
65FLeMQFe5yCICQDkkxRyaWBvR5CvbEtfrVbszhTi9JvZKppKBpTgl1aN/tQ0sx9YCVPTbRW/tjW
JEn1FGc0P0xS9fytXapbVOnLISDHuTPn+gUXT/NIYs3A4gGZiCerjDW/Ud0iND6wnWRMbnX1DR6t
5tlMnUe7jct9OWEGEQi9ruwgJftSueJAWLbDbsl5yhjl16wtxqfQDBjd5CwzKVHWKDE36F81vW4K
T9W6vOuMTF7nxD6z2zOiieYkYpadRcWDRLDtwxZs0IiU8r7NOsD/TkBCmYzQbHDlkIA5xNsoQ9ww
5BNhtU0tgVKElRAUCKTiJsJyWCoNdnlNfGJ/GQJM6XfMpq0npCXxpZnb+mdSTYdtSwCax4rJiAlG
QJyxEw4qR2BWs345zmCajyVUlY1lJd38phXWou0dlLrB2+yq8ZQZjSQqs6BUzWA1kHCShaBXEvFw
vn39e6P/mxu9KyS3vt/c6OO2a+LX7r/Kt/9iXtrnX341ZXz/+R83fcabOrd6tvTfpz48uH/c9NUf
SHiwCujoBM/3/b/GPtzagccxmnQhH3KnsykufpgynD8cnSqG/0leh2Hwv/6BlmB9fLy76WMLQWGA
QpyBrlzf+c/z0lkUqUBVph/SaQ05eSP07maag2Oyyj+JP85j/aKFecGF9Eyy+yaR7d/USeso7T8O
geoMNQPvGaf8u5FtiWCichyWPSV+sOvAfJ4Rc7dD6hc5iWAGuXgdLja3Csl3z4JTVYWMbg2z8Efj
k8lsYYlo6NDd6EgRQSLsOlCqlUJGtsaPmNawoZzeItpaPXCvJiSjuKT7LqKNln5OmAWs/zhjqzTj
+aldyn2ck1Kn+bPlHsyyo1MPWVLQ4pIJvugdxbLWtFJu9RRZsiw+zE6KtEdIol2dTY6bkqXYZdij
9I2T5c7s2nVqzEzG0U5c0BTvZA36bXoFy+SOO0/vTwWKAg0Aju1+ElIDSKBeQD0xnUrEiiZG46DI
AHM3ehT5iBG2w5R7KATvJ42UoXpsfES1/tBVn3le6fs4629RUl4yIvuyEOLYJalX22O2txcOAzcY
JrWieM0nU9+niYMbVR9fCzPchnbfXhWoLBnWVV5lt7zYsotTeRPmSfjvAuZ71urf3FwMvv3f3l1u
gEL/XEL++QN/3k4c/Q+2K6vIiCDWVZn0P+sXZ03sUtSDYAbe3U5M8YerLHzmzIjsM8zk59sJgaSU
fBgY/ox7/Se3k/dtCKsXDCfrQBqrCaNk89fbSTBqpBBi2Dgi3KmCrZEsKUEQkAMsky6QvXX70WWY
QzwFdZAYp+DCybrqk4vi/skqnOqTaSftR+QJeDcnPKY/3advv9eyPxs13t9pODoDopjFATKEx1by
69EB1miYdSCqTQazfCH+eLpl7bkaX9dUkhpN/R6H7uC1VUmGyu9fGz/Iu/ucs8q1yFSDaYLfjh3a
r6+OZimr7D6ujzTvz2T6SQ9QVeyeUrcpbSptS13BpQXLJmdbXU6mGz/h140/T0uxfFV9Ww/bapnl
RZiFrU+SXrbvMm4DIKxK+w5vWDV7JCuQo4kN40ogE92ZemVulgZzckIAt/BMwr1vImPm8iZjQHi6
U9dEG+KV2vb9klN09xGVlOyYiw6JbXxispUiDUvYbrVOealac/EbHon3UdEWOzZlVKNaJ510x6qd
nFI3oMqXsal/1DDro6xWjz2Q+swzocSEoDar4rpBr+lrETZ3DM5yOMwEhHspFhZG8h2e0wUzYM0O
GOdBRciolxsTZEtg9gjVUelcEXodkCI+dx8RdzMSjXWwexudHFfCKOiwDo5M590YZfaeJMjY00xj
ZNBlG/W922vJnd7GsdgCy9E/EVdtb8tC6civo8n1x1428W6QE3dFYOT2/RQ4IVPwurazDQOU7lH0
ZeQXnRr7Iw/vLNwWRtHdT2CYI0/IES1MTDuyy0VKF04+VArN2rIrofkm/L3LYmr0ERRfvIY+4XDA
Ar2YfK2JZh6swTBg+sNe34yW9ayS2fFh7Be3aQGUsA1rpDm9FS0bs+mYo4b6JHZM2ptd043W7ZwZ
2n4xaEzqyBh2qR7vqDSHLVeqewS2ld8vxszag+dXcrEkTrKlylYvkeqqwwIZwXezqjvMccMtvzO6
kOy3hI2Qh0lj6ryhLto9NH2BnsPBSuKI4INMjP7gjNHKUldW9M0c9eFGlGKyNnGh8m+GMtOSyTlN
TW3FRb6BZ1djShwW5m62auxky7X3EIVaIq/7NO4ZtCVBDu1TNHk8VZtaFSVubRnUoZdMAfwhp+oY
oCRMVCm0m2Rv6OX4Fe1uDpoojVAhYBpk4H9CctfEL0OcgdN0i8E0btoWPvLSL/CKdJkMz/YEf/1q
RsfxsmgSM3Xg9lPDVVFr3WsR9DjdsW/UEYDI0oz9rm8KzS8DZz4NlEwzOw7VCb8fSLB/mCXg6MN3
OTxzZhTuZdHk4Zbk0rCi4B/BrqRU8aQnzFbReOGYEmFcA44+u+6baIwrRuiyfGlLgEoCSjun+oT0
fk7b9J5t3XozJHVnk0IeuUmWnlSMvmSErRkur8a+gVF9FFgP8OrE6NdWG7SbaDDbj11sJyZKyIGj
RyW9kG03LYe4HKtPwMvLT+NgkNvkWqxJttHIhYz1qZ+0Ta9P/RcdG4J+SgDAEqcTjKypK6MqX5o2
c63teYNzvpW7vHN0mIgs/S5xuI+mWjdcT7GxfMhaUupLL6XzRhs2reSWZcuTQMwvVt83erVaBHT+
Rkaaa3IezSKEaVmKZRyei3DKYhYjmlW89HOHgHomaueybBb7umblMmyHcii13YgKK9kwSADp4BjZ
zVxEAyu2MmZd1hJSC2IiNG7MsuTCglea3TQWdjsPYl9pbZ15GMgkVB30iaGL8qtca6DGjhwB525e
mceCkclwbdYNTI9FWkG/xSiqPpOcMc60hE3qeuzRCrElWw6cQR/NDtCOWo2fSiRa15FNrurWsdlV
BFiwgZ0y707HtvzSiu5JTqN9/G/2zmQ5cuTssu/S60YZJocDi97EPDFIBqckN7DMJBMz4BgdwNP3
QUpqlfR362/ttaiyMiuSQUYAjm+499whCFKxt7pAP/aE9+UbI3PDYe+zFIUZ7JNejeA0CNeuSCE0
gnK/wzsQ1rwzU3mJc90821k/kmIc9+KnAFfI1tCxwABo5KV2Zczr3BLjxc3TCg/FEF96OTftqqt9
GFKIBMTWHxvr7LC5PQbYyeSKC8h4znjOYHFwgmnjBnVekSxWyGW72rao4CrbTkFXAgHaszycOP0G
L202nOPRWkTC3QEsJPGvcNq3/3Sl/z8aBMsmdfVPJcd/IQTsv6om+sdO9K/f8/facRnuBa407d9w
OgqQv7aivvgD9rJLUbmIffDc8r/+NoCkxPtb62n+AXXJpYACw88ww/53Ok+a1n+qh4JlBMoPMz3C
XW3hLbXkn6Q6gV3huar8/OD40bvO4nHVtWh/GeN/Kw3vqYEXiVKs/uYX1jcCFpG+ymnHWuPUTdLf
zkZtHx0420fOo3lV4kc9koODS4/yZkN4CQzZIWiQMJNfUcWS/ZjfmhcDjtUHg1DzZtiTvZ8Z0SxB
FaQ5kHC1C8k72/aRvDHO9B/0nDAjI9ik1Inmp6Fac3Rdb1vDBq6q3eZkdg1PyOJ+am3CQzu3W6X5
eGxaOT9yD4lNJbVcW5Pun+0kQJQzjSH2OcztrmE9kkgi9m0XvXkuh5utadFkkcd3nZlY59ThdzIJ
pH5A89BsBfTlB9+RWzfJX/uRmBeHKNOp9gS7tOE76crLTT+AZ4NK+SNhqnnONOkdToDaX5H0vRcg
jLeN2xBLg7sIKXk+IpN2Prt0RC3Z2+EGLZ67bPy/28OEPqkbTmmQoXBOcMWk2PdI1ymjLZ8qVgNZ
3oq63XX5hAnJuA+XgPbeqMcDaDOMNbKyboGy82/dINQb48ddwenGhLK4ZQQLX5Lcbyh+fCiv67DP
cQo4kd7a/mCu67LOvvVzlTxmTsxSvzU6FLolYR4qGponVlThEzsQcXaziaPKKERziDqvZrmkkivF
qf4WBnb7SdhD8DoWhH+Br+k1qz3pX+IhwAmmEQvgu/cfpdbk6OYkla1yG9cUD0D1LpOUtNpUDvlr
mZUIJHKCvk07x0tXzqbE/JRDI4xM1VxkbfsbjEEWb15g94SML1mLra1KRsohodvAjMoT9mwGqbVf
slNM8NJimKww5DNKqM4TS4edrWX6IW0i7DZjSGgaOPvw9bc713fCAvNXUj2BaLeujjdWZ1enwQVY
e/qhVMjjFnYiGd4JVgTyeMCzs8IdHyYxIBHAM1iuSPMacb8Btpl10RycTqMbEwlpTE3tQyQwnfx1
SibzR9NTfRg4gdN1xATsEDUVX8PD9IE30FgP44R1i9bUeh4qUZ7YoSbMYYDWbswymh5s4g5fRY88
5CDagT++nqLpJhH+wP6tzPFGy1KdW8Y9GR0OnwMcfn4gU+u4Jp6ZHPMJg/xm7Ar1HnP/7RMPdh8S
I1bb4Zi0ywOOUHZllckV61T7iZ952FsYN77E2IwPYV+p+9+/WRqmyt8NvcWPz21bPkYzOuwEqCy9
VRj7j+7INegumeV5EbvQsGDltCmK28rDjoXSlT8cG/d0m3rRvcix4AvzJUZXDBwiG5+Cb2sGxMil
2k0/fl9pbCZ4tTkKiFK2JluckyW/HXl6da8VjJBVHKX9Wsx1/kpFaONFoTIi392Vj5CL3WOVhePN
GoGKNw0TdzvqpXtQAx9qTzD8CakGn5rNyn2X0959djIm4cesvHvf8qZzHVr2LTRT/6ZrA7AcVyT4
5ECEH4HNNgQKc5zQjoz8oMHnFeWEnzqPYuOpmmuCHyhPnmpauH3F3Hv7+9MqNOntSTRheW2zsOzW
FhzNdcVcEI2BKy5WvYT5oGFBU+1F/PheT9Fa5kuZNPOvxCcGGGHy2q6rZN2m87Ut4+vA+oiYoeeh
JtF6EIBEKeWjwgMv59/ZXX9v6ughHiB85R3QvLT5JXRwDpwqX3UGqyZb3sbW2TlDvO+8+TVqWm8j
zNG/EOPIQRcKZmEGYWZTtfbtsrp1PMf6FQxTuMFok2+uSl8oCq0r/AN7k1k+HBWpnDVJjO46KaZr
QkK3HlNSiquTU8rwAe/veG+NNvYLuIeUhr4X770qQ00TDO4W40qxkgoy/zCwAen8rAb1hImT8pW2
yf6qy6E613gszhTu7ba0C+vo2OJnY3WH0hePZLPn62zonXub9cm7EdnfWsP/OfUVyPUStzxUKQCv
ExJ8o3CmDXYOMHS4UgdGdF711Duui1I8nT+LQaztOUa+D+l4p7oRRlyvToQNEhrTxWshZj5g+tPd
WC8jAT1ll8yzXihbidMK6mM2TsXRRFh70BzCG9MHNTaWWcj+CuR1RCgbmeHvNXiI1VhWJgmupjxh
ikr26eSZrDLCd9Mq6jWKm1VvTb+cSd1U4suvxGaXh7vW/JCeQdRElj13Vpt+By/ubLnXaeKdGpd0
X7YrLJeEiJL1sMAOZ84DZ8gPUTqDehQU0FhxNmx1nuqi/YynLiRs25+uY9xoBV5xSLp1idodQDRj
jy35VqTgWt4158x/5LLCguSF1oMDOp/pcV8y8mYkcMhIldxgyhpoGGz11QrENUicjlNRZbig1fee
leem9ttgk1rDNzNEPWVWPO0Du14y5Pqfpmu+17GzN6c6fNGWmlaOkw0YKTAo4x0y7hoX0PNUmmRL
sqhMkzL6hrO/XeNs2XSW6V9Q8EVbigT/05ViuEmRWC8ZuyBqCHbD69b1ppPuQqazgx3645rokpdU
EoTgtm7x1bK1++pQVpxIHJeLHDHcVIPBIIDcjV3W8r1RgWd77syrDNPqESrDiISjprJycOto1fhX
NSj9UWKC+ND4ua8e2RVrkDTTqiGdfpNzF3GSd0kv14z4avK2Cj9YYYeJLsS8Zvin7NDCktDSoNlB
3e/8qC5MbonolYGSce9ZjY/S2R5rPkQggASTGtshS/uLFI3LFVOiXqlqoSAAzZrHINaQa8XM8+Ti
XicmUiyYhjp8Deqku2ma4XQ7tzX5sl1QGtcu8sWRSiHbW2ZVb5MRwAYrxcrdxs34q0Sxdm8VUfei
m0QfgMDUb17dVcwuJgJrZoZXWmpUQa4iLkXOx6ygCiuGwTiZFQeYwsBxqELRrknzStdpOIW7ikUt
v1Ze7yc3/yFbxuu04vo+8wzzDtBagyamava1zaa819AGqRnuxirduYaxJz2KAAZ/fk+bplKbtByI
U9N1wx43s1ZJTPwHeYHowJvM3c8kP48JIcrg5HgM9KxZBWaShxnWHZ6nquXJNfj3k67zpxpf1TID
M95Rkl3RybZfehG9197U7QLlRVjIQrXCuYKxGhDIBtk4t7jj2ADuzBtP0Oq+hBK5UgHTuJbo91co
l/tRj9GmdeanyXPk0t4j+/R9LCclUEadEH5hNVsa8uirHkmp6njkAa7Lt0OSsuIwx/GUDFa77tM2
PCJXvCRRfXNDQWhm6KfELXrjOUz9OOg2qRETauI58y3IOF2ts+wRxg3bFHukpfZZodPo0fHSmh1u
32ryC1vtDshRDSPikcBgj3iawIymYi11Po3Hkfp3vghKFShGUZGJ7dSmw2b0QWouWWljSm7G0PfV
psCQQgg2M2yiSzPW7C4+trCyDzwN38bCfSSYftgVZdCvIbbopxDE0Naa5vYapdie0kG4d52Yv9Wz
k+BV8m5JUMGanjtW/QGsWCYn6X0tlfgBHnQi3bWcf2Db7O50IY1dYg1fTTQBdBT2cOfjrN2gGnFP
RB5oTj9oEoHO7YuWXn2LKFW2dkjiHQF+H64Pu7NGr/Zdd9EE4qtxEfUCuC+MhJDq1DSB4UOEHYZk
xCTvMygLSbIZOzI3TB/xrtGNMALd88xEYpXn6ae0mc+6dUGKkLVY29yfMeLQTdglwWmKZoy9qbUU
/REeqh+mq7tPmYn0onXZUse37sHBWnFE9vtkDpAXUWYPeLiyocuOpIOihZpnd7q4SUMQS17Mb3lj
5ndtXPykAY3guNjkNbGsQqBMjgn50mX8sy4KnvpGXXzKAVgcrJmuA/yRDLvGMpt3yhdva9vOeIMk
Nq+pgW5Okop71g0RbFg2/yfkOYTETDN3GsnArx7z93OtkEnO+eAjX5i6/D4jf1uQ9+fEP8q6NYFu
YLdloBvzKDCDRfBNa1hRB+SB/8nWkoNjiIR1S/rIf0MQTpS6U7B5iyuyPYbQcQ2OfLnwUUxdPpcU
/VthzT7xKl21azkY4bzMx2RCwKs0TRZhTtk1YX/4bnUgZrxaopkRZYz2OU2XoRQvfl9HFCVp5TMN
hlLaPSMOaiCZoCApoeytqJ67mW1AomdYsk5L4GJTt8OvuC2Kg3Q6yCVEYB5Go/zKRqgs7YRBdXDa
S9YQYKmixr95hTk8RHGnbsSjzBsIQFS3+PTIKKlQXYROsiFaEKZOnLzQ+IUbGcTVDoKxf8w9I2r+
sj35jxbhv1kXWkjF2CP9v8UIx8/v8T/sC//6HX+d+VgWzivYb1D8EZ79Jg/8beaD9uAP22Hzz87d
I1bx/0x83H8BMmCRGODigo4AenLRo/1bIyAiD/5h9W8uPwEjK/IIByblX1DffxoBYa+v0bGH3pVd
nHEky3esz6SycASCUpyEjFawbWAZnEY0FvnTnCgR/LBs+RUjdn5yZeaItVWRPedZ41smjeSMxWzs
6Pp8uDaKrA3WDnMbVBvyzafuhnsc0EscaV2/EI9JsDnopNwpzlmArYsKPk2vkqBtWqY693dJG5fH
IpyctSSnZl0wnt6URe4CFSNaFw4SKvg06B8z5EzNKjV1eMkpFy9tD3lq8ob6ZAeN/mRi8OEWHZUd
e873XFdyb6pEfTRFZjLVLbyj57TfQUGDpR39mCZD2k18nqd4PJiqcncoTI1rmRrhuJFy2MWkVzbh
ukGdNrCzUL1VDDuBZIlOB439vRHH9hs0yItLc7yx2KWs2yQ2b2Ct6Yj6utwMnfmWiyR4GcU43Y8L
F0EBSBhH39sOS4C6MxSPbmrUB7dv7GtTFM2xZxixNlMMb8WCWxALeCEw8u+sSWixWLwgbvOyc10g
CM8rY/jRZjI8TqFwdllp5QBykmbL5sn6QuQIrM1vm+rAgu6rX3APgU7Gb8LyNZutBNB1vSAh6iL3
P2ybHaeQ7CBHv3orkuKtNnjpslZA62I9vJNpDcPXKautmyXACNUSIIZInrYCibWwkN0GxZOcR9db
hWasjssV+VIPrbdjj0XOExOo7MAkg+0UIUDE+mAXIgGH5+/eHBwiZVQ+ooL0yEG/uZmVPQAIn+9D
HZvreGFjxA7ZW+whR8GrOBUjMunu3TRvplVhOMkTMvr8IhagRkzxdGcHNJNeHOoH3dTNrmzb8WdH
OFq5skynW/eZoX7hUE9RZWuI14VM9YUSLcGFXraX7jfAY/R09MlCGXyCUuIQW4zmSLtQ8mwxbahA
BEoTDBQLCVzTBDY0pW2WyECGYBX5bf+K1KxfeMKTvcucrOZZgc9oY0fxsINyJNjHLkgRwuKD81AQ
Qbjq1GLCpaJrdgHGXChhmvEX+XztPLUvEc/Fgh2cHf+qmN1tCaEP0Fujm2mE8enNwlwhOEwRxIMs
R4JpgJrE310g/mNNLReDMAOpbDU08qwW4zD0uZgBhTB/DOjZd/biK84Wh/E8LmZjb/EdL8q6FW20
/gZ+0nkwslBu2LyHux6jQLQuF+ty9dvF7C+GZgK+tdpAhIq3U2/PD3JxPQOsx//sjQD9Rwd6CVFp
txyGy57Ehv5VxKLCzV/GbHpCxE8yiJKzoZxpJYgShhIQ8CdBnPTNlQ0zc11IDYm8wYON6SylvCK2
LVkc2sPi1cYQau1iYfqbGA/Wqunc8C5ePN2ehz889JvnBLTXDY74oSmd+V5TMayrUZ5Ez23NZNke
j0lYUNxrr3pIC9vYWr8d5P5iJicvUN0Vi8HcXqzmiYnp3PBo3nvd6KP/245eYoJCBFqj6KRlcEZl
3lF30kLjX49YcV2mxdPO4Wle256PmzFfvAYe6nAo1MEmcrR5nGvrk1m7d1VuXR7txSJftL3Hvhzb
/Fgq4AV8yPtmMdSHiXo2pJqgCtpO90STNX0VpsKBZ0g2pikFNUl4DL+bxZlPB8IaKRHZXvYjwPSQ
g9y05+6cxP34Uuamu6tVGa09JJZ35lgaDHY5iIKFAxBi6X13KjM+QMvL1wZMQobdhMgxLxHeOw/B
+YDezviyFtT9uJAGJs/tf6UhOzoX392tJf9vrUhepIgyv0dzEW1rQqFQgw7s4obWIKo6rON3e466
S1Pkt5ap6CkOSCyAq0885qJrnhf4gV4wCOYCRGjBQtSrrg9n1v9eQzolnSQVqr+B6Dlsehm7X9Ey
2dFQFgjOGtYZZ2YOClwTZe4J4xIbzEEqJfSb+o1oWGAN3oJt6JzKe0d1wL3heGozC5Z5VpKNd+UC
eYB4BWBEJO5HtiAg/AUGYYVlScxjZX3XReQyZ51faB/Ctb0gJPBhQJMwDZbIqCPGDdmEuBCD/DZD
n6B6MFdB41jeNjMXOkVpi2Ajk+FRg215Q1xdrNMe1dy08CxSkuvLlVFH+tWMPJj3C/Qiwnfpc4KC
wuDcNNZtZ15a0JO3ee4f+igh8iI383O/cDQE195zOtnFKWTgwC2xEDss/FtkLaO6MG4Z02N65aZC
TOeE0dpdEB0Joay7yAe52Do92eB+eElpH/eV1/bHZTTKSMhMNloRvsMNFe/6BQUSdTglbRrE7Uhk
4SUSDce3DvV30AtqbwAlO89DK39axIb+aEi9vYq2eWydQjzNPi7vycXyEoQ1jY+D77Mz5r3fy35b
Czm8QFbrT8IrvqcLryROZUSEG2LmgUb00M+59IgUiNpTQh/HYidybxCJq4e5xrHk8+QaVmn6aEXK
fjd0qSGwM/ZcMdod3qwkMQ7wHAQ5GEl6AjsE9B3ECrIxpg/u62iQF2r6BRHkpUOqA+ab58CP1L7v
fGLr/c5aotudnVmHXz5LgjUT3HjPfIuei8nDoa3y+RK7rj6rBQEzBC1Ei3aoECDl9QaJ0/xL1Plz
TMgETsxUPgGkELvOytjVWOG08lLnbuBU3RKQ+hG2tA3YpOL7VFUXknCmu9EbL1NouS/5gqmpF2AN
C/xhnywQm2TB2TTAmPbumDQfdCm0sEEfMF2AZyQ1QS6g9D+0xblCCoC1w38PBY6ukVyY70Yv2Fpg
JIAIAkYnCHDEs8o+j90ZurfLbKkq2OfnVbSOfeAYsSnzl9TwyieKquxc1gumRyzEnuQ3vIesHGsf
yEhdiTrYFZ6j9v5C+tEL86eENbIHEVTszNiOLjItOXbgTR0iukYmdWCJHhhoAdlyc8auPsATghcE
2zf9gYQhXVeyEWpPez/fK7ZAsFUa61TNTbkDzjJ+738jiqCVUqT8BhdlcPjKlcf+g4ioefxZYvD8
8FDwmwvnqIiCcMMv8qvoi3qXMqeAf1waDSxh018XaYZTcG7wZQCDLtKVRdzvnRpt9jEZLjQ9FAg5
DDf6DLvG3rDt0jzSvAYmQrCsb7L0nrp33SG42mnbm3dmqHiC6hBu4YJv4iGsQEP75iF0DPMXpAax
6hbOU9+x1oBnEG2tBQBF6QFiFyaUkDNOW6grjH7Cdln92enR5KP+ACIbHYgYCbfyN1KKNUTGSq1v
1+ws2k39F+7UgqCqY3Nx/aJ7WyWz+SgVDyQAxVF6tXRn/SRIMse3gWAWFzIpYPgmd2E556X1RI5Z
j5IsHPy4+ollBXLQqijzoHiWY5xl7ikUfpKdu9EPqmcNcWaNu+9zRHVBdi+VMtotz5rR++ZwGtel
XmCRQZKBIgS4vTHAOS1pI9P4pTwVf2oEmitqBPGN76k+oJ6TWWsP6sggcUTCP/jjxmz95NSDXLyr
FV9dtV717nDnoWdrdryigVSQAUbPiGifSKHIhVVj+dmEpnVXJaOPzsuauYNZ519l7z3P2IlXNVuv
TzdXSNPIXAbIIwK9ZRPQ3JrFGJt6OGiMQhWPpsYSQnLSxBA21v3Bzcmo4TQgUbFm+l3hiGFJ3RaL
fI2MoyZ3tzIX9tksWxw0ZkMJIMCCshAaN8IjbQrzP69nZqp6GZPBfcN8jYG6TRQD6tYyyJg2c/Cd
vHM37fj4HfNuetcivI9Sn7fVzIPxiSVatBnSKAnXHU7Xu0lF9jrtcMc3DkkkqxbBX48TUvn3Pk9h
luDsNo5pa7H2bhV8jbFI0+cIkel7R+lJz0TULElp0VMh5nYHsaC+w8OT7tFf030JwqmvRjjoBg3X
OGw9+MlH4mnrpzAszA5oLl/as1g7Zm1T3rooaFaAMevXJm6sb5by629lFb2GhTQvLp5puNcl9lzH
VoqM8ICJUD+YZ0lq3RP5UfB3wlCV8g5CiPtYxvV3hDksd9Q8IlYnJgXasTZxzyZz5OIiykPvPsun
/C0lAenFT3W499HTRyAVLBvW2NC9MMDRn4Nh4dS03ejcFpGCkRSVu7RheLQZm3Jmmt8JZvp1Q62z
ZMFvwljoH2gHTSp+A+9vU43TQy0XUGUZ5MmtiQjOMTEssZJZZF6tbxA6LefgyCY9ASA4pxcRD8S7
IzW+5oLOQY4eF5Np/Mj9aiYni0nvCvMifxxLoWprimx6yzgqiGUatLmGQzaTwFOxZehVuO/sIb8B
LccaNnNdoZEEvFeb0Skkpwuri802l8nqoSTmZ53SlrH6K5dC1hLNRTgU10lpiuUEQ68w1VrGXHZp
UX+rOvzx91aWtg4WYY9mDCYU1TsT9Jjo0thj3L0Srjd/oq0y9YNFQvnBi1nFJeVgTG9dOarxedYG
i1+ErzS83UNvto7ERdCTV6YwcjejPvOWNL6/qyI8CGuntSr2NP+zQH4bu6wTr3DV96Eh6+c8L8bX
P41//i8a5992iT/Z+MhLhN5BfB6jYZPpjlh8qX+aqah61GnuWPqK91NsjICEJMsm5YFocANTRxh9
2IWzH1L75GRiZ7jNTsTW1pc4K/oZMhd8j8HYB3O6waC7/9e/3CLp+S+/GwmC1uJVRYz9T/LwwkJI
aoa2virVXKWiVgwPyXD9918ERdESW4JSXv7zG4BpaqTpHfQ1sTHW8Y9n5LtSVrvfL/OfkeR/O5L0
lxzQfzGSzPOkrJL2zy4Gix6Yb/qbEk3+wVrbxiIgUKcwffy7Ei2w/hDIr0hKRD+9MKQwOPydhYNW
LMA+i3uWn7dME3mUdfH/+h8OLitPgn5CUAYJBzH3vzOX9NzF9fSn6xQEjk02CPcRYjkmhsEyt/zT
PZR4CeMbq41PY426hu0o8SpQ0LyzqiWjHoJW3I3bs9xQWU1AYBcKHlDm4At2qi0N5KGxijBc+1Xu
neZZuuEWRCkBTp1pjo9s7At3b4FeNB6zIG3e6pKKGsiLE+HYDxe+4gAbkkqZoL8VOaW9veqRaCPO
qnrvEqSw91etbubjbM2duyrTCjBeLp1mO6B3jdeOJk2rbUPFBsc36h9BOsmfv4UanR+Q9DLjr1iB
V+7a9eRjlthYDJrsS2B3MPCCwrvTLsKbYuixQdrGTrYWj2MKOdgQ+CCTJ5Wm0yMRe921iezitqiO
yq0cKwMKnD9GYlUKM6LbS9UtFwqNTgRYmyfydIi0F5xszB9njt09S0TAfbALKtj+aHPsNs54MzVs
l80owhp+jLTf8oCVXOI0+RN0U1gJsfsRDZO6B9QVEDbnOA+9nS7Q18ndxJb9EHtzuxGlJ7cGmEqs
9kb+4Egjv8InuAmTmlbkOZJsNcr4pxfaau/KylkzwSJMuyjy30ltt6HhUEfNm0R3lJ3uVcclPmJq
kP5iIrG2q+oaqqb4lQ5eQFKEizJRJP6aQVh7w4HzU4RsrazQCtfEIGCjJUpnRX78W4Dyb9UwoYTA
Lk6DrlhSQs9/SvGU3ZwxGM+Okvohac36UWXxj9R24u+i8vSGh8aZ0dS0Ef1ia7ZDhN2eMh6Haiye
8iZD0pyRo2M7GZENvCNI2rPHJk+7qzFiVYP3376w7cES19oj0XAt+RujAL4h+E2NUUcbcwij5xlC
WbHK/QXunpYVnTY4e3QTSiERjmvzNJn9Z87Xk3Dp5o9yKMGqo2sMbjIR6pFkMPjgTZgyfo/m+eqi
rl+niidKZo4Vesu+vJk2V7T0+u5iZ657xrqwwidN1ACX/V01OvM7c0CRbI2ui8HpYtZVLhEpNPuD
u6mJpdtTuBPNUfdnzwnakxl7dwP8c7R5HomXdeVjNU9H6q4yHzJqRLTicISLVR8iJvTm7tXgiYBO
4eaje9uF8uwOC8anLlFD9OlD7DT3BlIza2oC0vLcG7VHvsWd9LNVUh6LtHqdHHQ2LEQ/Ctnkuwyg
+YSh14amxPQJ6c85nz6NiDV7ZXUKNJz55vYBgqApCA9KD8adhrC3DXsVbVLTfecwbO9tVYw7g6k4
8J1IgAdv3VfXAxU3EkfI4LIxWdoTbpoaJ0nJtgoT+32QYb3tZdHsc8SIFL6nuUsuHbiTFeyd1YRW
rgxpIRD1Ylt0C+zrKVR1rZJdptNx7VIK3bDl54/KF9FxSHmb4dQ5xyDwxsdizOd92WU2SS0K3no2
enduM5ymxtHHZgIUtGEAqR+1270i+DEORj1B7AHjTpwD/QuWEDRIhpsHm9qiL36YsBEUF12BfW/8
H1Vdia3nzcFzSlW4c23MRrGfhA+T4yf37Lu/ly4KfFGjJ5oT67unBgjMcWN2H23Dn7zA/jaNyu1z
lOMVNW3BJW1GOf5sN6e+i/OHiWMXC/1Cx6twUK9lOX3MfZCwmeV8ZuffXZJpnD6CCUPICrNr/VQ3
CKdMsgcwPxX3FQJBwsAC6tKHSIRotxQ9EdsSl2IvFzD82zmtjiqD4EqR2OUb0gyCW5fKX6pifove
38KM5OcMFXyCKAA90VYBxi4qFP1J0Y80zr1g2K8Sz9hZM+mLvt0VuymuR27xknHm2L/G+dRaLiaT
sjtBGYt7ni1G/TMzUuJEY8wXYF5imvL7rCG9cwVExj9kPQOQy+g23uPIA/vJaUJukUxz6TGpGsS3
FiDwKcb3hRkALfKPjqs/gc2NNWVNHKJ0ibxQ8lbnhk+TwI79VGFQO9VTCAMgSMsI2GF3nBInuo/z
Pn/ycfLIFbptuSfthws3mHX8ruDAbQfbLQ4WAPLvPlV/ALeQbTZ66M69RE5DPpB0FeOwWffhcVB0
utoZBvxc44w+gKP9V5m5lObEyum7bmjbh2m0gb8Rc0bzDHWI/MRUoIleuePcv5mhU3+vGzN555mM
BFYX/R3SleI+HETwyxzjfsbIHzo3Y8iGN4McgmthgtOiQYHy6nifogxguCaxU/d4rgZkDgGNjqiG
Y8Fpu26pH6bNlDfLejHkXWRQF/uv/TCJC6Op/NNIzRTxRW/jQfFUoh/D2vVeeY4EW8XeY9ez4gSR
KsmrXCP3iaNjQ3bAz4yuxuUwitA4AXp4GCVND9q/2HhIwO2ple0UzXs6hdnVyVUUcRV3rlzjAprR
vtfZp9vV2Q0ZwRPcIThJAGHCIwurAskdkbsbhZ35HkNWHa5b3WJys1sWCtvJDsw7lcf6XehJf4V+
XH/4+DV3pZHS4BpREAWrsZ6MU0PI8UMpOG9gtjXGT9ec2nuiQqAROYbfHlDoq+YgDa0+gmgs/fU0
h/1RWZ2DhDxJMRsGskjfaviu7sqvnA70L9s33E5Ojd5M5UfuuYQW2zZxM04uHT6/ebB1ZGO+h0EX
utsyMTMISYNBbFPuJrcQx+aeRZaEr9WDIEHTjCjJiRn4Cmtgw5TZ8jLprj5ZRPFgs3TNzTRADctt
LjiZq3k9olOFf4ukzUthd4kYfNHKatWj1bfdpmUTfoH6gDJCItrYjDJVx1a6BKQUedm8Z03aMSyM
erL1+rGtvmUTAvBt59J5ko9Tz18eBdRdaLJ9cmzvhxvFwYuMy+J7FbXVDs7YkG844kNSnYBBGGsd
ZJyILGZNUuJNeRfMrvwYRJOjWlNobO1IgPCanMn5ITV74i60nNcAwRURGYUzAmRvWH2WFZytyB/5
zww0qX9IySy9+VlYD+vRjq3vQ4B3XpVCfdCdd48iQEWHz84233vMTyALTd1zLZltv0K6bn0SuVvD
xC68yDihQQm/ITwpX1AUei2Q7Hg89y25tkNqGPEGfxHrcpQrxzTKHmDjJ9/qUl6jacCKUQDQ8A2Y
Hz3LpakL8MgHJuiuxYIewGdljKZsUqSpDX0rknsYh1gDBbm+PwjktWGzVCp6JVcPdjn5zQyXLcOx
prXVJuYeT2Z0bUlw3Wp7Do82COz97IpuMysnB3Zi9heLDaDXN8VXjIORzL/ek18eTi4Ea0iUNxng
1ZcIVcIPz63C3VDBlFvxacLEUo3b38X2CPWDMgutaigY6SQNJHggAW76qZCHldAA+Jcy4pyjxQHm
z9roLQ/H/JkBWbw3FypcY/1v9s5jO3Lk0LZfhF7wZppIpKdn0dQEi0U24W3ABPD1d0eq+6ql956e
NNdEkxZZVWQmMuKYfeLx0uPpoMIWrn8u+ioIE50zYjVDtV8rTbBC1FGwzAIIBIwOFG/Ch6O9wTfG
BUgzh+xr25puhCu6ngvNaE+zaxsX/oXlxbSz7DNes4H2xjAwPt5NuySw6mNXJtbWLNbXdsHSDhne
6z8SDJp7q+swx/SsP/73lvxv1bVsn37Uv7ol11/ZP62QcElWX/PnJdn+zQugu3osHRHg8dBS/mxr
+b8RyuMEZgGMVZfdv2R3jN88dkbgLoEHsN1rAf/PO7L3m8d/UF/2x9X6P7kjI6f8H3dk2CR8NyAE
puubJnf4v96RR25r2ZpK7Rhbq9xaXVl+UFAkwjsCrms3KeHrabOIZQ3FqE1zWCRQId20r25WN2bm
xwA9AnUym+i2GxDkaSf8DPQckE7CUA6htFGrtrKJeQ3Xa/2zcmLrSJXMvCO/61K04oZ2Q7LGX2EC
Vpg/8IhcOiP+E/sT5SObVdOdPn1UTc97hovlC/vm/XtTZJPGunZZr1xIWvlBaqaSm0xoy8rpOqEG
JZmskHTgvaSIWrcrfqW8ixNCCxVAv4UpZMKJTCEyEyB5ApTBeKNqXUyQEQvHlekZbInKBl5b2FuM
aNByyq19xx4kARb2+i4s3k5+xAdWRnupZjCCsAWjfa1o2/dmYKN+FIsejlbJPFYg5k+cwPrdHjKH
c62fLGdsqe5hafPkw0xNbsZUPDcVaWs+oGB98slJ7s+fb1dHNvdooQ11LR8S1mapZm9fyqy49a1K
PtilBYZhGbaLaI4ehXYyN1wTp3rsN6697Gcz8+4peQSsplnVpwRkyHGs8u/Bf+NagAd7shYC05Bq
RWTPi3WI19YoN7WGo+cMTDLloEnPPoNw8XEVRnea1jIlQ5k4QYJV0HkX9izMOuy1pXyxqnZ8GtlD
2uSjMa+bsZiMN9bq4rdBwz5rZ6eL6jrQLvNKZneoudg3hPhDCBIrM5XG+FoWS9uxRFr1lznuuzNG
1PQdEH7JAU0OWrEVJQ7kZNdl1BL6yKHbBFhpBubNDddZZlhADxcf3TXUKiS5fqiPCL8mY1Q/87ws
y3AGBNBuis5KAJixJnVAUsoe07awXs2kyh6C1eFPs3SvfzKIFu/GLrXPhplzSUjhBhy4CpNEXUh7
m8PUHebFmB6TtCpDt8rlu1Yn/QkSavA7gQ2v37k6Nv3GsGY/g+/aBY8IP2DXKAw22lueWO59amfc
mCaf1uImEGvxabeNFShGMIOSOjjLwMHo7Sqjfub3WNBLEOm9J3NxI1jyO3l0SILIaGYSTHFtkxZZ
kmrLy7V59q1Ov0v6AVSr1vHfjSaxGTawR8bDmqq9zZFT6WbPFe/yN1kbOa3t8m8d7kJiJNA6+Vux
u6mNZGB1JpiW3CUyEbCWdalRweqBw6c2QE+dCSLF06rHj8s8WcspddL80M3uvcEUDDd/j31ci8vZ
YjMtIkvePZGAL/0ex1i7RhlzevJGknVh0ZoNaRXhPI2jQ3p4yYwhVMgx6gqZfmtzvb4MxNb2dpc7
G9EIejfw0kAbwRryLfIuPe+Xx1iQhWK1cCp/yOt1FaFCz++ZRVu5x9otl/knexV06UpEjNoB9sWa
yTz2LzZH6Aet8IMCo4UbssVVeUpq96ZRt+dK3aNLdaNux2p5QKUwj3AGOkDQ3Lz9RZQPc28RP/rj
Xk4b1QrKCKwwG45c3yt1jze69BayMnogN3ydq/6Un7CZ+E6W1u1HpQYEyAKu0gcchIKcTRlGFPSN
AWKUb6PUBKUrpCRGj7HSGgylOgAyF3cZQkSgFAmKqZjtSqXIVyPGy1ajbEgYtdIygJfwHli+ejGd
h5WfYTzo5/wqgBhBoe90kf6QV3UEmcT3FvQShBO6HGWE3veoK00lRlzh2nfnznl+PyC7YA9hLi5n
EJ3AM/TmacqsalNJbwhnJdzoczFtzauaQzTIP3gpoXTSJiV+mlC6DwpQRwLp1FviPChxaAn8aW8q
wcgQkEY3NlNfZJSL9NQnHkQHEAjrOxacuAnkbO9cAvYmL6Ozq2QpPenhAVylKtk1ewgE2p4ZZ15N
WFS3y1XdEo0xbXwleXXLEjxiVGGXEWQpHyB8z3du0H95TaqfiiwxzmsVdJEmMJ/C1pGGeszS09v4
vPyeoY8kW8dwmm2n5LhVCXPs/C23pRLrlsnof6wFHCfNIWtiBtmDA4mVtwQyX4/qhZKC9EcgqXqa
yjh+cJQwSGqTZkPDeJDFryng7rEtlJBYyvgjVdKiqURGU8mNmRIeXSVBjkqMHCz3JJQ8KUdeOrmm
vzpKunSUiJlC4QDQzt/ULLzPmavFo68FXriOctlZzCzuoF6V366I69t1joQSS+fBRjftlYTKM0a7
5MxH4fymVfdIsbbcAvkozpYSYB0lxQZSpJ/2VZ8NGgFkuxgfeRGWt0Gjl/e5o2xEJe1mSuQ1DP3e
o/60VXLnsVJScOlbwZYpIOTh2fjpTD3nY8YKnyolIgM8MV/heXQ7cdWYeRwqvZmQT0iqut4tVz0a
TNreUBK1hrR7csS80NPL5NEd+IiUxeoeNfi1xt8oaP91k/6/blLgc7L8F25SM3/8o5N0/YI/DsmB
/pvheB4n5384IQfub0R5FA0XvI1nglz6u4tkYTC5rIoDYArUARkP8o8TMosKwA84c8MJVtA9vuo/
YGHZ1j8BDqD0MUECvNXChsRPshQQ6i8u0lINw1R7mX/Su0qetVy0gPPN4lFaTvFV1dN6pMKCfkOM
Ai2nuMo6V4HnqvXANtLuuf+iAHHtn+5ta4hfipW397lTYlEK9iQ5Nlc1J655/ofdVVqCGhpx2fRe
FmeAKEK1Hkcfpnl8QhMpvyYlUk3d6L+kVNEQz64q1nBVtGolbqHVHFMldxFAK6P8qoG5Vz0Morj7
Rd+4/L1GLUtKZLM8kBOUmc5+RPBDVRunNv4elNSWaNNNQSALpaLO8vdVSXLQOadXmUBfMReRftM1
R7cLEofSfC+9+5Z4Mkf+xRK80xN5s3q9MRM8tJdvr9K0h6bOSXp5U5XcTpoJ5PSqGSaocVh0jWVf
zDQvcjLqq4FeNRMGW4EGHko3FhHl1PSdGQFauZZf+XuhfL8NZlf5tBhpeseJAX1vbJJDNpfJnkKg
f4KZOO31hh3g7VpV7lOVJist+jotPaYD0QFQ980RfZl8O8UAuwm+FkMnbQ8CxiMbXk4YFEE/hGZc
dCemlsGJC8Ndwbk0dP86GZx7CjpXZ7GmXNT6tzbndT74J298nLyqOyRLys62pgtuIbE/hEFWlQ00
Lbd96sp5OBmej45oSn44QUlPWGvr8s4gGKWzj7Xmd5m7NHTVSCO+lSO1WEb0Bh/zrSESka5qay1O
vIBjp8vQYUKzjmWIur8jRIowIllh2JAuJfE3szjIXp8YTkNeQR91U5nc+0P7Lfgu40Ef1i6DqG41
3wwBlvYGekU5MzG1QlPqOXYcYsg7L/Eo8+Nk1V20BktuHSloTB+tEXCpmHukIdSoXaBZPXvpVmft
jCbg4iWZm75bB5HkL51OS356WDU/o1loAO8Y9oDMsscZ7P09YfXFKL/47ZqzzQAF2CNI23ZNYuyi
r/3SwFxw2TC8TeBDbSujIXxiDxORIyA8/qL2wnz+DCqm27xcn2wBp4zFYsMJB8OY6gMEKtWARqfD
EXOZ9TC9EwJ2sRNVUfH2tvpwaUgJM5K28WqkGmDQDUCltmIHwYh3eVooej+rFJTMaWQlFivVhXE2
h4D8lm54DI7Yj2QaDuWsO5e1teNw0XuUfb1eDq7s+LmPUpLTnewl3tZ+zyvQrjv9VsMLdbdCjNB0
+5gEJY3Dk1n1VZRh/R6xFefLaEEzmWln7DsH24Ns/9qdXdGNJ/KK1SNUK5tdgMZ19m4O0kwLxMOa
8sYsmvybNtwPQ6MBUfrFl9839jZ33XTTZLl41kazvC1n6YWiRqnKpGM8sQnBU8snTce9BPtEd7Ga
iN6x9DcnfogZQDRuLO6JUL4ENni4BODTRmuYthySR5cUMQwCIw9jyr1hnumTs+H+6R9APxH8LVz1
027mZzqr6VbHUzt6DWA6s3RJapu5+ei2St8tV7Yc7N45kvSvIpc+E/MPthhvHM6pUSdzMqikwF6t
0rbfvMrJtylzpxjGKXejcfCe0VjGczu7peQhJXimcExB8c+cWPvUV9kgchTJeqcXDK1Q6M7v14ln
Y0EY7dCstn0YWYy8zIYWyCgRidzF5gqOs9arcBZOEhKj626rEdIFZG0lAZofusudhjj0BD6pWsld
dkNEph8cgsUP5WHmAh3FK7Ymgd2Sn7Zp5bxROYQFn1m28CHiWxMeUyYHGaZcCy8ZLtpdLnxCYTp7
N1NdrFxETD3S/bbe5rY37nrhV2/cRvz7dEhQ3RN+/W85/SbTGYk7s956Z0xjht2R6M90V8pvsdjD
uweq68mDkv3AmEkSLXiku5KSyM20DszQ6LaA4YCyEcERKnnoptn4lNkWPYxUWB+W4CVtWR2zj2ZX
3/hGK6gjOsadEE7BYB16hqjm5SkxKkVV1YzsdpgCTuZc1i7CITakp04eTrkoSCb6PDLL5M4IRH7I
YKLQBRk9n2K07+ExWckW/gFSSTyk60kv23THtHdFPKiMf6SkXFP27h3xk+NfBjVDm7KLORXiQJ29
o6dqyF/VMBbharXrszVZiOZx7vW0ZLMBpGEnfhB1Ny8rwuwF4ZwicunqOa+3Ln103NF4oqVlQsnJ
W5hBHT4xPez0te1aAYfAlfepaNRqg3ra84kuP9KCZLWVqtmZkVobZq1FStK0V5g043By+uFhGCkw
cz+3jGF40ztXHW4XrjCF/rYAOKoPtEb67NXmLgC4Y2jckU+iQmeKdG1Ajm9qEvLRaFA7YYREQmLR
5frlD+wixsXCNbjPeASndApBNPZzvEnSZdzPevU8S9nts4KJc16k8ZFfZbkd67p8sJSSxMroaUw0
YHZun4X/1ZH/LR2ZI+q/5MWewc6On8XyD2fkv33Rn0Kyor8GBp0MdaRVYvGfOnLwm8PR2eaDir08
rph/PyUzO2DYZEd1naVrYsMK3vWnjuwS3gJMHSAwG6xg/2enZENF/v4hakUakMyWw2E5QL01/wlA
DZM67f0VbPvE1jLZJcvwHmYjWXfWDEM/6zidTPqvXJtRATsaCXjbfgClYBoOxGimvdUZ3R4lhIr7
X64Z/5cgpWP+0/md2TX+cfSxdFOtauj/rHBL4SxOwTTb0YNi1dwFfGzc+Sutce7FsVNsgIE+ZYat
2VHWx5shQXvT2onMPB/v8Zdf18aDAKPW9VG7eJX3CqY+ucXXn4fQToXxXrHm7PZEw1rGjqm0+9vS
yWlwIGGxo0TNYtD8A9yIdWvrRU04yyhnG/Ozofja/0iXKeGNrlU5RjtIQ2IcooTV5wmkE0TYgKXZ
0VBidR5J5os6/DaYKMHsW/er4Y4/gqYtN1QQ4QsGJfWlzTjn3a9qqXTADBYV98kmUR1mNNkhw5Ld
NnZTzCr3ie5RWewo7JUlcq1FdJmdLh4KM5ZV/ALCStuD9+1PXZIb+3G0xGemp/1dUBGPA+97Jq97
aunlPHt1JsnYwovwxDhQAkink9TYlsm8FcW6RPG87WxrudRJutMy+jwIqUbzqNnBOxhP4JAZLazt
WpTpG4PorbfRR2e+0VBIH/A8Cdx46SKiOZvkBfrlkz4m4B+XMaN8GNSk0GfXSHZ+odl0eyhEBG3K
pp1DWQz9Xc/cR90v2keWLaywiv3q3plWj5IWgYXihg9hYf3IE2xDaWjZ3bp2Eccyc9cF5fy8IHFu
6hTHTQL23ZPzrXetN6RFaPTuGAoO3NGKq3pgcaGNiFJrG2vVaSHR9z1yap5Do0vcB37q3ZniYr/L
AWmdEsMKToHh+qfU0IHPxrVevrWgdJ4bj2NaNxugC4pR43IgspXAmykv1qR7X4mXujtc3i7CKaBu
Z7JpXS4TK+tZM9CKBRa6W7sZu70t2vSj4GW/scxehgOvNNi/yfyoeyRqSfROZ2cWY4T1HiCkMtlF
56mmGEBJcK0H6zFlpxgvZDU3SZ+lvKTh0cS7mQ/UJVxJQbw5fJOQgp4GEDMYI+oIxoeZ5IB+82X5
3QSCdNMRutn6UvYH8j9YRwPn7XdhLiuhNqS/o3llTTZX7uR6ZVBOVx4lpFTYlOaVU8nZCWalrvCV
LOVBskSW0p4dKRB3mXIajgGa/zloHTJIkp/jcSJ8LzaVUaaXhBPdmTwNPz2b8l5oT+rmNtFIhezF
spYf258YzzOVB4XfXOe2vgQl3Qyi+12hMO/xzlLITtPP1LsrVSTPpFRUT06IED458s8PXo0VvPeK
xj0WWM5BOq+/vGmVDGsJ+xgoZCjXN27E4IObW56E8ztcEr/ftD7Ipk11pY4WVwJpQj9sIXDVez/r
2AvGrUOKSYFUFbsUb8U+yivRlNYqdFPjSjpdrtRT6K3TsbmyUDlWcTPPuaiRrVS01EmBU7FN5ge3
h91ClwEYHNd5Ud4xydhiEbGiys1bUVh7YZCyaxWc1eVxcK5SmgME7srqJR7qDjyGNTSRBCJ0EytH
QYO9I7ae8hky5Th4jamVW2Nk+Beob3dxr+ZEr3wKgMH9DXMd6X3GxviPVvkZvnI2kmUk0NaCOeXx
zMPXEUXxmScDdkh2tUa4Srr3IltK7Y1wLeaJVD6KebVUvKu9krS928PJxnXpV6s7LZUxQ71O8dqU
OwPzrDtw0N+umqtR9VAujn41dGAD2+c0gGzozVP/5FgN1k9suOmD4ZjmazNV2aPHMrJxEL1I7omr
t8R6l6EoQ9NLxc9m0WlM2ySXHIiVgFRi5T6lXdBBejHkdDPg+2GFUrVlnQDCNgxhzo13mlReljOR
OlNLOtM3z3esIS2dd51HK87VAv6IJNDXC6kwa5cvVn7sC1NG3YyHxrNBHnPlq5F8MvgfXnQ853mT
FyjKTAE0SlNXuDyadZhzufLpjKtl5y2msu8ETh6SOae/iVP6efBd9/prO2h+eq70XuOSavGPnAwv
Eqn7mVuIz7Nvs9XGiswLnkx7zIlR3gdWCtEYa9HEnDKBEBfWndTaSx7z6F+d8pIsfozv2BwDj+yN
62hAr4yKKSEd1kDb2vnt4oBSsBut5QtWad7VvNEJrSn7k9C0HoIOMLdVuuCB9PxP5uvaz1zZp71p
ybPtdHYZCiDj77bDEtqkLFeIEt62J+W1V+eSX6WyZnmVOqwwXB1b++reQltOL4JmcIq5avVny1dm
sGOluL6GIPDNFLhGHhmTKLB2C8uidG8wjl7cfBjqqFO2MuFmHObl6jYntnKe86sLPVwdaT/1Zvb6
fGUXXT1rikP9O0CK4oW4PL8umo52Pt1pul08Lrr7VMjY2edXJ9yC8rlCFkutG3H1ypGrzbu4qLF8
hrT5uShTfVD2On4zvy/asbjumpXXPy3ClnxPTHlT2fPIQng/njLt/U4YF8HjjHeRMvWTq7/PuQuv
v2RsmauQZxYfyLHvQjOg8i2GhT+bB+0px6H0kIR8DWEIrzwNIVAB+NKarnqEojDcNipRbqtsubzG
zFViCjqVSp+PQjwmAWsaHIqcGwr5KaEA3mKXDP3X2WIYYBPMdkbE06ls3DwFJIxV4h0frfvlBx0x
eIaRgxNWAbVqNFtwE2R4A+6sKj7fqyS9fw3VBypfP1yj9i0zGjAKtNXrIKHn06UzVlJI8zWk318D
+xxP+lfzGuOfLBXpJ11EZvYa9Nd5DcRRoPL/U94reDMYge4AwsCWWznHKX02Io+EZEvLf5KqT8CY
INUCW7UM/L7gQZsGqmvauGV+06dLIRna8iqsV1++9PDVHrGGvZ8d9Kx94+LVbgrwAZ+2Eat4ltfV
+070yLlaUukM7BorHxkdiGjmTVrj3iSKWZ38lpJ6MnrwJmrdzsJST/Rj6+elHoJe1zbCGuH6SXxs
azi7/mIiW/73WvfvXOsseDdcxP7ftsfz72RP/nqn++Mr/vQ9lIsRmFZgqN6LB+Pxf291ho75YYE1
hQLDrDrb0f/rfVCTsQOX/2S6tq1zv/t7g8Z02JnjZAshWqeZS6roP/E+gAsRXPrrvc7gvmlTxfHU
zckll6suV38xP/RB0+iNNjqwN7N/nTSbd3C5fPoSuXA1tC5KNY4UEsLiozf7N0K00xuzyN1T22hP
nd6L07igMXa+t97Y8GchyVhuvJ+anCVP3NOP0aMGw2K1DqTG51i4cRwzEfe15zAWbNuA3LgG1ZRz
qcn0vnkb2MAPfoiSYgMckmJtYN4UjNne+G2vU73Wp5miMOS4aaio2qDWcyZeE869m3bu++5H6dcD
EiKkk9IA/CBdfEyTUGrkpahdu7Sk8XkabDC4GKd14YOhkybecJTh2Bsnr1nMF3tBfEZkaowGWdmO
pY9i6S3OccwaB4ZbsWRe/hwvmjayW+QVU7dNAfJ95HXsfyVuTqxmNYUUXdRzLaOT7AsWYp/Y2EBe
GvgriD1DTubZ1y3yiqMbpFD11AL2PHA43k0MRkwRWhQDmGQ4ma5t2ndZZwONj9oaDjR5/GjWfed9
AWWHmpikB8jBT3g9Lb+sMb/poKoecnN+yZvM2jPNx3GyCpID1z9gZF2VpK/4BghEC31Qz5c3jd2f
03kcX0WCqzyWqF6VTBPAS8AGpsT9HEhZYBDP72sOXdFk1qCQ1jGRxYucBtyjwMhP2HW/kqzpIwrc
I+SFkXzrqlX7kR+pBvln43jtjKeTeoTn6z3jWY/Tmr24pfndINOdV9FgJBXJLZI2W0rj8N5U4sSj
uj4UA+sLzKjx+VyB/ltaSl6tbuz6bmVRtWo2OHYvLRDj7dhrLL1W0+9uRqajctf4fg4alwI7iwnB
CFJVWPG2WMZib0+2wR1zujNzy92SZFdHl5gZFLKbFwLP/Y1PzSlCmNbRrgGP13J1NqNG8H4Vnf8r
G81pDwEi+0UWW55kvyyklhztEYFWFb6S35nFaO4cbXhyhoy+QrWUMKUgqdRZmx2YXnRVDA/UTrM4
QK6ccTf4jn3kuZDuej49dknl2KGTagE3kvn3ximq45CyUhjz7NgQN8jqEOjyL1y1JpycuoqSpMer
0yvWtRsEBlGjZDocizeOjk1oaIRTfFM+G06t88FdvGglsa+1njeVaMkPDNqrs8RggKAtntLOYbyi
tbNva3T6n+PqMehOpK9A3tiIqaOJz2RuAWiqwEFz1Xbv2Pvd1rJX7ZsLa22ReqJcuGnogDK0kU/Q
7paKxo9Z6CNexjR7T6VdtPeQzIBBdXGf3ba+6XIry0B24o+J0CjH/Fm4FQKpbqzJPssb81SPSV8x
6zXwp/HCKtZNPA+gWZi+1eNpuuf0aITTxMsC0jOJOC6py1dHplyPiJUsp3HI6oM5EKMP9gMvLRlq
oHFl2PG3VUs68/BtdB29cPr/7c6V45h+0y8nbw7UBcSerXftfItcJt4FXSK02tSmEUKQXT8TS6/2
HG7bMO00EyR5w7+smI8e0aq9lzY8JSSh/0ZPtMix4FAjWFOjbzsrAohY7rlZg5n31zdOG8GLl7WS
QU3tg7fUq7lmbBOX0PerDotP6+zbXDeLLSew/Ayp+isWfr/NzDZ7qfqcezWiRnZj9qRTNtW44o8a
lXHfVfGPrjQLfxMgH15aIBsnIxh2lmdNFyyE9hEPXXsqbOF9mJWTbZMigAVbqUn0MUl5G88SolpM
9X63lIt+48YLjOyYsWZCZAMU37SJ+D4sD2k6LFT1rmUqw32o1snawYeVkdaV6d4rp/uScFyULeIw
G6A5kP6JX3b+6m+W2K0fUA7eGSJ3DvZUBZ+9KR48aafzRhQMEln+8OYCJ4LopWsRGaIj8A5/W4ws
2G0Gox2+48a2o1wbtDOA8BSKwGioeU/KHY1kpiTxk13MQWxDxeI2m/3ibtX06WbJSHvXy+hBs5Sc
LUXOWwvsGFUBM9ljuUtyTqYfApWiDWT0e7T8nmfwcEO3g5SNtVCfMGEB64Osj0Nhk4WZe0fdER9H
H8GFyfMiauwKQM/YBIdOyr22dJR9KPaFjSFBorhB9UkBf4p01csbDU3btqLA8KwagHmBb4rnIMuD
LRfOZcv1KNiKoTsGGpHNHiyZ7LwfVeZB/QjmkagXrNx5Abap2TidaS2h6oxMZWtF9zUV6005xOPZ
kMiEK5dPwFJefWdyMrkw6dREkIbz3ZwNMKVosR80BkjBvqlEY11noY+PvNF8/s1jAZ8VDCDPu879
ua6okTVR+Cgthp9mUxRnp43jjbFwc40tZJB2yY0LrwGxF5kN1rcovtlVCXayXX8mrbpIQ7+gL7Q4
8U3cGDHcW2BafPAnvzgaz6FeDv09bmUcpqge1Nl8kHsl1xxXTxh1cb7boPudQG65Kx0ODJO0Xyu2
fsKqEN1L6fOt1t5GpRnl8N2PNrwKQZDR5iG68biB3DdOmT+wfgGIzjfXy1QM/Bi84udYxTp2Ju8u
nlLTq780fGAMFkAmGFNTApE3h8+HKZSVv1idMsPKXJrjaFcu4FlvCYnH1jtA69XFNMw5Yn0bMLi1
/BIpRJ7JdL3NHPB3mIGbQK/v/Behg0ErLEGFrIZp4UK/G2XND6zlrw+pNX/nbV8MN+zv+s+d5/C1
lr48sSd2xBNlIqIMkoeRptE9ZYT8nd3YJ8d1YZaVya1tNuJgjX5ihTLNYQOyh8DDLEvtH9z0uUM6
CEzL4Ef2Grtm2Akv4Tc9zct27SBOswXPXlnSmFSxZO1sF37PYN2N5m7i0nbAffUOnnT8n3MhKKzo
8jNv4+GOZrOWR1zLp0PeDtYdbMWJnEAumY7UWyZnnRTSPLFXLr2OwytCrx47P3AIEOgAaHhqahwx
zNYMCdthdPaWD+tc5Am/U7L1zWZht2pPFdbhLVOzDXXoRYCpO5p8zC+J9dRmyxh6wK1oueVvgjb7
rzrpTuWcouLnTQrTMLG+6Ig5T7WbmZ9GkmtVuNpYeIjZIx7H3IDZyIo0H+lAL/JTL/2S4tYonla0
+mPMw/NmSrVyH9TuPX1XQLLe4G0nPg7kwdBWUnuTO3lf5DqqMDWFdxcMTvbq0F25QV5zEDfmMnIy
i4nHBpwTKxAevF00/cce4SALF34UtxLfg4BpTO+dhbAxodHjD9V24up/Rxqu3CdGn9OcnYcdm4Rm
1PL32g+9q+1zxM9q33ll9srTrHjlI258Ix+gPxX5gG2be9lRd2ZOvHHnnqDjQwvJNMFeAQ4msVCT
yMIZ1oYCd6b9ifV23hApAdCIKznl8a5nTb6SxjXawUD1lOjRqgPlGlY5vOr+On45NGwPPmHjM7rC
cEfhqv/RWE5f8P5r8mFrde62qBzgOJyu1hcSOhVuh0PU7zkxeMKG3JPGYLsGrUXZqCR8RY6C98OZ
ldeqinwq+j9mMIzuW1JokNFh9/DJ6hNC5o3YQ61bepfsiA1U6dYlp0lLd3ah1XnjU7nWi7EFK6rd
lLXM3uPKqXc93oK9rVZZHqmw6SqCnfgb2y40nwUlyNN6LOOHif/rQQJjPNEVeporzsYkLsZfdVXT
3049mJLDmpz7miNpWU/dsBmqqXo2UvxtMunmnvRpcckb0e1IpqVb4CRl2GpriXDVt85uNur5obSd
vt86KyEXIMJFNOXGeKF/MRKgzWv6fcR+zNaKaZJ5ed/cAaqRiDCJxIUuQt9zTQ4LVQvgECF+HE2z
FV8cNzPg9pvC62b7qRkSF5QVBzw6Er045EFaUVHI2YU7l1LRkkVuREw61z3h1ZTnqPQJYDTCtQ5D
6jqvSlMft+uctN6hL3gv/gpcP97qGrHfC7Ft8g+8hPs8YgyP2ReTSBoNC2/m6TP0zWWiUHAYGRJ8
lN3AXYDw9n4lFQ4TlYJjN/ftkQZrvh0HK7u0uZOFsTl63xWpl0+dFir8nAwC/F5W7bMA/Za9G4Y9
hhWrHjcD78eNL9bV2brC939v/DY5uGPFEdwY0FQ7fPWXNWeIB2F/taMACtZOmGL90DlYn+elhRHF
/bjx6DQ2fNvTanbDQwss9i2VNmLZbDinlUJpaFZ2uwXcwr6gkUL2TwpBpofia6h3amsNdRcfPwdu
CMR7a/F3/CE4RUaDlEG4ktiPEj7rOJx3SyTNfojG0juSHiOFxcUdslEW7PpCNz8cW9qHquhJfhc8
mcoGjp8HB2mfJda07RvHv1gZpcBNIdL5Vxlo07407TtLpsGXTpRM6cywLnViE6a5HGAqdhylxuRS
cKWVG+aqZuAzbrdrA+lE3cLwZs2LksR6nqXRDJwJSY+P8Vgy1ys402+awKsOWhZbW23mk6Se3ZrN
cEWz0HRtYYnOsnZNDMmxDjztjjDiQo0xPYyyKG9kQczfSWpWs5NZu5bE09/b1rVv4jjLeNB2lJob
1hoLwYN/xP5cSCmHYJmqqC+GiQ+deXlIBz24nSTybU4T5VBQUCR9pPPAxI48gd6891HvNyiTjCqT
qP8QniqcNMj/HOw6/7bQAP3LSi8iCgw2aM/Aek9ApSCSirqCJJBW71or3jvLoxI/+Xsb91UHBDl9
QVEQtAL1lXUK0koGF0/a7A7sX3aEy3BhYGEDaZCm60ohC5EdAj97x2Yt31qfS0Tib5e1Y0WxfAOC
r15vo95E41Az1igtK3Kxwzf/w96ZLLmNbFv2V8pqjmeOxuFAmdWEBNsIRqdoJE1gEZICfefo8fW1
oMxbpYx7n+7LGr9ZZipFkKDT4eecvdfOEz88p0krX7N2Chk1IZHmzGyKLQFZDCs0cIg1V6i5rlCL
sVpaRepChhVZO8k1FswMbUsrRNA7U+/thloMmDI5b6diIEhjbf9MXluffOgpEOSGhYQPT/wYS0q0
tEuHY+GQyzUajXWPuZaOQK2/dfHUnRXu4A1TWXVGrRDE8VyfPExaPICN7GyhB7hfsjjaR0nzRr3G
UQzxKTPxJS1OgOQGIriGdn4ZOgIS6fdcbLsInzlKPSZG02yV7tRV7NrjqqTl4FjFZKkuaIBAauqg
HPqvvtlcRlSkSOGtZ0LKyBMYHGdfuyRbjNL2XuLJLDY2efMBHJthS1KDfFyqDDPGkllX5RxfJ0b5
patVe0QB+0m75rvNTrofmRyT2lGTh1lZX5iM5Cd7KJ3vzOR0gB3BDmqjeJ6UZ7/XdWEs+6j0MMHR
9eDwPdU9Aa1u8eDNHbq7irF70NVe+HUQ+Kg20zBgpfXn8aExVy5a7iHGJM1zHIFGOzMg94JMGvLA
5CHrbf+hZMPqNrUNdYSPFyr8vzruDH4JqOhEps8Wo3Oy0UhGnaMw4Kuq1SVLJelLrsPBmpjwNfcz
S8yNa4Ha2w0eLJ1dD3oZr4zrnfgH/igrvXcrsh6ctGLz8JL4jJM7O8+Shyut7W9hVvfNAQVZtAPt
6TBeSItA5tN5wRfGT92kC56W23w1pfTW2gtc4bCz36uNMt1h/U1wyktMebAkJ+GoBUFAWokexmNa
9Uc1NF8jbzmT2i22eQLnLYuMS+i3nHVyJmUp1FJggt0e+ZXaqczNz7Wk/df4gtQWjvpbTqbWNoT/
rKPh3k/b7wJ+REAAltz5qyzOQWFHY0adSodxujK6GPzqTAMRd+/taDkvaEdwq4QIpkYSVrZRbpeH
WNTEwFTMDSec1IGWfXsqu0jQuSCsRGTyez2G/n1vCNpw4Zhs42r+mkUka1jdbO8Z1yebtLPfQjmY
n0YPkqg7zaOGz1qNP2Srhk/sfUBEXAk5XKD+hAN38QRiSwYHzgUxuEGfJUmsnRZZdvTd8uJ0ebtF
dej0gZWMjOwVYzgkuiLOziS7bk0y5kCgzPUroLPqi0SqX6xBkMs3FJ8hRs85M14rt9C3SuTGMeWB
Bz5AqenoZSkhahklEgaklMFOEp01AMqdXczzG+csflpRXbwmqendMu4PL0sX99/ItHiPGA1DW0Pb
eyaEzb9fJtSyMgH7va0TMT55k+zvLCt2lhsNN5zJjSqqA13QIt74HaDKZfFdFMaJqQI3SyDeWgnZ
rMkCiCSpUao6IjRuQDvIYSt5GKArHB7nSD5xQpCfmjCqiDyeuyO/g3nnMv2muPKeCYdih49L61OE
znDLBI58rjZ8LaAVb1M0JFtTWVYS5BTpxtVocai5zkloAdYyMD11/G7aAwquyHpI3P7slOw/G7cD
93eIwnFam0Q5I0d6YZxpCtck9nABjA7wqZZb5Vb6WddOc9U0mB8BKymfQFJBjw+7KFpi9oUvbjX5
9s2IE/1x4AXcwGv65aXPSIXnZxzSNKJBTeQ9GYEXu6/J5mH1AJatx+4wNmWCLBkzG0EmzNs73Uec
mIArbEwL5gyP+fUkxC7zpchcUkl07PHT7tPuSORItWmMCcdl6zkekHcjH7aOZ0+fZF93NJ/gRLqA
O6Fj15bhP8PWib5LQtMQ1kdhNAX01MhjYy4GrZQf2m5pyKPjQE/hDc6AkfckijoY7Pp95Hi9Y0Rw
Pxsc65fWFecaU38g637E1Bk29xOKzBc8nSWkSocNe9HSvGubCh9B3gzeQ4vIkhOvjqq7HD3oi+Ek
/dmOG/oyBcaAi56N7iWrDXEjEKkerNpDHNwPrX3PkFIxjQ8pX7D4+1fAEKy3OU+yc9d6wyfLsmmG
TmAHEgCTbKubQnqlxZkR9mYiW6hNilnmHPQjXcGNrX1ApnT4O54nAJjzqxTwCKBdl1AeXRfgGDrg
A8GUtXeEnGDCdOfa2tm0oR6ZQEZnBL7ZFkDT/J4jm/gSmi0HtQUCDbIJU9/Evo+xMkqT5qXH1rUf
DZ66EXpaHvbQIil2kp2I2vRQGyOURFqjVzqc1GkYRberWze7Jo2PzK5MmeK6WqrxiWRqkmRIVy4C
Er6draudkO2kg+KSNfWNnEfvWMRmtGuHBQFJS6CXXWesEkOP3cXLC/sz3VuDh9hYPwrOd9e6asZ9
33H6p52p6NIY8cMcp8MWlBlYJ2YZ26hui0vf+d+MwTR3bE4hzEaQD3i6zYs/8NOwUyveJY19qmLT
uysndzqNRCSeXUNBZXPDPHAIt2bR4Gaj36zPbYyv29AquwY598bI1dwNId7E1JtfCRaKtxZZA1tm
r7QVzZDYwkbPz0Zih3s8K/GuthabCAvHO8RD3W4H1AcQQyt6NlVWokTwPQA09kS8i4kcqZMVZ1ks
Cl+SnMA8SoXlOOsJo4gy2/7OUxV9YBN/R1DKlYw5yRg5dszDJpUZsTQZJpJrcJLBKBnf0GM1OWlU
8d7MPAIbcSzKbOG/i/C+hft/O2Kf3qBwfvZb67O9uhCkUe7QZi8BnZJXv9QuencGHuMYE/lk5CIA
rlntLTNzjqNTHJwofVg85D6VI+XWR+wFE3a5ReJtb/K0eanbJr1zo/4YGhZIqKY7DIszfDUmxiCW
bXy2BRHpYuGEPDVGcqiRI5Ht0L8Wftrcj31zT7pwPm9EhcFkY66FYJwbtzj7CKYQVnyCIWldO4Px
3TFUf6msUjPgh3uSMAaj0eM7n0lEJz0Bv+9Qo3fRefPy32Pr/8rYmu6HZ/9ubH1d9cwDP3It/vhb
/5Aje/+BR4wRHAa8nyY7Jsd/CpJ9h7AaRjZSea5pW8yv/9/o2v4PBLgWMS8epj6aML+MrnlBH5U0
s2ZARSj6zL8zurY/CJJNE10Klj1shQicFR6vvw6uk1mPPccCfZLoLbwgTQ3zQdAnIpArqfdVk3oA
sWsl3lpDhY8q9sFrF2V4NnQCdRHZGn4+ZV5Xwi0PtAsoAgYzx+vrZcajVzM/UzHDk10lOn9rYqm9
NUuj/5Fq6BjMRfNnh5J/VxceB8K4CDEGOQCVCb6k2G6wGJmR0OOhowY4Ip9xP/VlP/0bgOpKiP1F
ks0dcBwUz8zv4fWS9LP++S+je4bDGn11XZ9QSE53uOf8A1I7nxNmt34u3vcvS+RfKa3/xfV8WyBi
wHjJo+IDScQyMM1FWVafRkPbmynK39DqDVvC2v90EXyb/lf0o/oXV2KRfPxkyrZM5ZHPgyLe/vDJ
FgwVC6K0HOMlkmUL1RF1EQh3om2STwDCnQOPlvDhb388Be4UmTuLiak/uo+/3E5hAQtANHnqXWQ8
G2P1ZtN6VzLoJ0lGzN+/GocWF0qqB2V3Rav+erXI98akLFLSIMQos0upi2U/uRgpb/vcf/z9tcwP
nNR1pcAt5yLKBpWKC/evF5sA68eEGCWnJp5yzGcxEvSgaYoq8LSJMZIEo9seFfr12GbDEUZpV+9I
8m3/9meWq2pFgSVds3XUh6+V6lLNRY/QsemzgjKinVsyacPw0Xdr2Ae//9D/vIakMFcRpyeRHTgf
DQsafbdNpzsFa7Ys95Wn2wCtS/8DOFcWn+Y2wUimSoI8/81112Xy11+lFMo1TfTdLk4O8WFfyqJ0
TCK3Tk/l2AxIJ/g2R7sfR0b+CFp+/xk/XMth2IPP0Mf+wddrilVd9OsichJjNIfYT04JMnS4BDNt
qFro+SoiLvTp99daX+uXz/XzWpLEJ8cBWO1I88OXlxYd0lokh6dlXkYzqBC5nfPEHszg99f56OZY
PxPefUzfbDIsV+uvn4kRYKupfhLCQAgkR4SHDHbjzJy+w8GWn+IkoYKZYJ4Abcf3QLIsYpbL79/D
h7WzflbcrGx0EIwtlzSOv74HNMVZ0qDYOIUDfQbaCw0y+cWILqE9F+cq8mRASTj/m/385y38cIst
tiB45nCVLQDKHy4buYgSQwYvMajPF526xRnJ1nxTp2V80HbNEb4zKoZk4zxFahuO/TycaKtO3zF7
N/pbjS/7TAg0LBBhEMsCNPAcLqlx//u786/e56pq87Er+Xjm3Q+3J5M29a4yjKOwlfs2z72jt0OT
+3xFuTu6R3iEeDzm1FDAfasxu9BNBPZuk3R56rPKuYJhF57AH9k3vuG2ak9OVJWCnPPVcPj9e/3n
VesJ7iYaO8mJxP34VoVPkiOTz4SQHEGsaBZ5FKZEeXW731/nn3+JHkK9dXMDm8MP5MMOmxgWNwVx
zakaq+XeTxbS1GnVyqu8deSn31/r43bO8vQEFG2Lp6PE4rUaz3792c9eS0NwStnOSZ0NIi8cAtoY
/RboToZ7tY62Ne3vK7Of1BejKKMDStzu39xYU8j1l/jX5erZTKQEZDG+6J8Cxl/fRq5rw+KXER5V
P+r5pH5KSjp/sutT1NfLvWG74k3GIcEI5HYwRq7jNOKfYZ9uyK2UVwS4hmca4/MdplGr31CP1Hrb
EJBH/FJWIEyIW3AIZB88LLkdvg/QaZ69OV8u0BAIQPUb7a7eVlrKhSevBgQU9TqJsx5Ii3U/uXEt
jh1EnesYCmEfEOZnkHM1Lvf0Q+2e6Vs83BZadK85NeMbQrXw0ho1hDH6guF74RmyPpdFg8O3hJdw
hI6FfjBFnEsrR+n1jFBlDj2RxnJeYwCj32jJ2k8juASaB7S1yU+CDfueD50zBgXJZTGZDGl8AQpV
EJbM1mLqIXnrYzbvqo3kO4Yoz4KNxLERFbEgWm9M/AgFR+w6hxHRUUuJN7XfPUW8Q0nr84tHn8t7
wITNeuPXH2X7rPK5PM0f495jrLxaAXr1ZQHdQ//Bjy5q/bst+mx4aJJAnyYZW4zwSW48+pU9X3jO
5M9NM4+3P29v6I7dzipjcV/bDZ3EalE5/XYzcu2zBdn3kgGDJEhpWdUDCGDZrUAMX2lmnGrrmZPx
tawyVmQlmIxs89xcjiiMuHczsS3tVgsRP5If5Lz0mq4j0ExR3q0s0NX1zOuMSBEuEEcpcBuVvGnh
kzwYaj1HRB/4OUosyUMBzJb95JUDHVPD4t4WtpW85VFh7U3mga+4I4hj5keTazrNxXIvR/wZ2y7T
050Ymuk2mZ0hDpRjJl9zt2NrAmUDVlqAJ7bXdVispHavxxW/nWOvS4KF+QE+v6Ja9gRCs5ZU0S2X
aJxR54SUXvOmo3Nyz0QRv+NK7g36uMW0nfIBMC+l4wLalQW2A8NUv8ZjJLAIeqxewn2nOx3C/Dj2
MRUD7R7j0YVIsBLZnPlCPy49Z16+8xf8JZN2pluipps9IGMTbDuZfk0byi0tNX0fdTEzfE+XV3j+
nC1IioQ5aysupl0u574R7tFWMnyMOrWrnBWq5pbZBTVvtoWYqW6LRR2yZCFwlyx0eJip/cWDE7ep
6S0IhmSoc8k1Fsa04JWxrK3pEqXtT9CJgK4SGcNdtZ79ZLhNaFOeU9PfxzG4CIAfFWljTERjA/wX
OdHoiQo+Vp55eovqJQf8Sl/Pah3cmtL5orFKXgC33TKz9zbEPU7BMHvOlgcO+dpN8uSGLnTctrau
cuh7DFPktu7K8ZD55Jpni7kyNIQb+DVT4cSPH9p4foNd+lr3Ros+rCCc2YWqYGGVOBnC+9ysaKQN
PUrmdJPHU62vra+F7ZwXohKQ6CQ3sZuAanLcx2EIr6pSRZ87ekm72Jmnc5wXbMDOekZC+XPjJrbN
xLlt7s0kb8/GQK9/WdxrxuyzV2+cAmq4jxSsQRX9A3JGfZzNig5mGQ4hI/LITs9m5VTmJjQidd3L
nDdU5Q7BWcNsLU/MTOz9NOZEk3UDMZAwMJpbDkpOHIzu6vekmf+k6zl6wmkzfporyfmhaont3BD1
PF8yRQsMWqzaOxnRp2mRaIK4abzFjV9wUU7RFx2JB0+OIwpwBK720ve79fkD7YFJZ7xN6qa4azu8
LIpfWn7CactRwMogZ+uZs0jG/LjMSrfdukIlbEWoTSMn5ImgIl8d65TSp2f9MaKay72/CCwa44AT
SddWcduK7lnlC9GL+ENvnGaBGh8BbkyDzoXluseKC2cCddy+TDN5J2D77l3VRy9dGo1Xdk9LOgnH
czr2ApYdnfmvdjqRsiRLqMqkOWjjVPo6PgM5oMlqjV57XIaChZlydqBEyI37fNZqV8ya0CB4C6Lo
hi+9w1iscyZQIW5pWo/oJNXLNC7+chAyYQjXMwYgB4LzGGG5x5oxxs1kNC6kfwyWdlXVW6NrFDlf
o3/0J/ryTJx7/aO2PG9XI7M4N519UYUjLn6ogdU7vnmN/ankCFMqCHK5f5+HTcjozA5tiv80dmhT
aPPRIFWc3iQaHL5USHwS3A8PYaAzRKU63yZEOPcKccWJJn+LupxgIc9lCTAghsUXRvIwKrD7LpwB
2L+J85RBnryLutYGbWempzBtrAt3MAlsCMHNEJqHAU3O2fDLi0v7YBsWvnWHaEUeMaXZ134ETFHX
5ACHsjGDwhurQy6Wep8vrfdKO7jcstE026EdE3vrdRU994xML1qypQWncsR+ELUhJGEx2Te98Kpb
sZA4BtYJBU3dGmm5Y3JV0VdMh/yQZ6X6IjOXJk7VRFeTIT3U0qGTn2bDn390lOPXoJP6+85BRI/2
1scJjg2bZzrSEL0aauQNFfsaYE+IQDiY1Tk3545fV1dfxrTI72pXdrdeO01Hu6EBvU18muX0NE+j
R9gl/njvqgIKf0n7EkVANBRva1g5oYwIEl+cSDZ7102zd18WpJHUCicxCDt6SWmun1Vbfy146Z1u
KlxvvlyIQ2vDZXgVOOkgMBotAcx1z1nWM0W3bWJUd04KwZM8v2QrKkzksk/Qv1vfRsMnnrOv0Wwh
MGh3ZRTNF1yn1Zsyy+G8MLkMPJ9nIL6h5TCj+w7wi3Z3phjat1Rn7NlNzlODTUBnUbcdHPLo5FMn
+lK13wB7IboTDmrS9xj9KoFzLUOvyOlKyqTOeG/cuLxMsrbQ1sr+iZiF4Q3hmvcl6n36vysmFKA2
AZb4tSTgK3RwdETKo+Ei0LaslAgUZIEvcwdURGQFQm9vlXKnzWq4XfXdnKLw6VuzCrpV+G1bTQgb
Kp9s3lU3HZ0yFRdnRC2SZyPPDByYc7HN+94lwiSr4h7pSoMWD+X42dSATQMEvhXb2UzsmMcogrRd
aYGb8lGAgGDmlJTBkWX3aRfjEZGb2PsZMUw1D4WDjWzxXC9J/62mNlpNfUwBCOd9b7SXfA2tdSnT
URKXWNUWsceWno6usMPnWVr2q2HVxrsFseA69EANynJhzlvxspMz+U9mmQwba1Xgh6sWH+edjxAz
eeJgTJZ86IItzZoH136mu48RYxXzh6j6jb54FqvMX3jGg2Igh96kXLZCeXv0+cR1rdYACEAFApqY
dqeKmZGUCAM8amzYIzgKfKwFWW7F5dZY/Qb96jyY3TXyz7D2PYYE8gj8A7W8s21Wt0IGz20deJ6t
tiDxO1ll53gaPMj0W/gyRqBClrNIJ/NqlthCFhP0Fy8cV713sGYcN8XqkEC0O31qXGJmLZSpl7Qc
3o0ad1yzYBJwh8E6JzR2dwxAp3Oi5/zoC9oD1jSAwap1f6gR/rxlHcM+anyeOhyEzjBRnV3rJ82+
GDtAU92UXmfmdMiI1NzYHLhQSE8u48vpdnSFiZ5/co9Sk7QoigF9X1OTeYbW0uIoeDeZrdh0eVrv
va790a2Gk9qoloPpJivk1//K5LHY69Wk0tX0DrAnneDTEilkvCaug+wJfavo/RswqOfCaL6MxXLb
Z+EZBsxTrcMLWy4No9US4+rlPW2iZxOvjMIzU3OaJuqFPG+RjER90KRUnf9mSuQOi476wDdM+YSb
hiyYynqbVltObkRs8rF1yl3dBb7FfKyvMc6rET2/+61YLT7WT7ePNKgIotUGtNjLtwlvkJv2sBKQ
iY5oNuboRdQtJn2tvewMdgJyNMpvMmvsg7nshib5zPCIfIEuvpbNk0BxD8+i8Xcx5iS1upTU6Gdb
3Qz9Z8PS3m4iDO84UMNc4xwBt07oMT/zWZylnajPbuuU+CAblyDeeNSnpHFpj47pWk4oP54OFdSm
HTB0xGigMpZr0jIMvUd2+iAJ9/kORgytoFHnNHSYSLaeOFiDNdpXmLYJ7gZvOUx3uaXX17OaLH1F
6+OONC5AnJwi+Es+rnE0TRu6mk5Kth5hU3siL5mRZ5yHjsrulXHTwaBKmL9VKakhPk1Ttx0pOYmq
3+reCr94URa+t6HLD5CrMmKQWPc1RxEKqcDyKsqiiGXfBxXbC32mdaYxV334pY8oEEKjocaoLAm8
dZluGp5xz14TzhfDQdMB/NlAQd644iY1ZDLsOn+m7OgV29LYpvaWRHeqEzOZhh/pYo23qTvDnjcz
vCqRzs5xNoZfosKgyR05ynwwW9nt0JxQiWAcFm8EN7vy0sXDWvL6XTVvY1m3JGENHB1ywxWH2rT1
ibM9L004qwF3mAIdVzFkGGUq6isg4F/dvLCCRHP82zhxfSc1MHBQbSfyQNLtwiP/ZGUtD1KMWczv
JU2BliLf6xU9gnVS8/N6Q+0YuxngwSl0UeBQJ0D9U07x+ef/Qs431FqXsr9SqX9QUi5H4P+IXYqO
GmzSFl0Czx5vx4Vjj0GxyaxnKd1PfsbNTHQsSanvmv3PRjFB8oxRpsoL+oy+cV6gO9okSewfDJ+3
WMRjdnaXrjy4hWxfqqTjAyQpr8g+sty3NF7uZJKbnwsU7xztM8F7Hid90miR7rKJ8+5CbORxyfrl
MtXz3JHrzudyCCN7rCVlXzPEdbWVc9ocOKpR2/foPnUwZOGYEaBKV4TmJZsBgZLYwkH1Vs4gm1MW
iqJg/YvFuParqH6l+ZccRJbSUfSWK1/rlgl17ne0ZBo85kjZ0AR1ZM0413nTiRsJxwA19sKEDLPH
VR4uGfpC1p2RlMt+SPkG7KXLnwnmWpBXtuhoB6JWeX8xQEmDATxNEcqs+7xf70neM2Uz+Ve+qwm5
7MBto0m5dcjHvlilWR6Ax3YQaMvloggduoVG6GFcS5a967ACOgdD38Yf1hfMsS1Elm/sfISWJGeD
pehU7QVTqcTnQvBXMM7rkyrXP6067pbpTixY01bzZeCFdnBJfEkorSE+x6Z0CE7sMv+QtKx7DHbm
tUkuML/IteA34Va+L3iDr4aU1WQvvChJVdUrrcSSZIbSGp46azKvfXMMz0McVq9hLCaCkxASEAnK
T9ixe2aTYxeeQ/wQr5lqYZk0k2ED2x9ygdk9D80HigM+IXpK2l8hekxOwFjuMQ0k1jV1i37p/PX2
FkSwnvuK2zS0lfUw4kXhpMUbt9os/l4sRf1KWAuXnvp2OBPQGp46Wq5EaXlG+7qQRhIJOnJdw9/z
NXG5bL5vvWzR6JsJpUdXfyuF58OtRHLYDjo8i45vp0OA+dJM/ALDfvbpWJTY5fTQ7aLKnS82LfBL
XQzhFz2CYNou7mJe5ZFl3pZYgM8yt3nnHZWPDEq2w4OwJc0PxqIeGh9WwYge51rWkpaCJMZmm2Fd
0OizelaJWsRbJNIa1J5nkAcV1/ymKy3DoKI6BVzD/ogkuTyAYDYeFwqCdxXWfGC/W9egFmQtKwxH
Z9goRcg5YF6OqBC8QHmKss9z4+GH51Ino0s2p88tubxfp8FjCtVyINe0UtH3xRwreDISDnNttkN5
E49d/4hqzfteD074nqDROg+SzCdEyjyZnGREsy/VjAETruRp8JvwS+pKiZhKA3wMFJLoIcjrpJr/
aD//N5b432GJsXLQ/f7P/fmX16T88as/n7nO+jf+FDm4BFLaLkmxtsV8gPXH/OBPkYMySe/g+QE/
DWuMt+Z6/CPgklhM9GE8oOEFe7YlkFr8A02M/EEqxQRQmP4fzv2/gSb+OFRgmkDBzOswiwK65n6Y
B80+eSO4HVAQhABIdnK+gAb85W7c/dGt/x+0ne+qpOza//0///kSiDwkkWYMc2DE/cS+/aIhYIS0
Hg795TiENgIlb0Og7sZzuaX/957/f1xlfRe/XAXW6YQYiquo8mtrfK2mH538e+IEhpJ//SAfxpNY
HRxKdy7RL/dK3COXbpa3338KU/wUHvw68sCtzLieIY/FyoCd8OEbaXODQI+h0UekWPpbxfh33LEh
YBEfubQMSTRB9cjumfc8olvR7ye0XDu4quZhnobxkNRaP1vxYptoWNs0QMp+b0ks5AFn0fHaR2BM
daBFYHfTgJ84DD+BbuH0pQps0PPaSlOpSq9avGNky9Es8GqMSF5Llok5HHuUiRC1YiIImU+j7lXx
Ja/rmTSMHjdwoisKip7jgMjVFSYsl/kQDNxNLOf4IhrDZf/OAYAJGqOxIYerLip6YAsTgXmQ2vrr
3i+WJ7KK8iCuYyyTqvnmWoVi1oi5BU3yELTopg+O1V6jpu6epnJ27sewNw8GPatdZeuUYw6g1Lw3
nX2beWBbptpE2pwVu9TGWztRxz3YquNFeCBcqyWdd9XiWXgjydbD/2Hze6A5gOuwj+/DdBi/+R1B
DcNi99R66B63CjvUAccXRgU3/BzXKDmCgmHBE8NJaQfjYv7QejLyLWO07h0XNWGs2CW6Z99KvBgZ
RufcD4PghdYbjIrjgj2fDh1zGaJbZukiyww7IuToc2wSh1CbEKYmPGmi02nZYFfqcWzfpJHzo2uB
6Yxz139Pl+nJWawfPozuL5MFWNbpjeRzh9H+JGYavxsdN+ahHJ0f64nY38RjsxzTBkBdynBvomwg
EROZsEPgAu8jnVR2LnzZPifGrLakrKurwutjnshjuMNGB9MPGyswWis94aQZAl/Xeo9zGc+She5/
gwk02voE2+88Qsw4iOdedJY07Y8UU1zAWtxt06QIigsvO2IYHD5l1dJ/6gCrUmv6LQuDZIX7PAJL
ROp5dmasTaiBUfW7gcnxrYehDDu3beI+oJcbWOydN92IcfqUMqbZ1zm55ogLE+JXe81pCIpbxHAO
UkZa9tkE0CORt1Zupoc4isTBdHT4FiqJpnmyjPDGgusQbrOYkdaK6MJ4S6Pvdo61hclzdrdw1p3z
XOvmujHW4gb/+cn1a/cuNGzjAFHKvlNmEV2PjiQLvuF8BPJr9bwOgukLDYhToxFc9/0EGTdL4vCt
YwKJgWGsuo1t9MahYhz07qSZ9057q9u2ZEdcaWX6b7EvkLj2DXwJ2C9iZ7SdTz/YX+9HCIk4MJfp
e86sJt22w5Tv4ohZpdma87Egb3m15jiP1A7LLpw98K62Ic2Dp0p9kPDsPntWOECQk/G9KBpxHEDk
uoHTTxzrVTLQqKXL+c3EanZuir64IXBxfNW2XV7gJvi3MObsR4oAZkpw+Izd1JgSkXs039m4wfdR
rb07ctbK1zmW472e5+luSuPuZmob99qcOE4D5pZXWU0VZjYI74HKup9q6GdBhzjkyAkbT40UFhdo
zHXzyi2S6/QiVLkhQCZTmxJjQ8D8vwJVOYp3J3FBm8R5FRPrOaTf5eK2R/TF7S4zivbA0mB4ScLV
vp5r/KvVSAAOpvYW620Mw0ugpc9HF9RaXDXx48KJD7n0AKCLH03sBqmvYPzR/MIHMUSPllkt5zmb
mytmB/M2l2HSbFO3FJhLi9Q/eZwY9lhSXSaCkX+SrU+NRC2xI7QUZGacJXjWXJs1QZeQMtdHZU1e
ij79UVXGjTfvIUcZO3T6IexGkftbEiC5D1O1TFi8vOmuzHXzNjZdxzY2ZPc5Yu5DnIp527ELfCVf
ctlVg1JHIjOGH0pQfFmoTq5+1kxjleQ46RBZvLZZZb5BVmTgmHN2f299JuRzS7AJoiEK3rXEskpX
wsSnNkI1srrepVqrYBSNcA86XD8Zx1HW8M+YKS9wzGidzKyXZPZHZ4UuzLCF4MLZ3c7XxlrWtS9q
gvbA2Zf/1dG2scP8Pl9+lvMYAqwHusIcfZ24eh6Sojh0fl8eqMjDXbLgj0uNla3d0MYU03rYr/pX
QLbdCX+hl0HvS2XghZk4QvHI2Dz1cOPTdKZajWFja9NPLm4Ges80OgIvmZZNx4rePvJ8mhEnDQkC
nIY3FGco/tQCqnKRy9MjX45dWfOGBZLto5/QKjDBTH7+OalN8JEXm59yTll75WF1AiMwqgF/4PKm
xpsWr92YmoIWaJfxSAoski5j4qv37AW5paIN0ud2/P1nRZit1WqhXXkVQsenSGmRMTYRHLomNLwD
p1F9smsjex59+Jxl2dCHaFx4IIQnMQOhswBzg/7R+rDDAwtBNaWXMrp0e2yT0qnyGcfE9JTubPJ9
X80Cf15Zs8ABwWXnhRWNa8gBSu6I8kfKM/zE3LfFCOsuzyyk6M6Njei2S3uf4F/GOK6DeDTRdXnw
tO1+7jiQdps+sULSzcto/qPys0Jjuuu6bLlfDDH8GMrQeCrWaNSlQ5UfeIb75/eUwQp6nwVvdnLs
cS+c2ryhH2I8RnCr7wAYMlnAz7gzJNbqsm+9e78ayFSGCvti97PzghHOecGpNt/wpHL3cRMbwZwk
RkBvgR4imd2XJTL0AyGV5c7SYG/Ifptuft71TjKZr7D13gKZ2YsS17Wv2/RKamaoTRWTPdWDmKxY
iPuJ7J0rxQxlV/ppdyrmzt7VBHHRLhJEhYPoBBVDHX0bemZ0YuTP2OXnWl48E5WP4WDQoN64Wgie
uVFtGf4f9s6kR1Il29Z/5enOKQFGO3gTb/Ho+8iMCYrs6MHoMX79/chb7ynTwxWuU+M7qJLOUZ7E
6Yxte6/1rS1jjIiUGniUGNXL7FavsTSSfut88UOwol2ItI44Ij6GBMVz+2cEyzgO6DjUNMCi0RfF
GqFSzBJoLG0JJA+Zmm5YFNTBlGF56zbzvEkqG6M2E2/1gs/UJsl9JhJiBjdO0y0jBpXYBngcbnqL
rR02n6D5ZWEXvER4AMnXHekrNnK6rd2WTzchp+Qz1BWtCeBKbrYxjWYxyhskuvJtGg5gOLBfgA5g
ANblpbEu3bJ66lGi7XoWHGogBkKXhmV2tzVtQ9qezoAqmgaOGsm7rNGQ7JD7agoOTqk9YThlh43z
lorZIvUkH+gC4l/h1exsuViBFm2mN9R0/OVAF8Io8xedVuu2kHSmhJ8Y336LIayCAbc1jvo3YqRo
oExJJVaatWiGmBpv8RSaTLnQ+zSZ6144o6W2XqcaQiRMWiVCDQhlCt+B4dcNKHlWJeHD9zq0nxjK
Yk7vKOQfniytjjryg+Phqu800g74o3epgLtItl0dBi2xavtEF/MBgKKD+yrZL2d068aTuab5Ed8Y
c2JC+UqKR3PKmi2z63I7y1jb4yjp8NjZynxTpfJSvg31oxgEYrks0S6ZmN31MKlXFQTf9ZhqPz28
8DvDKr+InlFYTsTwFaeRbXJMGBR0UdvsPK8Zt6A9zD1W6YEOX9hdIv5pkIfVurulQowZVNkEyMQK
RkBSrbH5F9/dUvtOz+92MluxM6exWOq2+gDfEk/knDzhsp3XuA6jgNVqz4UY1ghSy03EHJ85mPdF
w7AIAZjRNjGNdbjxxiUsRzBw0L2OGbstyVt0JecLS9WiqgJyxYrNiFCG17IEuZERwraFmoKys4KL
tJ/xzL1F/WAH2WQg9VH9NOBHnqtHiS5+hquKIGpVmPFlnDryriwz+UWLsnLFV72AbikZxg0uCjED
mcwm92R26Ac1X5iJD/orj/tAizObwWBUW3eW18x3Kaa+R0ngwxYFAKgW0MYFBm3H2U5uE67DJo73
OVGFu6HO2JLreXKBWU/RYO/qb34zF5cGuSj0dXPbbzZjFYmRERGO9uyyLb9R3htfJ1zw17jBO33d
mHZ1P9Qprl+z6se7cIYT0ym6zKkWt7vOQxJhFgXRtYubCrJPw13cwA/9ZsVWPa4HMl1uLaNL70u7
q3Y9loivTkN9tZqM2LxRnt99BbntXmRQdl9D5QKuq0kgetGXL6RjFJKWtxcHU1n2l3HiWddx0Xav
0KHtgGiH8SK3o+Fy1FT2vbNSpAYxvtFV1Xfh3eDK4kfRkp4zOIb1zjClwi0F2fvCyEzrqulopzv4
BWh2Yo9mr9ta/RY3nvUsSjAmzPcBgwCBiG8qTf3MBtf7YlZuyVB/9tZRlM9YnvMUWzOMGWq8mU9h
XDCx7bUJVoRqWMnSPAUeM+SEtLs6t5ev7YViV4GMVMyrERJU1Mp5Awr1ScuZS5UdUfGs8ji0MC+W
PnOrzJCvjUihUzn0dZkauzVIZirjfeU7xVOVFdVVN+fmoWmY4FLPF+gjIMxm0uu1QLSjVgRslxzt
p+pyFCMjISZG73gvkLlK0qAYarKLGVfANsJnuqHdFR/F/I5SMX2fDFE9p3VWf5G9nFyse5BYV7ge
kwx44hKgRuihyWaqK+8tYeCX/d2jzBrHHMDkjunFYPY/o9Fjhkd752ryvfJSUNl+LyUUAAU6beNo
2c1cLaSiVkCi6ZAcrZkKVVfZAGkB+aTsAAB50U1KMbRKrTxtt55n1wh+HPRpTWo+8P7/IAoFWDDf
NMyTrknGCZSuC2Lf+rsMM8XGwlzwMjUtSAsF7skoCwxsUlTfhCbfrLQd31BFPc4E0Vo7l77rRqPl
uk/rmZVdamLNq0Ymve+C20cf1jzYet4W65C4aifu9d08gEhDzmRBLq6sfRw77pWZOTRZs6Z3D1BJ
2JumZvSNFjS4QVbClS00cPHR5D6x1eF7gkLxLSwIFpSR/wonY7zUpWHu+VuAHEx192gl1g8396Bg
VJ3C1RIOuyFD/MJ1U+m178/jfmhcrhjxK/DZ0om0dZ+LIkL31R1i6ykZKtjvfcIL2wAtGktqKhU7
/s4m/7wTsXnHHuSFBTm7BW8FTweJ2aobO2cr8zJ8r/xsXuc0xrHhifTGIS0VTK7GLsZsqG6nFipX
NIzlQwnjnQpXuy+Kojt0niruw0Rz7twavp6TOuaNEQ/ilxERyFOlo9w2PV7tkJyo29Ke4qvczuxH
SyJtQsk4EwX2NS0BvMegSAqW2+0gF8t1N+n3Ydg7BByhKq66rNqrQeSPHSvuCvSU3Pr+oO+bvH+K
esIPJ1d3LkRUqX03Nm+xX7pBGsV8sSgEL1hItaAQ/nBFKedeYEwk+DuqM+rfqvzVQ5HAZ93JbwLx
79fW63pUABFK028VEEz90pB9eOmNIaQXDc2dBR/gCYrEpNaab9r+TZI3EXbNsq4nfLj4q3c1kEa2
ZnHDeF01+VNZ+ETA28rfx8mi5qeF9YQM8uc0ITLUZ0qVphbNhT6P312bXYOdm8WaoopNUo2iYDYY
nxWJbyyhYIGGMOWC998mich5KVDUrK2QNDKqwnxDu+N7ayZMcnUVInPg+6rGEaKJ8+6yBZnS+cpu
9HtqKIgNLm0irfeM75afj5dWZcP0qMXCDoDGEoVGMOBP/gXmwr6zdc28byf/Vw145yXi1XsGHtvE
G7utauZjzRRuWg8siVba1V73p57AgLrcOF1E9iXd4TNGhaWX+ncXFAOfazu4+XwD7ulRr9UBDw8P
ymtwmdK/G6DOoQGseCbrPfvx4ozS/EOL2luO5huI+MlFcY5NLuDDJuoktwlUFTGkRSe9Sgp32uaR
zDefd3hPHQq7GRQD27Tx1R2p+PXWkbQfDU4MR/zTlFp8MtLBuNY7Iso+P9SxxQTgL842bHvkuvgc
8egaGpmtq1xwqLIp+6ss77LAaVJKTh7eVR1NxZ6IIvVPm+Qc1DSEIejDkaNyfFA7CQ1TIxE4UBlX
0USLtnIaWnbsSa0z53ds41nOjxeaEYaLXdByji5lxuIPgkBrgkLFIlzloZayuHnpITPpaJIcWt9J
ZdBBzOf4us+n6czxl0788TNqCsH8xvGWGc1Rp15Floz1LILBU2g04EtO0KnH589v4nISxwcRJg/m
4mvDkmH+PdeYDD4XnW82QdfRunXHeCGGuiK8yU19DmZF8NvQEytWNRTJnx/61PMjTKyKus/wxlhm
Wn+OVHzbmozIFM3SJFFo0GxCrtKlEexqOmHFaG3slYq7cPv5YU+9+sLSqc25s5DbGX39eVjRQnKG
59kEbp3mF0YxPBOFBhbI4an1XZ7fzw936oXEKIy3BuK1h9f478NFTa0b6IE4XNvZT7VZ79n8k5FA
cOKZVeaDqWZ5YAlLMgFu2yw0+vEFned/30tn7sfv7e9nU4X9DzLappXW5gZ+CfQujjfr71ACaSaN
tOI/P91TD63wPcd1LIEH9cNL44oOYJreoMuPrHubGItrGbHEfn6UUxeVW7iMr3QGn8fuWgtPCjRK
lp7fq8AAjw11McAbw0rlmft36oQshAOwZOjKY1L8+/5lU18SPzSyoI41cSpj9eZ41dvnp3PuGEcr
aWJ3psOHugkQUV/PTrO3vOKc4225+ccvOs8fuT08irb74eHwU29szK4JJLXrddTr5gVYXwZlw5h8
iTVWGCRK+hL1RriKQO2Hge/civbx1ROYkhmh8P75tC6OVjQLLorQKp+wUQOgWAdfeU2UXH2VaynK
H+mXm396XTkeiHmfOgov9vG7V7Ot8hSmn6AoJwoUR92T6eOeKSU+PouCGbqNi9/xTISyRy+4Hxkd
idx5HRDSR96SrJI1noIrN2WW8fnpnDgSJ+HZLvkU+Jrco8fEbxOgQcqrApY2VEtaeymU+ySb9OXz
45y4TYZrmbAx7KU6spaF+49ZtyOLTPiNWwWwmrdN/q55+TrNykVwdfH5kT4Gn3mkrP1xqKNvLD0q
Z3FuYBUafBr3pRWtitHtsMf6A5asoZyflU09RuJc2GxqC56M3qBJcdiybrvZ7LYp09+92dJGK8DW
EOVuIfiyvRRAvpgQmo/xfB3m7AOtGpj3b0Ei+6pum5tdCuVtyKebserpYCt8u2vabOQMOcl85kQt
48PrxxecuZ7OC2DgXTlam4kI1YQPLBkLXty9+kWp3xjwf5TjJO/F3LsXfZ4zP81RIuF1h64Fcyqb
nIODLyiBOb82apkhJn4uQjZGnRMj8y+gDXrXc0hjiXCDetsiEl/VCWnDYZMC54vGCo3WQHislmr9
erIqK2C2PW66Do8ex0k3tPDcq8xCy5BCmCSKndATPxrXIH2mjcUC42+9yCS5xQey981dhF2fPwEn
njUTPz8KDr5ZlPxHz1pYDDXVh+K6pFp7NRi+OHDXJyh9ICWxIIox+PyAHwseIbAoWzYOHggexwUP
noRhGGVRBb7XEVYFAG1bR0135QjZ7UMv6q5iWq9PhI5Fl58f+cTrSzWnLyGHSD0+7DmaSA1a3Duw
TROlvgDDN95q5j1PGNXTn58f6sRJIvBgNaLXwf+OS0fmouw3VV8GxdAwFcHQ0dCuJaoWq0lzcNos
8dYtA3a1Gk2a9p8f/MR5UlcJh1n4kvh4bD13YfrTdirLoA2rZF+P5VO0eL29VDX/uAywlkXKwMDL
9gp0998LFT2gNsI4mgdYjl6VKseN6QGvbnIh/vFjSrmBYAphFLuPD35xCW2zj4Y+R1fQj5vZofEq
0ttxtJ0djacf//QCWvpCJjINCwKDffzZItZDllZec1p2IQLsvAuvnrywdZuL7BzR4uMLyMEobSgN
bAbax5+vGm1IDDiWM9Osp1hor9jTfqSTeEIQeKYGWd7lv0sQDsW21OHUWPN/u7H/+K6Q5p2oUkOI
gS1xK+iV+gDKV/DTZwLfcPNAcz3zgJw+IvwfKD7LS3f8ebGk62FIzoLaGC4yX75XyngSTVaj9nVy
aJvm1T+/dRTeeMqpOjji0RNpQ1vBfetmgdb3FyofAtjKRKPrZw7zsWC0dBvHOmAjABPmcUNh8PQp
SfirA9LpF0M4eVty4ov4+cl8XEU4Cpk6JIeauvPBpI9DZiJ/3MiCRtDRotODprT/5ZbOfQpFcE0S
wFqo6swqaX78UnJUFg707TZkhmPeAWnUOABimgm+jY99zH3acKWE8Q9OUCP5kSF2q3xsBhjmsnhN
oqVk7KW7+26qo0POHBnGqfs0K7t+QIgLXUBKioOlLKgXEwKyOOfZN4E84Ai0z/z6kzcG8AdPnIFn
6PjGIEmIyYPg1aU7XW5T5acX2kSf8/Mb83GF5RKhq6Sl5JuoBo9KzsKq+YxEVR6UnUuwVzUEemY8
eW53rmo58cLavkNtyzrksIf9e321XTihsi5ZiCYpELKE8WEiY2T3+dmcWoEcSgDwC2zKuXZ/H2Um
/2OKei1DPISjZXD5TGEARFPf5t/Q6//zKpo9IzJRPhkLI+l4h4r33SGMkFdUZeGP5do1CbkeTfj6
+VmdenkAGDsuklw2BseP8dRmEDMrXp48sb27TBmM2EL7B8OWatdEtvd9zCHs0C1sz3yqTq15CEkt
6mo6ZR82PbRO9VhYQxZEZGp2pYaDItrJ9EWm8yPL9ZmjnXrg2fYAPoX2h6n0aIUFhoCEFOtyAD41
2xeO7d6PJq7Mzy/mB14L/COdi+iafI4EMuejddXvzam3abkHXj/qL0msVzsNxfEqTMWQM5tzx2fI
rSCwq264rVWZ3di5K/axh6YT0CrZQRGxVUaNxxx/BnqMvk/P7W6Nk1feZYfNmwnL7LjwacJWt8ei
4GszWYwJuvrd6PyKjB+vPSSu99pPdCdcGTPEKEXyko1Dewj96i1G0TE7i/tyLKwDXSR/5ShtYc5y
Hp9fyBPvGjNtSlDXFbAFjj+IuctvSCbK7bGcf8jZ6Hb6AoAPc/Qr6v3zY524HDAlebGJQ6NBfFzG
mNAndAs3dDCHxg+dhsOmsPX3VpEa7/rlklvvdGcqjBMvnWEwsaOi4Yv1ocQemlxNsFQ5vdT+EicR
NA5UO8wxmnklcGc+181Yb1BjDME/P1cYZf7SkaJAPF4pLc1HbkgQRMBe7QaPX0NXOr+nGx/hbI1e
lGdHZ0qbU3eSS0sbgOxwn6Xs71WTdwUTqFVXgaZH9RqUKaoEgtXuR6AHQeGwkf78DE98czhBaijB
h41i8egNLMLGipOKSzsNEZMLqxk3el1BcEYR+58cysf97jkUjOC6/j416VpJV5Rs0Qy/Ku/ICsat
6XbOZdIbxpnl69QzKnihFh/C0uk/+pIOSOLKmc5A0Bb9E1SPn7ZdP+Ut9y+J6nsPU/s/3hyxgGG6
MAGRMT45fgEN4NEVMQxlMJtLZJY7PjR9s5H0Ac4c6MTCTEsdDpmg82yZ/nI//yi25YxbTw/ZAuaR
/RpN096b66czj4Tg7zgq6P86xtEz4Wsp0YUWx0DQb6wIHpUXIGrsB7N3gMjkY8tV1LFGjY2ENpZG
z9XYkDwA5XrfkzxK869HDVmSAFdZEwo4wiMANuCGTgRk3Nmy4nuTxI91qXBohVIv90WLOIvdLYlw
QxQeYttjSKFPmBWNhWZEGKvxMPsFYqvSgKdB9l6z14c6JPcD6egteaNUh8Tg4WhMmtt4cuO90bTq
kGMYvRlEXFwPWjOAC/efkipr11zhbFfQK2pWMULBAHFiATF4ltuwj23Ewtl4VVmCcKok7XefX95T
zyZfcdfgORELpfTvOwj6pO6Uw7OJTPi9nrp3L5a3ltB2oqgw1Y7Vf/DaUXNT7NG+ZyB0dDwCi8pa
RKoMSJxeek43o5kdQPieKV4/jtUW4imDLWoT2nT+0WEAjsSimfwyQER+T+BIg2bQ+15nzwyhrxGk
rHvbfIua8syWSZw+Ll1ariib6+OCzJdgsORo0xOp1EzIiY5LqLG0e4wuOjFFuc8ep7YLeAQZWZh5
iUgQqAULeW0OBxuVv52O2kHovbYzOovQQoShPHByz7yTCbaffrMNcrTHCSkgSJpo43eGQ+/FnTck
Mj6ahNGtvdmuVzgfCR/sZux5Kb8H9IP8iefDuEt/ZzBPWPBwdPHvi9lex22Xbl3YBS+1sM/dilNr
ugOAFsotbQZhLJfsjzUi0Vu7KLOhDACIKaZLKzXq+8wgverzJ/nUWvTHcY4Lo0EORV6BvQo8ewn8
pd+wLuJ4+/lBTn0QHWh9zBWYt0El/ftk9NqUVQ22KWDo5K3VYlnUiUcn32oVkyX1HxyMfiV7Fh93
23HZ6zQsRmXOu6LFDuGvgBOg/exQgKKl7pIzl+/UQuDQ9udrgWXvQ/GbKyUcMgDLoEmbe4BoDgkK
6rXKm59dgmYhds5cSePUc7HMvNnAIiFwj+c0cytzri91Wjrl0ERm07jw5mY8QIQnPVpocWDJGse3
9MVDoodxoCJMDREGvmsv8rKdX1nq2cUShD0jjEBWfX7xT/48FkTaSPRv/eOFcZzCVstiypyxlj+F
H73E5vCYC3Qk/8FxXI+dItvfxTL39xPVkg0WS/R4ATtRSTeney+VNm6qvjnzIT1Vti5oW1osy/+5
R++hIGvBDtFeBh2ekbhF4jqW9wQekWdu3OZV/VTk/plGxam35Y9DHhes6WzlaPR04o3GaR/11U/f
yhG3OxdNNZzZc4hTz+8C4qYXDW6bXtLf17EbPUvOk1uwzJjqrYsJTkh8Zw0KxyMsEqDiwgdYF6zI
kPMXr4FmLMrMBtEfaKNXi6bKa1hDtepNHAu42vAZkbD1GM0++N8yz9dF2Hq7yR29F89m1QRo1SKY
0tppM2dLa7Myf+mjiZ0FHgJRfG9p1d8gxZFbQup/Jt5APJUSybYvlEmwnmHzsTftM0/TqavgL05d
Whw8t8cD2CXXuC3xJwSznA9zNxurTrdeMY9f0jN97RI1njngqVu8OLMQyrg0W48vu0yNSNUUQ0FS
wxwYZN/I3W86gYiA66zaRZP++QvzWztxVBCimDE5QV4XtplHdzrSVM6UNC8Ch/SKNWHMzqMVG8O6
FMq+jKs8f4GHBofAQjn52y7gxaAYyHUFToWkb6+NoPXOXIYT151iY7FAA4dnO3G0UfId5cFBEXkA
OtLaxo1yrsuYslGlVfuaAo8O0EV+O3MhTjQxUSXQ9VlWbffD3jea7FmGA290S+gkHYDIIm0lFLs2
bNo9zGWx4klBOWmDQYyaeK2YyeC8sM6hiMWJtXLxhSPHgJnNoM38+93TkUYQPJwU+JZTMCq/fQ2J
AH2Btrq0L7ky7qFLUSNjsYJSltNENrSCOSo8keFuFKO+U6QpfyHeBr58N+tfKIsJDxp5pHBMESo3
+fYeSf5PhRibJXvYWk4ab9EKW5tGK7sgdmp3O8WE0XrRJSmq4jET5XTLa4sJTfEivMZe71/kuvtV
Bwp2ZmN+6vyZgOFBd5cJ/XHjiHZbmred4PzzbHoEU4oWldAQEpG0ePf5TT91KITXaA1wo/PZOCpA
GDrBI18+S0BI440kA5jKY5LZhR/n0evnx/p9347ftKX7K9i98hk83v6TCJb3Y5GwORiA8aw6BsaY
vWbL2IeE7sJYzY1Lg5S+u24yiXk2teje7DS4JSKXe1mCc/n9g/4X33AG34Asz2PF+f8ogc179/5/
fv5OuLh5L37+3/+6fgff9V7++JPg8O//6N8EB9desiiWwbDOdpLmAAv5/yM4+P+i+kB3xGhu6fPz
yP2b4CD8fzHh5cn2raV0/5PgINx/UUuwvaLZarl8DcU/Sak4/oqQc+HQJif0QkdG80G7WuoY8os4
A3wQGTYh5YNVXjHPVc+FMWGRishl+ePy3P3PM/wnz2F5Tf58sjmgC4uZLxa//GNHGexj3Gmzo4Jp
otzVtQFvnzMm+8+Pcrwb5CgI8hftqs3S+OHj2DGpG2o7ngLV4XYazam+z6qGKAjXklvigMg7bGlx
WXWqPbSjOz1/fngyID6cJm1KExei5Znc4+NtMMhoaDfK7YIqd/IJ/inh67kbY4VGKHFF0FRzMaHS
b/f4IKCYSiCZC4QyoVJqmbI+wvE0CC+CtsemOU6gXRlYkrx5zHbKzPizuL+KYi1ybSb9RmIOxknc
wrhBcq9+0VnIHkTqAXLFjhTEFh7o0HVqiJt2/QU3sdov9OdkJSODhKmqZm1b0XCdA72ejCc0efKm
gWD4BOoAR6WAFTE6rXz3CHLS8XkM6lfcckZDmQ8veV+qfUs08lVogCzAmecZZB6a5VUc6rS/CXT7
StgI/+E4Jf5VC65nS0UePvgDUOLN0Eq9OnCpyKuMyPQwSEOyLLE3YW8D43Fb2BXY055UpYDjTFVM
evdc0pbxEZnhIsNf4ybNfZUPImK8hEkj7Vx4eA7KoFlMCY2IYtyQy9FcZL1Z34PbCi+Q5Ex7hwzR
Q43MaGuIbnhJ4ei91OnsPHJ3zC2KGBDWJrze3pnq76oiSSRyqXaSsVTPCFcr4qJn7gxR43rgLHgN
d4RLJLrSv3IMLQnqmrysEX/cs97wnyi9aV8dDBpX4RRZBzx7xlMPY/Q1JRf7aqoq/6ooKGY2pBeR
wGUVuHdWTj/rSJBzuW1lmK/HcjC3EFGzB+nEuF2gXINBqJrvVsg/RhkCwXUEFyEKYIdiNrH6+vvU
8jp7Wqf2TtLnh8rj5ipXjpupTwG8tQKB91Z3yBWRmFLpXMD/dWGP7jUjzB4iJHywVuP6htAMG6Rx
NPzMdAVUHKMtvTNdZ9EwqrdkqocXxh3ztV8P/FUiVntJUN3KmDhjf9TkTZgtL7tW27dapBPa5nMu
jpWS/+bHxXrATlSshrgcfhJuoPYqIf01srgTIeKxlVVKtSmg/xXwiXquawY9zM19ez3hvYC1O0EA
w1oVhg+OHtbfGT7P1+UYq2eTD+keMC4mxKbOdqBUux966hhPCTykDUk5oOY0rm0bcR/TfrnUyyNK
qNvwUzWc/YzPKYLtyJ2wHDwklsHz3yBP+ZpHbniRt9nXUWt7OPBNcRt5v+AmQs9KtMKJ2SAX5iFu
7TdgA/UXE9MKydQ8m1iusmRv4orcWFb+ZoXuAPrVlUQp2DyUC9FqirlRGKq7XVhb8lbCdyaCe7Rv
exUaT2XSyq+97VRvmNZ4Wl3s8Y0ZVm8CJ8llCo/hcfIWfrOWgs3yyrF6jyBLIfMTihDPxs82v0/O
WyJC26rVHiYly47oxHS+pkvbvkq24Q+q6gyQ1mwpQPYauMzztFg7o54EXWW6+JDDKdnjkibbIXd0
blOR9e7CIK+/GAlGX4gBLr4RU9Q3nYOx23yl+WpkztehKsfue9L01tcER1YWBYOYS+IRu5kQMYR2
Y3+t6jG0L8ZI9NYDnmzcudakng2gAOvK6eNyZdgTssF6dnY8hzbES5rywKOnjqWpL2/6CswzzkD/
wtKyu05vtftKzx80u7+xClns8I7Z9zPMu5Xtgu5t7AgEcHgD7xJqOD2+IDLn+FCY2XPL4JJkY+aL
vaW+JR5AeWvof2SxWRy0MvpOwkR8iGfmQaXRy6uqGMZtbhNTRoOk+2HgN91GSXs5dXW4Q21s4NbP
/I2hGrgorh0hYoiSG2uGnw4Sd1DrBhuxk3oXWibrTZLX5bySflgf0N2gUtYmcKY63ogiyehJFnn+
K5Iz6HF6iKCXW4tseqt8UKWbbM1C8y9T6B3XtOhHHGu8sFi+jctEoVPvfS8iL4UbaRqDftAhMAeF
i7FYdsLbVqNG2rLweC0Jet7HOkJFUyv0y9FO/KCPjEdib/0dzZX2yih9kW9Nrv33Vo6js7bZlqJc
nLmHbDxIPMbKS5CGMcLbD8FptoBWS1Pv0XD6xMzmPomXdujUGxW230U19vvIjvjm8QH3djhJyaE0
EXampVM/MJ41sLRm7Q7VVjwxhCP83femN49ElhVBq9NlSTYjYc5Z9hWXUkUa3+SoPax3MKFMtL0N
ERaoSwZLUCEKZkGGCXW2t4V7oM9o6hvFIgIMIZNmu5K8V9dW3spLsPhwL0zdPKCZaDcijnmr2i1c
vHpV0nBZAQO2L6TTTM/zKFLiN/HZMYQKxnwjBq2C4+vM7zLXbbptxfwkU1lhx2/9YJpt/1AQ+nqX
ZAToDWFfX2SFJPnQzHF7OeTv5iNB0a0lrHu3pcVchYvqIGpwQuvS29XawIxlSRwYbUFUsS/SL64T
YZPX1bizQoUr0x+0XQ3FBKFscZ8bGt9y4FCHJBEwiVFObiItIjLTi4x9nvDEO4LoYm+Ywq0/htZ1
RecP9vWoPZAV4d0Y9awuloyvnJADH85J7TTFTyuqb7AfuFf+hO59bY0jxN4c3RginTi7lu1sHCTT
lnqdxE5zmc+h+NqnriKY1x6R55pj3l7GCij7OjVS/afESUisIrqkaaMT+3yY69pfk13c7Hsjt7+O
eZ+Qd5Al6ZVFfvT3QqQOCQKtNTCBM0ojsr/iBdRxTGUtFtqqRIWiTWW2c2N7+FalRrXu8nGpC2R9
j+Uu3yDWL6stfI7kUpsW3S7O5NTl8SviA/r55sqv28pCYUvjcDVWdoJB2QvbdZpU9q0ywySY41J+
MyVoQxDxKlvuDdy+pURKU8F3aAmZSO22vPJNshC8UnY/PBjwklkJW+idnrV8cFD/ql/so6FFKi18
kEwdeAdIz7hyQ12Gm8heaIFxUsDYlvbtDH7iQauk5HQTEe/6LMmwGDMJIpuepMmN5UzyGxHPTLdi
xBaY/vk6I4uuL/6n+KoT03jCLN7+kAC8vI1px5wfIZh0kyalzC1lqPM4ZTVl2VIwArYYrGyTxiYZ
065TXuWQHwJLb4kSqUYW4yaN0lUhoV5vYrvl4+4XlfZQRn7/kpgiuo0KKo3SduRNNP/+FX79RWgL
1iSs62VRJpfiVwc7jEwEl/KEkG/jjmWw/CGkwy5YI46IrzYRLQ7hk6SLN/ychTmxjw2tfyHXkntn
1JpXgkhu1D4qHHWpD8SAxP0wbqLFD1pRbH1FZ1qsW7WUv7iHvrrdlIMj4RRo7CC8Kib1C6NBsp/m
sCLVJPHh1Y4QbZRNjCRh6iLHNObXZ9QOxqk9xJLvxH6JufwHHVhjQu+OIq0LIs2sL0JauEs57Jbr
Oq0biDxLeS9qbzNwY95a1WAaH0sudt/Z5zY0xnEPe2mSL7+EvA14pB/cgH0lqgLMZBdYCZX/GguS
fes6nbmNOtgzyqIgjH2uLAnT050bIbtOWxvQQFe9RWHJg1mK+qIVg7osR1l/6XvLuoUKNT2PVNxn
OjUf+pTLj128WMz8UWd9cBHSvcncQRNtQJAqKRQtEF0ledFIp45vtZ6njk8RD5gx8MQDC8J1wHdq
CUKo3lNJ3ewC4zmT2PW7H/v3xlcwFyWJeJn1kIt41KiMsA2bpOS2QVEIYPBoFhZPbF9fzaM27Jum
jzcszfNW0WgiNKGngkolm1c3Xl5TFF8P6WjVF1gqQAiGdvVDJrl77zkRZucOEFuokXC7qjv7nDqL
XuqHzSw6M2/RvUI5WobHf3cZ7V5D0kt8czBh/l4rN5Hpti58tatIH+Faosz2Y+H+IkRrCIBmRTvN
MN8xabzC5hEMmymXNHuMNj3K/OuhMa2vgwSskcwiu9T1QryZaD0nrGSyHC5hWHgQlI1so1tAcxP4
w/uCpSSIfGBruhFjGp8K6tW88K8oIKFPT0Jdol8ZSbZEv10tK4wJvO5hiBrnUQN4SlZSpGMoLS1L
W4mWNRZHKHXvWJGm2LOAAcilZmezzL4kyvhDM5Ge5aqBR4XHfanVp3Ku70t026wp2Ow3FnyuLz54
5ZWlJzTCQTlvzSmUNxkSm6u0h4o9kJ6ELT4eXiKy2XBZ2Gb+1giiny66fHaHqzocIy5SQq6HNrXd
tLWjLNbXvRQhAedCpD3IEsB+WmttOKHSfKlCgG1tTdbxwXXmPDpklDQbQtX5FyEFfbjRW4Y16zBB
8Dmgi/PMSyacLfQAMUm+xtT0jR6nJZETMWcclX61nViEYaBNlPLuBP5KUxT5bKd1XI1sRFrPal91
0CNrGBP2urXJ7lkXPoTkqWHj5sWW/KbSPts1SZfs+4HqSs9GnkgA1N0mLp3+pUvyN7dh/0gukfzq
jblINo1a4lKWa+cvKIOLeV560HasPcB1EAeDD8d9JoZkH6LnLNee3eWHjrCM94nwoHdLGdSGZm6a
K17bbCc6r7ljJ+pdqVoH3jKy6Xfysn0tCTd6naBZHPSJ1ahb9nZl7OfrmJiU8b/ZO6/dupFtXT8R
G8wBODgX5MxTOVnWDSG5JZLFVAzF9PT7o7ob222v095r4Vzum24ItjUnQ1WN8Y8/RPZSTJjEF6Pa
GUtSHnFiomupPCukdvJuS6tVT7pBIhWWyvWr07XYVdt0WNKge9601cIJ0NdG98UUAEpNU8gr3Nax
YohtdpM+rvyN5fd0RrFtI6ivnYU10pFQYWCCwh/2+tJ8q6uJu1IuZEDRHYZOZi8H5ujNqZENqJzJ
QC2cgvUITUu2S2f2AIBKs3mGCu1fGCMwC2aBwUViyPaUzV514SbcOGaO856MYyeq/Wp4YhRKez/O
2d5fESAmlfKqJNr54GW0yQwllw+fVbpsM3+RX3O3vBkmT75hH0+7rTsJAbM2djZjyoTa5pdW2lo4
r996stcoHh8CWRvVzP0uZmskOHRdqtO6v+t5Pm4In5AvTjNhOdqWAjsPZnZbNWQgI2vzmk06DXw6
2c2tXrU8mVpQinyexbJKKhTaiTmfc1hlZHi0I7iOhUUFwCpXV3jzeUkweJsG0LXP1xCVPIVEUuE+
OCltvrQTEA+rm5vbT8Snsnh90KIVkYuLFPFOdMEYR2WHwqagKphzXqjYhaCxwgNaonEboGV7EYAj
t34F8pYMF71cAgiNafrR+kQVLSy3KprmhGJkXO07/QT0SpdTftdIKFB4y+fBarfowGTFLq1ROEzh
bcUjTka9INWLK2JubwLiLCxBSBVAcDExcUA7OplRihyHQPAKYmRnjNsKv0jy6kssKHMs9Ch49Bbg
i6EqMx8QQQy8mufFsgHKnH5svmEVQLKa3s+PFdY3YWy2xVFbwRUUbWxrdPQY269IzZpwQJY8do5R
tWT8ptIE7GkWtjjL4OM/8ZvPQ3LKwW6rOrXJpdLedX1Zy2VP4/EVJcVS00Gw+uPVJBFlJ22goao2
4jvdKKoLWZv5BomKf+H3XfNcG2BopBeAqUHfrS5GJCXXg02nhTl4z+aumd3vaNbqlymh2Gn1JrgY
PfbZeky5halDwqSOjyi2Hrky0MuVQDku5XmPRfrF+j437boNI1zqiD0sQCSDzKPmzVv+OYfofM6g
0zykK+pNXbKeAjRoL4bPK2EvqvtdNfiop0acXHvkB+6Mdn1/MC/CjQgcsnC5nHhFvz7LWz8AIcXt
Kb8rxwEUiVSpjQsd7OHzbCCcvT0pP0mvPbZ8cCdA1EFz7Gsv0RyOijHwL5qAMqSZc/NhbLELD0p8
Dl3SIo827XCUusJ4kC7+ZJniQSLBJ0Ko0KsLfGarC8ekiC3XZ5BSHn7tID3KXbvUFOejwW5G7M/T
PFImyxx8Tq8L84EkRjZb9rFn3OnkVyQ0uOwzYIw+IcGhB7T0sXg7JVU6YjZP+dmxm8iINiffrbmV
u6aeKE56mp2ShY2vjAUKWhcsilkf6pfC1ACoRzBjK4tpFXoKZwvTg40JuLzlsOfl+dxmJ4+7AXJE
TF9tJ1/o6mein8xy7SdILDxNrTXdtIA2j9KjateWEchi6AZups72lg6so5xEoS+6O0h6PIt3TdPj
u2kELzOLqcyOle00p1EWgIjrVolgy9y2uZVf4+SL+a+bOaBe+HtaTcD5kAKZsCZb0GlEGWtIkYHS
qPHUu7dGz/V8dQLSchZuFtCEYP4v37CLo+RouqU4iopFlsksvcbk82UYHO4a+aTW0fRTlsqQcw/6
QqcbGsbmmapE2KGa8OoPcQsKqFuUk10RC8AmO5IJ8lTXMRXkPMybQfHAZx/9TG4CqX/++Lkw51Jw
xGhEdn1zRs5UyaFyrJZ+usGZdt6VqchIJ6lZ0BlVZeI5bDLMGpNrRFVQLBYnWy6lu9CRjd6MSXT+
oeyldglKoYH9BIo9kqBsXG7vxrUKmKeGloyMObUHSOCKR/I2Bd4yvv2V2JcU0x6K2R5AZasc3PLD
nEidUx/3f/Ic/3dU+ctRJV6E342p/sWosutev6WKvJ+++/u88vNf/uU4H/wGk4J8aBRaFlzK7x3n
rd8cDBkg/PuM1QiupFH4y3Le/JxKYkGAt7wNmZAe4S/LeeM301p5dDSx7moE4v47A8ufx/CrHhQB
hsG5wLf7gfEQWDOmYVKTBz8rPlJK/T2uW3GY+TCRv7s7Nz9PKv/VJ5loGJB7MPD6iaBbVOjV13L1
4JuYS+Jy9yKregrHOFW/mIn+q0/iMxCWQPfHSGT98++ImkmvxUsrCVbsx1yRZKFfd0MpoKYuT//2
JQEk4KqxciV0PuvvHzRAGwjqdiHBkfWcF/lHrGUfgv//Jx/jkBwPB/jn4SfydWTwziTpScdgG/gM
F8ktKqJ8yv6DW8e7CkECgTAj9B91C4nUSxvjR0k8QNleTERrYmJtUgNW4hcX5f7QBOOs77vMD6Cf
WuivfiSgegNpqH0wykM6EnHjqvluTqYnPEOf5ED4yj/fwR/hls8Ps1DloSQHwPhR+kxCVs3arOUB
qBGQj6PkIAhVCmste9V90KoMU+PQmLH0/ucP/hevIrKM1Qvlk+H14/Jy25puGPTyAPRQ3yuMx0In
wAYYCw/rF+vrRybA5zUCibArQJdjVf/9ZVyUUDP6fImYlrwCAi3nrTD1+P4/uKDvPmXFNr5bWyvD
YtAY6h20YMKeup2ehnKsTlX7n9267z7ph51pzMu0ZiDOC1KoeeNO4nUh+Tb6Hywv/eenhBjP93kz
vMDGVmF9V7+7qDouHb+sZQk9yKw3Uh804oolZ/til/M2YOy+MYLW2OGC7hz0dqo3orACahm7OsGL
QI0y0n/gqo+lScsg7tsnjOyJ2DquKRw75eUfM5Y5x2QxhkvpkUZKQGbnhmYAxlRL/sqcxuWWNt9k
PI4dpzc15e3cBuaX3DProxOL+GUoKVDGcnIOsYebfz0TzjMK3ufcmzD272bFgBvQDQSzobbsezS1
Ki+qLay16h4nW/uE3eb4rYnZ5Y3e5bvjCXo7C7s+k4I6iCj1/LTeznahvwl8hFEK8n00+FSvZcxF
5yRi7uogkdcM8upNj0kFvFQrjkVoqCLAxszqSQfEaXjX6EzDRAOirpEaHpU6V7eUbFyk3/YR5AQT
AgWbS5pkWMDi+4jF8GTsYLvW5E6i8DjZJWUkSrT6bOikEPol5Y4fkJPtFRDVk3RwzlNiiJfEr4sn
dwRRajpLfm3c0vwSc+0y9EawEVnaauE7DTECdk8GfWRZM2t9cm36WY1e7qkbMVqn6C5vSV7qX2Ju
DQazjbx2lfjQDZ6pwmjxS+lnH1M3xve9u9THcd0a066rz3Oxzhhays2EtR0UKV767nSHoY19ZEfv
I6gh2X5ICiukDMhWc3xVEVOE709oK+aUiSUDctqS6sMlxOOKMGBuoirQOpjaCFr/+doXHdEGeOn7
F0QRV9s84yYgqiGXwSZasGxk8uAv+I5iR5blLwEuyOQSjiShOqlgxI/f8YIFdusW+4wpobw0wJWC
jZvGw3MaSy3YMrDsfGxSCIAOXRCDC3zjli8+DoMPTHfKD9MjxZlrnLcYq8YhhKHmYJMD91TjGvZg
kcUiIswOyahrocfkyDHTAY/aCVCxRQ+N5MPkEfTxlBMjbMqkDrHu1RAbusFT17QsO5sUs2iwOeIW
7J3pduRqBIolZfqEMDcZ9sqvxGsAM3kXVKwjjHDg9GTBUJBgFU/UzcHwvLRLvsc5qUe5pLVmthPS
cpbtAnmnCdsuGVVIMJ/xhg6++91cWFu2xuBvU4xO9zh4vfyaCFLAvLlgDwUIcyCBatYJMlrGEHAk
6dfIeRJOmuQvTWJWpynGxJjZlRkRzfhBAxLA2yErnS9CdiAOshtt7uhHUugLV5i8MyROitXxlyek
LI4+TJ4Az3w6cBJz4nsxtNgAp3JK3ysZOIcqd8HT3JS0Q9tQz7Kbhz2SJryzA8WLsIx+hcdmRuAg
optGw2a4M4o9Dt7vvWq9TdpN90RNQy8Y3lQ6Z6eycoGJYpIqOQq921SxKBk2T1sghOFy6Ntgm+Ss
c7SocWhKL//iE952xmRyR2xvQdc2yT4qx7zL8awWWWj1BS81u+J0kxaQSiolgmuLopIxHas+VwVt
1SBjcGKSXZaW3Y1EzmFvrOeutLlusxSvWaf51z5C1Ndiwh/eGnoDzvkImmDH1mlSvFGYDcUvKoA6
oRdzvRlQwm2dbmEZlUROIt5W2LhpLVGLGAFrUUqczK3htg2AcvHqOGyUbcv+gRO+d7tkBAWYbTtv
Yo+0cxxklX+L0XcL+oeBHwaJvIbE1jZEF5dqI2bBJmaqeuOOfHQLMHfI8C5lzG+M31KkRrIqKuyG
OwyS8UbZtllxbUlMmtPR8nkIpbzumrWurs36XBiSl4nOUxH0Ztjon7g7WRyAJbgALZ+7LiS1r33u
G+/6yG41rO+Ioy/GVR732ZVwpmQ3zGh1cHZfUyi13iF9xtl1DFoirGnNyLEWdsS+nqJhcetH6ETB
9eLF1WbSvTayyS3BkaJn5y70tsXbwa0eBpnEBKVV1SleVHnbKfYeLWH3GAMWfT6U3POgVjtLIMtK
qiG7smJTfwsM1Z+BWqhHa3Xt511x6Fx92IsUcUIZJNpl32bXVmYNz5oQ3fU8pf1lLJYvWKiP0Feg
ofkz1jf2YjiHJcgW4OSmvMZKMr4p8q9egyU3A9iPOll96/rskfX81A46qbS4lRCkUhJFrFuI/WY4
EByLyZ7N/U1zaiLlPQ69lcl+1LK0eMIMuzq1FTuOXvoQlnSD0MWFRyr/2GRJRYD0zzPY0XuR/uuS
LcS5XUV42k3qgMrBbveA3aEJFDuGfRcI8neLgs1M0OQ1vCIiKCPYefmxGhudPFrIdKgnsYMk475Z
2rCQVlYyCG16HXrG2KwZFOZjV5rlaWys8lR7vS7Bl6ErWEWnNspAZVEAg004B5zn0SRMksOnaNn/
Sm+M7xrQbMTFucBe3s6GMj2NIrCwuCcUZfBP0GrqKoxdZXlWRC0OpT1csCv76GaREioy5OW7dCDa
GFniHScwbMiGc9CuSI2jAzhO7OuzvxKmiSrp+5vK9XAmFzZBAEwyEoEUIW1tJqfKGJj6Gt2Ln+s5
jKKpuB+FNcEnNFyAJopryA7Sm4dTVYh8Q8Lmm+0r0uAFBILZAs11IJmbLuuLjWO4dRyhXRpWpUFG
80osGW1z3rNOTSusBdNiVfj9wWywvpia+DVPnZxQLjMnfoVpEpkdpHH25nSlOKOZDSREbFW2qbSI
gPvliuWafEsKD8ZHbnQaEPQUUFpq2jGbHN3feUnJ/ma7bN92QnVCt2SP4Yh1r7ORXPAhZyLCrGZ2
hl9QbX/mqq9kW58SPnAYuWJq9PditFsIMVKdXhxApthvzHG4xCqPJFW/pU4gsSi7mhGVQXlbqCvy
gIgvFrxzhrYPO8UIftWowc+W3w9a/T/Iv6vzHL5HP7nneAlBQfhNFIe2NJ6UDoaYs6eOXvZaFeou
njnm/rnF+KkzDFbBqcknGdTjaAR+uAH24JQJUCI5wRRhFZk6HFAcx1WV1mfNxjP/nz/vZwHf+oGe
s6p/MF74yY6gailwbDfHuMUnymi1zK83WVcNBK215WuPB+M271ATu44/3nweOyNpIu4+NUdjB99P
i8iBc14Jhxj2E1k8v2jsflal8P0QwMPCWnnvPzXlEts1/HpVfkjL0j6poSs/agtX8nDsx44478Sm
2C4ITEVBIYz+anCpNY2cbywNCm1olK+UMtXJN2E3zCadZ5dJ6MHFrJyzTTrCRdWKFkS/C0i9b5gX
9EzED8lqSGaR1lVvba+M77GptF8tF2lLGPCfva8Z3i3cSQ7geJ4QkWeZePk8FasKE9toXHLzV/Ik
Y+1if3gbkaziiYUAwIFU9sPLkSjYqZxe+aFHIY9leleHJHsn0WjZzw3hyDiNSYhqsGh2DumvEWZ1
/67ND66xyPIgvPJIeE1/+AaIzEcX1Vt2COi3946W1Gdpj7/aBn5CLPgUgAqc4TB8RIP9Q0uqMjXE
blVnB9emeHZx/MHWye2jBhYLWQ45wSezoHlgAjY8//N6MH++x5QosCv81aHjZ+fM2cjtoS1GdKvd
mMSM8OBIaXEcvJSK0pikcme+DjQneKrs+SkP5uZDk8647eeBkLu+rtJs3W/bPmxIULegtEjKSTtv
D9TfDIOhjP3exGvkthZj+fEH4vK/ePWv8GpOCiCSf5DWZFX13tX969+w6j/+1Z9YtY+Axl85Sdg9
rqDcd9qawPtEnVG3YBcDWOzyWX9h1cFvKE94X7AYxyaH9+a/sWoLRU6Ap9Nq5o4HF37A/0Y8KvYw
K+jz3fLHBxetCyZeHkLm1fLvB5DL4nUvsRPQz5Wu1WmjmJy72obJfwzT2ZjkNidBtQ5nayD6kOxl
A7I03Fu8/wtm/OWSVSFs9+6SYZAd1AAW1KHTUtj2k0FdkG/GzniD45E8lhPT6SxxnS8DRINL6MH9
zYKML95ltcCepqaLuExG/jAa3CmQe02kWL/1ojrjZbvQO5KT2PbWmzbCFT3rcOBhc7tmfzEIyMSP
Vh4r76IjDgp+SuGOivqntNbUSHwfK7ObCMSo9RAO2G6ZoQAueTdvrFa3AGks9ZVGaYSoq1CdXOZW
xryVMtmTu5xnew+7vHQjy6SZRzQZZ49GOlOxpzASojYTg3tEJQUXAILTvWsr89h5fbo3J0FAIaU+
kYKraqbJsBcbTHMvzOxhZpR34wovFgf+inUJgzMuEQkwkOzx0WlDmn5r2xva65ST6enrohzhfnha
tEBk3uJaGtCJMJ3bLKnXONuFPfzO0AvncgicaWv0yjOOKgia+twvQfy0lL53Lz0nfmj72fSPwIuW
thGddApGzXbXROTziOeBWdlWw8E0yjk7uQfs/Q2BFSc3qItzLz3upSrHLGQiGiP8mOfxDP8i8SMt
kenWy9zlrqkSO9P3MSl4h9yANd23iIvNfkTzSnb8xvPnISX0oRE7f47jg12X5rNcLNgjS6ctD0Hh
FXbYJ1REB1vT/eIpa7HCeUQewHG+VVSdk7YlAyLour2pxKx3R0biFea7onAy4zXpGOjx5Ah4cjDW
2JadHZkQHK6IdRu3kx6DkAF4HLNhIZ4ldglEt2m28noUUebABrbrpmR8HfRgFbDvwtU9lygTx4Q0
T7QJzFof0z/Ne8gnWMOOeUxUe+ms8VPLuIQk6V7ZzdLgJEJK0kSYrZdXu8rNu0dNS28nCsOw5WN2
dP5Eog7zV0MfSUH0sngXD/O9TooMuZk4VMA6FRdNqelH6dj5ro8b8xQgag1z2oJtp9GvlvaUnWxV
1LvRr+EDF/Ny1BuWpukW5iOZfi9V78PGNxIvJIJSo+ETw66uvL4/IewTxy4b39q6LU4tOaznxvXU
ZllKjJdhtREKGHW2VDt7kdwfDap/qVVR0miBRhciUjLK0neHISxYIwT3uJYMhXS4CnYLPZo5HMQ7
NScXRKfgh4HQag/b5r7PNJIA68wIB9OJI7sVxg3fXpyFM2ttGE+9PJLAoN6Zfs8bnzQi2od0PJBl
BjTL6V0lC8K1pqEndO4bq7gjRfViMWJQGqWvsasPmUsEkd4FJy8Z77qAcfpSmhuY5tsEpjTpPGnk
D/Zj1zR7f54uBZIF2G9q2rWyINExXhAjx/aTS9O/ZtF0G6Ms3gsb+opZjeRhkn11n2n4TTSGEQU9
43yIjWyCmX9pS6AkUeJ5D1vRCPHwsG/JXqy25dRWkRcMI++WRP7O83D3Zld2kZYG6uC3xbfFQ0YL
uz84kaGGKXNL8AMmxOIqDXrBqBphL6vCuE3S5nYga0jzuailrq4m3xavxbqb5Sr2JPVap52lNO27
zGzcUy37NOKBtTuJawYQQPpMQDGMfXP6SPvSOCReR/eZNUUILQ93Iy0OTlRj1rZjW7/tSeEK4UAH
x1x4d7Hb3o5Dr+/YJvxzLbTRi8hF7L+wr6iNOXjxEEqrF1fCVEPU9Hm/13lQO71u1JWTOOmdNU3B
ZTvpd0ur9QRLkjWWmGQhBwowo9wRRUPSp5AevqzdXUf0BHdopZzqYgc93eLr1fZramdQGVNOhwbn
6NzAaFj0DwXw3s4sl/h+zMdLqTVtNBHw9ehp4tGBoBkW2vDaLcGzm6CRQJ/Ee6wkOrEClYY57qCh
HGtX7ANTEHqP0O3KNJJmP/rtt4p8pK3TLt0BI4kHic0qL3BOb1ymxXB2mlG/Sg3rTgXyoujSJzcn
Yc2EMKvX9hyy025Bo1/sYOwiy3aifN1Lpebf+J217zIx3U08OtCLAT81tlH/JY8T47kgamHTWh5L
TbPBD73hko5/S3zaidFcv3OGxjy3SHHCZpCksKJwS6N8Lvw9AMtyTOv+0EuirrI438PgyKIkwNov
Q2fBYVZESxzQB9OGI7Ik0+AbUX39SrTS/Kt50e3btFxJRl7bXKJi0KJ5HAhxFU76ht+rHY2mupiy
hjNhLB4NezhU6FCCYeFgFQEIeNvfEzl9RRtRfhumCs/r+Vl4ebEduB5Q4zqPMI/IzsMMnZJueGfD
JTajhKDTqwnKF/zQuJEbtaTG2cmcZDdr1hx2KrG+xrWSJIUbhNVpbU+gkp+zMw2lVd0k2gDUULfQ
AHvONYkekuQbAhENw5C7Skl1YcLXizLTZH6pdOj8lvaYauN6PEMCrt0g1HznamRA/aQBQ17riRym
jT0XNoDAvAh1VwnNPwZdvpymwXq0J12+YdxFtl9ckru8IyDWWsNeDZzcbLuGUck5a26HPvhWasON
kXqAP/bY33VOdTNWmhY1OZFUc6qumUF/6VqrBel36xPSsS9+hzfKlBFGqxn91uDyNiY83xe2V/sw
AgO9isVotyMeLkc8582tqId070IRCn0i+6Iyt7nYbvgaJBgEVbqvXRKFlT8xuxlDHE78Dxdzy41y
pBk6qVW81r433wOEumGu/K9W7sgI3af3BJUp22ixq0fMLsQDpEc9nEZ9dZTAscGymGhN9rqIeGAi
RLID4cqHxCYCvl7SduW2FL/LNn+bdc27C4Jq+GJ1A5F1Kr1i2uOA6HFke0IaAEEZhn/RIls7lHpb
nEFxakhoyqZGqJJLwywOfR7nEeRpCDsqqO98+KZQof1U3aKP8w+L5zZftCU4EDEzPQyMe3YE35IJ
G6DFuUAd+nuT+9/YnQvGkG6wIT9bPWbCOLuVFexlAJTtjFq2BdnngMAxZoONB6w2x9SrSKuFeVVB
H4vw9G0uhNGRpth380XJuOUw1saE8qX5ViTYZhN+naELkYNxzwbZTVtLWcQPu/2YFnu7SrqdXdo5
h1enVV8bL7DOMEWdXUEt+LSC1TPoZeGveN1s3ZepZbxVheO+EUmI/mtZE3zjFMjaKCgYFPfcZFIE
PwqwmZHfyVOLBgEPsM4yr2MaFYt1W7UopuEYb0oqD2Yl2ZCkURkbcGfPrRq9XV4OyT1JjH1rXFJo
RSX03DZYjqBnv9ex6+4bWFibspdMX2DgHeOK+MJlcoKQQ3LPUzs5wibzMwPzKepawMBVL0NvA/Av
UhFgGVvkBILft3HD+ZfXaMArKHSx7EPpG8XB6nHjTlsBuKmPZK1aVyIV1mNmE09SSNc/Z2lZn0UP
syv3gvt5SXfFQPYdtiH2XjfeVJFSMAnohaKMH42kLcOiMTexZlsM6SSGgE4LWCviU+vO1dZrsOmp
eO9KJk8hJhtGVGuVhMYwbHyS4dlOINwRODNAbgcOWfL0ZQyw7afA3+k+txi++SOYUL2FHSRhSJfn
0WUoIQy/3NCqMBfoNQQyiSc5E4v6WNf2XYDh6h5t0LeiUo+1nBEeu2Sol/QpZu/AahsrZFyy30h7
JitPOu2l1k4DNEnNfEKmSQJeUZaPU0/cH7FqHHUziTrCIA/Tqpnsk/bMUEbU5BWWyyMzzWmHkDaI
sjrOfs9bY0MWOVnEiPq3U+GGs467oDv58aNnFBdMU+yr1mbAq5rqg+IXymLabQ2x1FGq5SaPdLie
ENvg6qPKx9YWxNAxf90xxA+2NlZoFN0+GUqaKC4RQ6/2bnm5w2+iuXL9+E3vWkzqCJnYp2M+3Taz
xxiyc41oLjyqHgNsVpfiqppmdQUEHZU1iZ1L1zIltvX5isHAScMzmnFDbSGUHIbQC7zxwre832v6
DdSDX01/eU2ku/eMTl3Q5s7cjHw3Fssx9vNhu2javkg/NL/BHNnt9AujE/LQ5O0NKRYINFO2x7Tx
I6ii+k5K2tvBbK09Wvy9WTtGaAlxRubDASp0Jrn+I7xBnHWy5XXy1LdYJW91nfP+1Nat6i+9On6s
h4VU6KlKXjQN4YKCEQs1c4kSy7tYAv/Zl8zCgqDe5xyOIXJkROkQXoml040L25a3As1dpHVCj3pF
ym+YIxthhFWPlGfaDVq5wQ/zclo4EkTM5XISNKGuyXSHwV53bHmDX+Y2fbdycFkrHucwtcyuBYhn
og1Dufxa1AJ/xywzSjyMTczTptoqKPBqZp/4DlS3Y2/2GL9PzTpqzvci05I2kiaijahmzvkVDDdD
8z4w6HVk8zgqvzgOaEyOVNU59I202ttBZe/kvCRnpv7ujvy2h7lFDYn71nXgK3FTZZrx4WSdOi9p
5p6Q+LYHs5jzk0JUunNGu32wK+Yafmu+0sOLy7yyafAT/Rqwf4BpWycX1sSARmFqcgk4jvZzwYTU
qiFzCPI8dwMOArs+8JhhIm6JraraD5Vlb5IJpW65YsFZ169Zh4jRK4tgIhv/eVcKa2umRXztwmnA
02d+Q2kdwD73YOkW3DGK2stKYV1HEt0RU0+sY8fhyihryoou9TiLgxfGA9mm8T1rI8p0CIH6Ksqg
dtmMOb++CxgksnYSMix5XUuksSZqGHx0mABNYpeiED9SNx69shJRUZTDbvUE2rKbk8daOtW2gLoh
wKpppvw7JTR7TysM4mJN4uuQB6RrxraeX3JUcwqNdAtXcxecsSzzQ4mh6saMPYfs6zLSoKKEtWE2
TO87Hcy0yA5dThht2xIyjS5NP/d505+62vpoFuTwAaPitbcwl+zKYHffTihWbkTLY6xzBBVBjpVF
UYyRNmpG6NZZv8kbXzuPtrjJzNKEc1teJq73VPtBt6e+bjD54/XvpmlXGfqeNJ0B6oVDL4Nd6Kog
5Vf5ygyzrH9fannr1v3lLInubud4syDtAmVY04ytKiphj4Pvp1we/HRY6ZGeTuzKjh4fUswMt4gH
HIqW+TSyUiO1qkp11bNHOkaL/n14Gzzxhizv6NvNDUqd6Zh1s7mhhTyzRT/ht1Uh0J62tFq8yQZB
cv3QMeIyMv2K2A5z708jMMrCoWv31rGVxh1D8KMv1HYZ3DxCPFoFNDpL9aWxNWCTcRz9nVkYD+yd
d+aczFzR0G/zzyxwfwSJpx3sNR3fJQQJIAIbI87GU4pQk7jX6q3q6+BWJBoP0nf2DeNxSF/W8ugb
9g2xBVgpSMNEcqLv+g4TZZtQXbzCavR5LnoVLF888VDG6btvNFfdYp5z3321DHMni9feKPeq9z/a
lfeu+xnjbHJiCbkPNo2oIkNIsWF48yF7bHYLLX9JGy3dNowLo5VJkJvEIBeLD1ayiCDZVBVYQGos
lC0wEkQtbtqUDTrqVOtOkYSVeg1f3zxp1PQSKJz0hXGgKR+aueUvcZJLxq5hoMtmW3VT1W7S3oOJ
7p4lRgJwaCJXTCWFWF6oHShOQtiHIh94MbyGE3puFOScpd3bzLuDEDOz9pgVTXzjs6v1Yd0ZrVNS
GjfMdycq8v5BY5DZ7Uq/g6neavnYRpaRArW59Agz24ep4MnYgdEg/uIeObEEc0Dlo18onLveunzy
8h5aS9CBWPwx3fr/jdfv3+vVIar7P+sv/kZxwT6X9v/37z92f/ycvNcrW/tvP8BKyvr5Vr238917
R0b9Xzj0+jf/p3/4p1XVL5B4PKRNGIb/byT+4X1F4rv39++R+D//1V9IvPGb6zD2oSdaQfO/HK4C
/TcLF3MPd0i4wLDC/5sxbrm/IdIFn8ezwsayd+W4/skYt+zfcE76ZDdiKmkFcG3/uvo/edvcOG4r
9+3Pn//mOOVZfwfhsWBCAwxJWMdoGZurH2dwHvw5LR0hvWgDyJ7cA6EghVpNlkfEe6XuYyaB+nm8
wMASblrXzBujm6y9l8TeoSmhAWALQnvFKMG46hrbfZigDGzdTCdePnE71EKttS05Up7BpRosLCDY
vgYJGKgpdQyEAmdEpI8/oRd7vyvk/sfB6pK9k1WEIkP0wvGVrBMCHtV+xquASsuya2gPU7djWTD4
rPy8wI24frZl479W9HpHNSUI6zJ3pzrP2xAAC5NHZIj02tg/VHNWPJgp6knkz9giYI/v1s+poZq9
OWjLqRvw4dokpuu+xVAogINKSShn2SbJZd3O/WMuemyqxKLfKXIFNxVS40EZwaUurAZuY5K8FJSm
YWDlA52gAjgkPo68Br3dt7B2DmMGTYje6raWtXdsK7PawdsnrFgNxnXlBYiI8o1TT/mN5sda6MWI
box59AnNZUKq8sa5B22rtmNj65GOV/hFIKbuqLpFg1W+GCcEwxrWOyATudnQY2mCKHWh15eNm3rs
hb5GoYHf5IORSRuyoONdJNBm9zbd746RMmrwpVtuIdB2l16mxfTi5oM7ldO3OVfuthsF57iXd7dL
DulonN1i5/4Xe2eyHLmRdelX+V8AMrg7xm3MEQwGg2OSuYExB2GeHDOevj9QkpUyq1oymXUvuq0W
JZWUIiMCAbhfv/ec73TluDGqcXqw4sT90gWsncX02czjZi8qRQOxD+WesKLgpccLuUuSwIHr4KTT
bTfJ5Da0c5xFHkq5NZyJfOvlWb+JI89Df6T1rnZkDHYEH5KHA2MVem3GPqv9L54uhl9DRC672UQt
u65pgmx5bqx7axqa7Dwl1XPUieTZG0l5MJhF08KdbfPWoDxGKLowCrAvREgPMWSS19msHBmg8ppT
7xSYTnGnQFvfZoN4jkaDEyKUpZoojjK9H8vaOHl46u5krv0bq0Ypuqoyi7MQiMXcPXQGcWc7TaeG
IXtnpel67pZ9GON2UkgC2We8Wjscwh7SsxrzHSE9ZNJ3XoKz0Gcuha2Z8z4S03yjhrmXm6QO3U0j
cmayCEauhmETFQRqOOqK+lY78r3Majc405Yeo5tKZJ+cWLsPeWnvA8MTBg33zgrkPmtVkrqrHi61
/3W2pjrehmg/7uZ+bK5NJ738q1+oAJFiwXnZa7tnuxrVlUlIpEkRSd0nK2iSLfuH2IZZ4Z9QTEv2
wKBBHlixTz5Uo5Enwzqe+vBQWW6qn2U2WOm4sUnIphBCeFS6p6Kx2caYYqBtv2Oh5LrnPd7BwIFk
o7eIxMy3OarBlpmVEV44puXuJ5IbZa23jT2J+2L0u+Bbspzj8WSRHYJKKxKWYW3NrqRJHtgpB+q8
4zClLZGuxz5DEGG2EMtdlKLGAesvgDW7zDiSoNNCrNl3mpl8ALXTuh3C3H/Jp8p+TwXmxBXJ4CI8
AuDFHF7Uw3jF72aRa6PadC+Dsa8O7lS7xaY3Yp9OpmDMvi3slJfEja6dFZxf1LXhXNI4aDLqfHOA
nMHaxyvSUUJSK/0GGgnanwSdYOwX5R0TK1lSG3V1pNqbFGmruSG6x+A0P7rh1sRCfjcytdzZ1sA/
mhmQH6hN9NwdUNlPRL4sPVqDcxaQv5oja+4P+8RSoGB9i+jRGIapNdrBxk6zpUWCtgx2jIz2hdt7
+zLS6bWQ2XkOmeauNN6L8xjZ0U1QVS7e0tZCAo0BhYeqj8ExdUUH3BeF9clzNXqKIlme1YT1K3Ti
LfkkMPxNNzYfXSKAQF8BvFmrwTZWjlEUFzfq6KX1rgMPq+7f7CSQnCOVf0OOjKKHQtcgHa1wj3aN
Ick8dxlmymaevtZT/YU9Sl9AsTu7wQ2Qu3Nw9lbSrM1HhPrBbjQTDskk0N+DOQjYHApMzYwe7srW
M3YZ9dGpL8zg6ywd+4oQZtMACDqydAYkCcbma+qKeEOR6b31Av0e4mc6uIgnxxt3dudbxuneKqxH
/H/DlHyOEIOdbFx/Fyscd61RWKsRN3uyblUkqlXSK4uIrGC+On6SbBmE75usqJ5nt2yPk9N3e4F7
fm/3OerMRAxL88HAu5tB+HMtn36yHiV9KDKqtphykLFpxQmD138cfQtPpEDFG8ogulZTiIdyjtIt
qK9w7/ABdmQWgSUSgxWxNM7WK1ANzV5oExLX09e/Fe4svvcdaU12OxN+Jcizd+AqfAINBMfB50BZ
YUXeJXEFbqJos0tqDvVLx3N42+lWX0la8M+eK4o1sJ/kDL4C+aqK+kuKxX8N6ME5ZHNPBKQVnycr
AnFddibdBuHzSxqHSmAxzndeaa7LXJmXZoRHsI558q92ApzQl45+9xbYS+OkGzXO7b1u7MVDnnvO
MaeyvU/xWd2IJC2/DE1Yr6qRsWI6leYxMsNPAbLRNWA1k+KBSbOBYnEby1R7K1MYr2MRmFtLh9Wt
HcfmjTKaGDu8DusNGoRqQ2ggBEIGO8+G5Byy6ZqwgXOBZcRfgimafnT8NXJLd01XhZFaEUqUPvmS
irkyU0eQcchz780KUn+n+3ZDQ8x+lwsJkGNxwrkEcjG7m0YdwVPlTJH7qHTihWx5YU4h/dQ4AHfu
P4rW/9OV+238VZdN+Wv7Y63+UXH+q5D/f6i+p7j5O6UNmtJOx38u73//oT/Ke/8X5J0+9kRim5bD
wu8EW9/+BRgQRHBvKfr/0NeYvzjMepxF97Kga5cX/6Oyd37BUSlxVAph/uPKnoPEj5U9RlDykbAz
0m1HD4zQlT//kxFKk61ad5QVJ8odusgom52+XVkfi2rlWP2bGebuxbDt8iEmaPOyKGJWtZeb+Lj9
LtmKZZ1O2nSetlqO6V30sZCzUDNtZ3Ef/Vid0OkLZATL0m97I4t0CYqJ4jCljz8t+0SfDeXZ/Ng8
SrYR1Lbp1S2Vt89NP9oH1Px762PjCXMD5g/4l/0cR/qI9Me57ZqllYJf0lirbkKYki+7GZzT4XMK
ryrdjBxW1irqEKgbS2cQet5DWVuoe2Pg/sfO/JKmc/nO2I+w4FQFaoV8oqVBzFY5LJtmGozO3RCM
Xgh21SehY2HdHBd58yHV0vg6sGf+6laxf6eSwjtiLtPfw1EGNYSUSlzjqOrwtij9YDXWcKKooryc
0mSCPpvI75TcTKBsnmnUBIo5yRQ6l9Aswpummo2vhYOgcYVsXV6MuS6OU1y/9v5YAzOSzj6NvP45
qtr20fdb1jZotvoLLMzwlVN/6qPwoKfsoMbuGFX7M8tlcWSShURdmrEmH8hPXTrzQr/X0zh0a2kN
n8C20zXqiuxLFrftwZ/jdicIL/o6m112jk19Z8yhfUp1W510MM83cFVB2Ntus3NhpsqNZq6AP2Tq
pF6VMkxfmWoxMOcqdfw2Ygd2slHZzSTcAPNc7vBBR58mmgi6s4htgx3TjPZovLOnsrCiT2kbR4Qh
FRWZzROY1y0Q3kQw6LPNipm4IvMVEFaKJMXqbjuLKGboIKbC0Sf6YBfNeKSyEBHOemiKaJPNChOR
7Y/DrzECAFrDoypYgbNm3ldJVFxjxx5XFnXkOdTlvIE3g61Ae/lthaPuLJGYTes0H5g7MzenD2WX
VfiCQU86FPCh9aUeBwt3Phr7vZsx6cDtly+hBlTlNHXps3qFuMy57d9TT0frwTO24PwY3E39xtH2
Jc78/iv8nPRoasbDQ4IoZ9M33cQsLhpvOOQ6zS7x2+LZL5PgFUpqaJxQ3tQU24UrvjHnb7pVBP/z
oYfrEGz7KRVvrZ8FNG2LursXHAQ+68mUa78axDunTChL/dROD5CcM+8AiYloKu35xLXJqYE6p0Zr
FbRwMFZdINSL6s3opjYj6wsNfXKCKKancO3qmVzPsPA+J67p3qb2OJnH0ScqakaFwGweMdlCcMn6
bFNxSIUeWuTvdhj5z0h7vhjUuRuHGgWnmjN9tyuNhK0Roiy2gRcUr0lIC3GdaeDEfFmFfqOs1pgx
GMcevaBsYdv2aOpa2/bPC+hyU7X6XjTYV8n85nmmy0YOnKetrZdVM8YNttq5X8I0rSreWChcsFa1
QMxK4Z5ss2FrVhGyBY1yZV92HSsax3F3DV/U3PdQbh5oBNj7MjY5sRh+G1iIprX5Jole2c4Wi2kv
zQqQaJHHyR6fWXYMJyiuDLu7bAUDv33QXmxxYd08+YSxqgbPKlCysJgF3TEIYSJCBhmqz707VRql
GQkfOExCvEvm1NxZjTa+lraLmKcRSX+d6slgcZkxq5RG4uMWs6x+ZwAe/ozfZfheZ9HwNlmFuFVN
jE0LJbk3rZQ96WDtB6q+iyY/SDcASnIGkAPhYZgR5VqY1WOYNtXGS/2BQ4ImiSRL641TuCermsBP
E/Rz70M63PRhHByTlGWzFFa9H838KSzsbt9oCKYLGIbZpOasuaKPUSBK6p1tbY7ztxnzSr7tBejS
UnWYYsuol9iUvOSOs1DWdzekPTtEzVmao9AnSGDMLybXKlLz1ZtSdCwMYpVoW6h4U5PcBSMNEekn
zp1IhmA3i0w/OICWHxzhhleWxXEP4G4+9uHwQh+6eKjpeD10ognkyoyT4GWA/fOqDI6yq8It6FgD
03zxsNGxSNERefAQ019NnI5XzL71DvghVJY4tS4+JpI1MzQkDujnWLbZ7dZjPsWXTvodYgO3Tmho
5/kl8U3erpMSltVkDFmazKh41H2GykI3zrkWvH3kd/LWtouAKc3cBo+Wp51jEqfDE71ar15FPd1v
NRvTHW7JLt+3Rl2eJ3MKLj4Yy0cUZe4x5IN/RXiDh2jS9h6ALviooJ4/p+TG4IWqjfkQimyiHTwx
MkWXua1bML0p891+08ViviHWwj1GMSmc+ZBckXjrlV1LdReUCDNZZFMIJnOwqJIkoqkyLOlMWIuP
qiuv4eyCj+d6PulyFPSgZn1guXD3EBiNuzTtewZWckA668/Rt6AFBRSPTF9Wuh4rXgfW0mlCdXZP
5T3s/cn3j73omhcdlNC1hN0feJ6cCdFnqRlAu5TDSNjp2s3TZG4Q50ZMq5Rf3w+KNhMIUQXLmSwM
CJ4x0KA6s+6YJAW3s+uPx4aNEccSgRDgZr6aZex/FY2S5cpu7PoV9nf02RyCFNqzUe0LFRkwaXqW
Gm6/iE3aymiKAV52d3GfpFeUTsPnynWHTUrS2ZssY+9OTgVPXrQsmoQayXg/k5E+b7WWsnwsJv81
lkXIih2RZYdds+7E2iw8Ga3x3Ptv9CrSR45NTX11dBM3B+X6NfInx0lhlCaiNs/SYV6LOEQUZg1L
N4rh5OD1FOdSztOjrsMNMdFwt1TkuLvKd9x1VBROsE7C4X4WEo1jq7Mmh0FkRK92pez4XTo84utJ
pqa91QPKVWQ3AN1n51aIcezRMYaYk7sTt6zUqL76gk7Cex3Mb5S94ydkmcXXpB/li4/m94keVnWq
6/ipLtxpC8kxP7p1Q+5rh5nMLccHJ5vfWAB/hZP5nrTOm9sN3RdVNlQQFoDpVWN3by7RigfH9bIr
BPrtYOXGmS9HLoYpfHhpW/+qZrsvVm1Vp8ypUNvESExiHE3l1N4re0inNVIdRs+VRnT05Dmd3uZE
Tt5HM/UO+rLBzo3/O3OP//9OT8BwiJf4309HLt+/6Pcm/dGm8NsP/X564pSELw5gDm0LMoOs5ff9
foAirvcXaCxLCgeug4/RyR+nKMVRCUOd53DCcol7+Nd8xDL/yTwEBexPpyYio0xbWIrlnRwi3tiP
p6ZMdQarbNSfVT77fcSxgQeYiSht32Qqzr0bW1OVo99mfY4+lmpYwsOTvazfzbKSZ7nHol7w9m/1
stLLZc0fP5b/dtkJ5MemIJVGBjnH3au17Bn6Y/vol53Eb734QjsAOe3HRlMte05FNtoaDai6tMuO
FCx7k9l7OVueWVzbZefyPzaxeNnP0LwPJ+tjkxuX/c6EM47bLzIk57vSf8gIh37Qsn1hvjIfYWKy
ay77pwNQcaHP6YcxVMFOLfvsHIDeNAbVntLKnxFXqBSThBi3VmQh9Y7TOnvqkJC+u25e46MuAzTs
szNe67pqro7rRJ9quPfT2iyJoVZhL3d+5IpH166jB3t0km1vWj2MT9r3Zx0O8uzVzXPO+QQbq5AI
Va1eyTWe4PmpaLt0bYrxSzoSD7JSTKwOptHH5zou6DEWld18jot5oJPOd/icpUl+8YY+2hltNJ90
julmFZFItcl6z10nBXS3VQLm50rbNTkYWXiHDCLZ4fmAHhzZDJWZwx3MoRxoehbdGTIgJi2RO6Ai
82F6nJYdN6UOXrdUKnce+q3DJOvi1q3N4Ww1xXSAN6reabeWJ5SI7SNetGxEiWGk20JWyF11hCEC
lHl3O7PG72rhGpsiyIp7zP/qsZ2s9g2bTvbrJBvzSfZdvHHSsbjLG9u4KJjxIdvoK9eKarQeC/8K
ByB/VTrud8Krik3RSnM7FOm8H0zbwF2hRw4RTXMn2qo8J2M7rvEXAxtIuHHClW/4/leU+RydaLay
LBuzKrI1UYj0D50iui+a3gTw49ftdqJJB/mpRANC3Altduu9l713UyBZ2uMwqi6WFuG6K0xEAKDP
yPOkFQp5EjxBT2j0uWJyRURv5R1MTI7fkyJMrmZFRkGchvNdaicVjVI7ML4iYvLyVRA2AhjlQGTM
io5Ld1PEjst0N4pOcQrFEcp1skmMzH5FP2R+0kTInB0/NbeR1XS3sVtx9Curur+Hczi/wSIl5s7I
qvEG+lv4BJnOvvNqizNBFe773uWwaDYtB4FIblNbtXiU+5lBvxCFy7mw7oAqtlgwnKZ1yXpESEvT
wXOCI8qs4EiurT7aUwIkHJk+SqZgBO65cnSQv7CMVNepyMCYhrW55WRjb2OjMm/dSBTDwohly+Rc
s9U4fe7yMA/vdGTJjVM76nPGERIvM1K8T00Q4d4evW56pEpQIQO3zACOIaKD7QT5qZvZ3Fe5gbF8
3ZMs0u+ICTHvANngGzBsOCAXAw3XC33aGsCKUwYwcOua7JkirubNnJffMqyb3qpz8vFWzW4+8dXY
MVjzqTdewr7BYpoI2w+QWYTjRsUioepMIFTsmPTO6MmZ593LzBSfdBMU3Roxia7qXeaUdKRuBY2r
kWaoCvNulDsNsiD3obxPDt0YaFWN+Uhqj5yc59DNq/aB1nnXY70AHlOc5kri11m3Hm4HerK9TIdH
nYyh9xVEcRAVOKsyc7Cf8z4ZCGHzKuSIO6Pr2uQb+S6VSOHPCK3ZuNjc/ttF/RuVhFTmYnT+qzqg
f//2YxXw24/8XgUIwVZPIhURYFQUdC3Z0P+oAhZL6x/7vmTfd5WLZsKyofAtsb1/dE9t/sj+yOuC
+vRREvykg/grXQTu35/qAA6My8tgTcQhLN2fKWNRa409mZXq1g0aFxqoZR8nJQzOLXNGAkYE/wgR
U3lCW1ELlGo1YvIZjftACOS+k019BoDfyVebSfKlpFtEWwW9Pm6wqmbZ6DR2W9Vb/WubwpNow4n1
pJok63HvsR1WbYJIyiHxZ98Nk3joVFO+FX3Q383aZ7gOywf6TTprF7dgoIddjI774JKpgYIvhbXj
coDfOz5vcVVFbGjklZVWAr8GOqg1Ta6zi0ZvCA++JeZuM6YJmKguA8WA1DH9VrtGfReHdp+jE8jH
uwAsLMoyzIjmhnSYibxxXAHusZy0NXMM78Zqz7PKn6oGLf8Cb52udWTX0zGEOpRs8nwamZbzBssb
K5iBW/Eg5+peelV571tJ+DAnaX9XZ8OKhIWs3QwRWPJ1QJ7WPhm0e8j9rKjX4K2InonZt5ZpdFps
gD5h2bpVqXzGmdy6c7UZQHy19SEQdtzt80AicN17LHfhztWxOZubMcl1Ya7Twhsvyp1z4q6xOxtH
qxElIKgqrLFvJI7lFUUK7zkzMhZbBvuNeuhB1tIrcpjheXYc9OMlrXvLDwiwjLW/IrBE5zuWPS8E
BUQLO8QvFCXBXSAmY9cHsLCHtd20CnB63fVue26oXxCb1CYD8QPxECKAw4bKc1NbTb/cOCBc5zGx
AS2PCYAh+t4wYk9t23WVeSG7ImkVhs2m6QcWXJBjmF5fwyCScn5jcZ0K/Q26cZujIUvnOQv+Ozb6
/iEu+9sFjyHNXy54pW6j/1m/6zKLi58Wvo8f/X3hIwGR0bDjIn62XQ4Syzrz+8LnWb8ouRi3TXzP
i3aMAc7v6yD6MDZHoVCAcY7gx/51/lHqF/5Tge6W6ERTwB35J+ch999weizGkiWQBRCBmqk+9GN/
miK56VjntA0SMM40LkCSAJzfzMxUIRP3mlqu7cmowyTsRlgxkIpC0pX0WIjBYNCwlgPyx52axzzd
lnYZ1pTZpcCaVPXMX1dmpJpveQyYnDOXRbzQQoqyM4B3FiIEsMYkkGC5UMc+FgxFB6guGZFvYDk4
nRGdxrjmrViAzJU5B3qLLxGxxVBAWReRtBCD9eKSA5or1mUROs6qg39Z7SWQchQkqbH8iApgv6TU
v1dZtwygqY6QeFYmowX8t+MDgbaIQGIx/obeD1LA0bSjRldDzivS8lTauvRQ17rNt8ZD4JEtiV0r
ERXgxQp0y3CxpvEKdEh1OCRBXq0qPKrwAmWoD8jyxBMaQPvdlUC3ytLoDqqP1DMsMPQlCjZVo8wS
VVLeiEsoaz5/hfbuJXFIkUW4G1dEcvgJdmSOZ803AOhcgcIq5VNMdPebCmqT7Aal+c+sUZQ3iIHs
9ylcwCBdyBuwBWlxqwGTz9VUIQDuIEKe0inm59T5I5/aSnlNL1VEuiUmnx1sDoKmbjDVxQEIf1Og
KbuolAGK1wdiBX4ez1IQ90dV+rRsMOAFKxcCeoy/I4DzkY+54Wy4r/k3v32hmRmm6JyhZr3IbvmG
+6kbr3ylTfMKQmgaz0O1cN3GFFE6IQ6ozO+NXPIRSmTMtPX6iL96TZahLsg6rguTFd4jii2U1MNk
gdZ2DTdcIFo5fcUKHCUnBKex1C7LZwNzxTD/GgUdV8LsC/+FyIMHJCb2biJpwFpju8fFLpvk3mWx
t0iDqI01Wjn5VFjcgJg1lrs250ZHntIFu6kK+U0zur1wRUQJ7y1abiJOdGDVHIxdK7ftuRukJlwO
nWBLDJzP4R55t0B2lLlui3cwbLj5DIijm6CXHwhEopBQfywyn7YSl2ioeQhpbvIFlxWkBc5gYUMH
L0F5dypQvMfr1EelvyXunPtN8FieSxqD1uGDZmlAvFfYKhXvO547UIE541CMjUugQDHk3DGBAOw+
jsu4tJgNvrt+uU8mqoq3bvmKPIWaPLc7AhpEwy9razPeA0Lxt7TwY/Savb+tLFG9IdoPXj5u4dhw
ub4prMVyedg5IVVvgdND/FMdl2QAUHQdQx4FenaUCqRx4CpzLP8F7SAXriVRSK2rzOOG6VwT/hot
Se6A5ZGAZBrvGVBy8XAz8mWbLBzAXeo3XKT6UNsV2iqng3BoMTsD22oio6oa2GYrhHUoSVFnYkIu
J4Y80ovx59hDvxrinI9jAoCMm5EvdGkt8DyA88c/AdEK/zHOTWxilnjqJSEfk0m3dcWgXx3BLILh
B8t/npFeguKJJ35DiRsay57hafw9bhOpa1L3jBAN3Uysp2S7b8yscg8OCMYdjnz/jMzIQAIYUX6C
MeTzqpFWyW4GExohAMJmxhiTwIMVqpLxIZdA/x+mZqxumQ772xiB315NPMsf9DSvSEFEEurA70FL
bh1p1eNMIeHgyTQD8dRCXOQK4u5/qLjRmSdHaf2Wkvl28JH97JkWyidXcc+DWWII40WJnh8bADgW
cRKkk6iZDzymC3zS8Gnub2Dbi6fAxCtwCksXRIQq8iw6cWDHLUJO6L6zZArrbuBbyuLAem9iydKM
fo17isRTbvDJmfladQOayaS9jsunEOKp7ibxhHN/mDZg2ZBA0Y/gfhFN628/ckMGPKbo7pxaXOLS
F095Lng/SQ4db9v7y52D3aycTog2+fUyDJpvYQopKY5s7u4PkP1y72HAE8mNVXX60AHrrXcf97wl
LX7IbPnM2M2W+79D23Hp4t5/QQKFIoiJAS/RD6Ju7/vaTkd0Zw3rm24QDmWRWu5HfwLViXLZfzHU
zBf525KWNCLON5VLHgFGZE93x8RrGAhQbQ6adqAhrpbD00UEm5+su4HLi+hz9/HE5b1nvQxFOxJB
Wds62n2srGUZCWc/kD75IhCOFS9DGE7pJ5uGXrzOrGWVEj2BFVbU2u9+BjIx6eDWiqiTZHUU3xhQ
+0ddVctmUKPExTC5pFEQqicuw2yzkNEt4An2Sq+C0RZFhQDpP0XTgeVHkTgDfJUSYhViVBRENcz+
TV40LegzNxih0DWxn93PCY0gM85cb41nMXxhK4UV1to5X1Fh8tSk3chayzOJz4IlBvDoIGnUoWBz
vpVF/lKGQp84IHXmsJq8AUWwo/STtNBu+MtGhKM/e6LXVWH87rwrzRwz4Nnt1U7XcDZAKrQX21Tl
DbaDEMhJGD3HME6y1VQEn2syvQxZ1lTt0Kh0665NN+EZWHW5yI3h0LbTsYm6Ci6Ar/Pgyhi9JMyq
/cRofldVTb0zHNe/kvSxSnL3IeCQa35CPY24deWilgiOzMRzVtWFxGk5DiA+jpAwjJnbotyYQTg0
LXMSp7aSNbKR/CA+dMPxIiE2rFTt0g9dsYvCmBnmgBE2QnVMB4iAQ1lU+JYmB4vjwee21OsQ+wpo
QTfy4c1Z8503tu6pSXy2ORCTy7AOvTOJGM+Md8tbYxFDx4ss2l0E0pkg78aJvHIbEmaFJqQa5QoB
THeDS5ReFglJoMkMe3wHOZUQY5M/WwlW13NWN9Z9nQKlMNpm8AgP0f7O61UPxRBBNyojkn4Gwknn
Re5d49HfeEi98d8n9GL7ut9Mi0A8p7cEycWi78vZOLn1dJRMt1wv5xvy/GI3AxdjH49NwkWHZ39h
76QxsiU3GD4DmEUvjEwdweT0ENlTsRE4dHcqdclYbG1935jIsQG1OFtkhePXBP27gcZhJeid3npx
NN/n80S4jtvlBH1hcwsIbD5Xfmxtw7p5qv0Ohb3+UNs3eV3etnPAEoUTdg3qp9qG1A2nLifrVDLq
P9h+2RxTJOLnUoEQ4qIVW3Iv7Eds+CW2n9rbGjjHMbE5BvCSPL0yjNi4VJ3GnIo7NgGmpBYesNAz
nGO2WAtQ2q5VoYqDRPq7p0tGzTrBMBnJ/zrYKV8YSBTjraEvuUmYlN3OiX3fxYBKWoBvDymCw3M5
Ze2zHKVxnj4cEMaHG2Kgdv3SfngkAk6Zp3YsapyYbflKXidN+7xDD8b9LdMnudgtwBEYFxMxCTBs
4W5SzwKhjcE4KdMc+KXrvhtp/joaNS4OgZl/3Wvd7Aw4PKCfXIIGp8X6YS4mEHuxg7D4h5vZztiI
MBUd+8L+ViGh3spWDGuxWEpYrcRxSrR6DzS2rA29i/GVinhLda2pBBdryrSYVNrFrgKNU1xY+XW+
jUsBRjqWLidxLC6wNaZNs9he7AGcwplxj0scuYKJ27GQ0O6vN61tPgA0yBDC25lGUUPmzpg8xIGg
3SuS3MoO7tz04TcW/3AXJbLezDB4MYP3WLxDwkARUjFs2begbFmYdOwcPHiUL0baoCienEA6zDdF
tNG0QHUS1VsXEP1t3PBcxKodXjCkZ8cZmSgad+I00RDN2y4y+cfEjXcOPZnnIRw9bnFIw5ZxQoVF
4cdCmjMDh/cVnsM6v0R923xaWDA3ufZunbSAFEI18Jh30nz1B0wYK0gHAVOgup6gRDhVZx7zFE7R
yajFLGHIqMRnZKS6eqArbFA5YX9WtD5af6Ca7UuOIXZcem8BMXH6QC71UE0s35PpI3sResZTlCTl
bK9lBnoJ7i+yoRAgh9mpNy/K2XUX4JIDnmFJ0aOrbecolTT/Pi0puTamnbced4/09dbuqEEZ3VNt
FUNDIeL0FntTXJPVdzLFPD5MeIWfqEUzeNsDZblvUJ/96cT/H8xVi8DyT3wzPHYQRJaMewmNhmP0
TwLMLgpwG7RxcghK3KkEf5Zq/DQvYUmv1jTP9c7KfaqRsrAzHKowY+J/ih/lHXhMV/nbojZV8qdh
5hA5opxlGx7skTDjVVAQILXpfBHIizCaKKTYDKp9rOIoBLAVzMW2gq11CYtWPHlmJy5WuZhX/vFl
QYeAIJWy3bEQqf44YS1UF5RRYoWHwliwxqRk0+6HiulTkcGDbmNJ5dPlM8WR0YfV21+/+gds8adv
hZd3lv8t+lvmxT/IYgsC1bqC/NuDPWUchZBWTBU7DsLXhC8kmjAjzGrw1FOKjeAolvK7sHD13PRW
Xck7y5n6dEbJ3YbRoV1O0FUdEqjRBDZnmIIp1N9crkUR/NNttJgHbZc5H81v8fP16v0wNpThZRBu
ehRh/jR2DYSwtKJogqpZw5LE8+SMTf1OD3h6qGHnPeCoowNQjvohp236N5fwp94495NDDUT7Ep6k
EmzDP15Cw0ZZ1FE34DSHso93A0R+S0vqpaHFA8ICGDwtBUkimYXz8VgtGSCErOsMWwNb8rppquUM
xpX96zem/tMbcyxyTXFPIib4GbTp9malc11Hh8oJqVBDQpyyjrwwGsgjbDTVFI8VznPrOJWUrZsR
7Ul6IkWtf+is3m9QXQ3+i2lOnJatj7pYtBxjjZhDVGjNlO9xyMwrC8iuYFBIr6fwoTdvDKzKlKau
HjGi0xj89tuhNM6H8aGbly5AMVXjQxTEeH76ZB6vSx33HheEwBdz4yFkASXDCeivL4f8SQG+fE/k
0lpgsyxaiATB/Pg9RcKocWC5xl5F2KMgMsxFdPKwaHDPIL97YuH3z5CzeuOxkDPNkzGPeFtT3M34
SByuVqiQWa7t+SOrw+L/crH46wh+IARkx5FSyWr5smEOjGfkPGF8KNHwEcLiQpPahnBRDvOU8+q2
ZBzP9HrquUM4EHz7+LD/Hb39bScaof+f7ot/i7a6fB/+5/BOtyaK9fcfXAzq4yf/aER/GBN4bJi9
yX+ZGFz5i700pj3Tw0UAPppO8x/DOJQ7psN8l8QpFDz2knj1+zDOkr84ULRJxFWsXB7r7D9pQv9b
GA4iH6UwQ9NUAev8czowQIIxRF85H9IC/IKaHbodTvjyp4vyHzZrPuIPqywARyi97AtLshd/+2lN
I1LBqLBHE9GHZ3Y1us28idzeXVep1W7/+qUYUv7bS9HRRaRgmTTc1U8vVZK/Uiehmg9jH7erOIvT
GynBXQhSa5Czx+0hF9ogUdu2CMScyr95+X+7nEAYyAdDCSkEX9rPk02wcJ49OLI+kEP3JHFUenGz
+etPyE3x4ydcXsL2peubfG/S+WmP1dqYOlpJ9dJdfhpt9dL4RMl3EguhOf8v9s6kOW4k29J/pa33
SIMDDgew6E3MA2dSlKgNjKkB8zz7r38fQpmvJCpbetW9rUWVVVlmEBEYHNfvPec79ZdfH8z23q5z
jEJop3mIx6hzpG9yI37vdLFD6ngiYNsDizZ5fWkuoO77Rn5KHXQQGbBFeaHzy7BeSP02mBlwxj6l
N+0FOgmIlmgEWSH6EmTh6REKFeR/KlYfCMglEQCpA+kAVi0qJg/IsBv0XEf6bvafVjLukUJ0Xwvp
8S5sOtN6hmlSrY3Zx7eLQtK+iere34C7tTe9OU/PcxI0V7EKx8V67jbRRtZ+/qTY0rwnn7ZElN/Y
90FYOrdOR0KmomBfDRKKVB924U0/kF2IUiLAbdDXyGidejf0Wh/RclyDXBl2dp5/lW72UMbyEzC/
+w4nxnqUXn6qzOljSAeJQySK2Gn+Zg41d5NWut6z4STvpRAbp03GL03k10eXTPBqBsobE422lRZZ
1Yih1M0EX23tGyo4MV19dg0RnJIoxubWwn+Mh+GLrQyfqJkW07ZIkhvt1+FTpyCd9h4KLn8I2b2i
dp/GAIt8nAXbxJyi6wJaAFXzimSceTw7oanS7QimcV5UIaF/RO0BJjMuXf+pxp26iZABrOnUsvM2
kwSOcIVVkcTrplHvZOEa76N0aG5pN/F3vGmynkqB6Ttr4v6AngHxWtN0OVd18bPmdXNdZuhgLbIq
d0hyuUXyGk10SXxmwkgJr0Vv7YY4M5+pimGvD/UEMiW2+pc+NoGcrnEHXxnaDZ/iqCb4gt0kWQ25
3ES1Ago4xsI/aoIwrkiXbu4rXTR3edNeBSB4X2rtdU8SgtoBWIm4FpOtDnnBvYAWN971XTHti9x+
iUhjhbQTQ7pKXHuC6R379yYeoD3OxOZah0Z5t0S0WFhKrsMJuRM+kMzcNSNztFI5SLxiRd0o2Int
G1/25zhgqBzoSN3FmHyCwC5RWnVsc30RfiS3OkL77byfhvAk82BRPIz31Zy+AzqHZG9IiKkAz3bu
8GGu4og3+9CjNjaCUewtGxU2FoPsMIO/Ojq0v84YMOmdm6FT3uYz7w3uaAsxnQE96Z5J1fzaGjim
Mh6aqyFMjHMXKqABEzgGlaFYonFLdzcNandTmzVHC1ObBolvGPa6JF98F9DiOk1QE168tCtoHROO
FQbBeJ4IpkCC3I9rxUZvj4ot4NlHB0weIHrFoEeU55A/bKtsPGkrEleLlnoXJMonULRMkOwRwKzc
6BUT2Xtf4IkLu858iDHCHKzB/gjB+IoaPXxkL4rO3+VMA+M6dbLs10OQNistwY0GhN2CXxKYs3Vy
bbQ1VC28UJui1p9j2AMe3h5AEF4QDscA3f9WGOY9ELJdh/b+kBh9siox9uw16SzrMFD1u0YYLrr4
djQ2FcFLO1y79isECyCUUaW27bQjTcp+cpzKXxf0vosjvu72rjcqG/W36R0pUm2gdREqv0XqFkXQ
h0D4VPomyNLOAtRVze9K4WVXLEj6KCYfhYblvDQlRiLL94zViEVnnVUBzjIzugq9Yh/xAsAVaGI3
DEM2RFkuips2947ZYL1bZm8rK8AcHHrNSTaegSsG71+QGt51GKRfAhxjmBfardszwu1NEtSTHspC
hVLWJ0OKZ48lQd3GMwo/2CbZkZiw5oAQPN2Uox4/lIhUV1RDHNn0E9o3meIBAmQ2JV99FILvxVib
T9i65L2tE7WxM1+sRZYn7YrZM22ILOq2quD+EpOaPiNdwc5QF2wS2wJwh5s8O6QEHWY/BnRXN9kC
Lp8k2hRWj8yrkf9oV14R4z7WDIr1gFrTMw7w4hTzWveTK2z8I8ted1MHTgKFyXOfsnYS+wJ037ax
5AxTbo4PViqtrVB+dOhJDz+XU+8cHExQtyoW5EcYgEY8B7RKPO+zOeL0D9H0TrBybSzSzBG9ztmT
7YVijU6ALa7RpdajrNVWkXbyvptT+RFwQHSjGqXft4W9IS4MujbdwOamF1UHiDHhzsOFdcCiSdoN
k8sNL8+vBa2pVVA36U4xMMFFX47HIbFZMzDGE2wDoWmJubGWyJvLq/4/Rf5vi3zEbt9VRf9Y5J++
NO2X+ccK//Kxvyt8+w+fngupiNL+W0//l9QEFQrlGoUV7mN6Ikv9/3eRL/5AzeTC813KOReJ3n8X
+bZHGO4ST8k/MRdK0b+VXcvO4E3R6JuY4h1yKkjIdSWPw49VnFU3vOJ6pzn4gxHb66KxERmHZZOe
CbZzzpPZ1MNj6LTBqTTjqEcSUnT3UWUM+T4FpJWChhtgwQJTiNdu0BNk0je086uJJiJA7fieWaAJ
2a2wyfaqWWIwIxHiJiJ7g+E3eJqswvnAY/+a4QIN+VNPA8/nY5eW+r5t/Ce8oEDvCjYEq5L475am
JQL4hvrpukceWIBi9MRDq0jz6KqOrmmK/B+4QGw9FMWYnlrM/tuS5EFYfnxwVK6xpYE43ZDnAj/N
EOIh0JYBMt7wv7ZWA4mzomM4roZcN8dwQLWGhCOtXu0BFq8eW5+8wDaB8sWJSjVxMI0b/cn1j9cG
USrmahQDIuS00d6eet0v10neHzWYvbVr93ywdUYsvcyFgNYBhsj99/Qm6nBdZJ75wc07fa2qwV87
FtHzOW4+Injb5khiKEcX3jiuIBHPuzbu/PUYY+9DEO03kEpjWAqrsWWDwxSBGpiAQOOl723nEQc5
SjSFxuaq8Vrf3I+OyFADMO/DYtiLDw1BspAlJwaJvDWi6darMuOrjkZ/Pdl1cAIlEX02WCxvKgRS
+8v3a5dvxZ3dQLrmv48WlL5iVTAOX7sKj9/ObPpi3/ekxDOa1NSPnGQMkh2ahqGP0GLEFq8trKnR
qu/SdLyCABRFhyATqT6g714gPY4L2dDWS7mRIF+EwF+mJy3L49BI3pKA7Vkq49D6UJEaoHaimj1Y
tKlkPwlE64MPDPmU9G274ehggNvWifGUku9Qgrp4bgw7e4ywxX6oq6i9AirkPyV68HYQMhu1oRC1
T9gtw3NQY5pO5goaCoKRM1vWeO2phPYxpr6YLQs/MtEo/R3kKsXeIcF6lTo1sGU69WoBm+PAKsZ5
78nW32eZZX8dFYT1NeOPvFwJhFoL+goj4s5PzC66SbOSv+UjrdipUlm4RiWqVax0Q1O65IXhH30I
cn++jvWYrm1eIRvdmcF1rvKYkIhw9Pai8wWRmpH9TIJMus+9CcENfA4QwFMX594+FWb72JXyg9Nl
sFKZiaLMnEkqG2qsHEmvDc04LLvOw0B361YotYs9Dbzftap1D1DoFCISgMTYew0Qzqy8a5Um886w
YcHMc35HvLs49WHho4Gpw20OZW9BNHdbi+yjUySX0VNqjTaAFcd+N9FaXDFxBnscoBFajbjnV7JN
eTCsIuamwie4K7ph2lplB1bXJP+OCXxrACa222ssiZhbPTs9Ywlw7pjXAt9mvMK/6LZmz9YtA5rl
GT4lgl/H/WacTPfDgJX9OhAi/DQ3SYJGsTwy9GQCXPkk3ytbjXBgaJsTFGSrYm3ymVdd+zz0RkLk
1SEs8/qx9qHWAjYQEROggXG2kRb63eTMJraAOroZ2CSctFmVz4Zy5r1Vu6Qb2rNREjZBWrSxLQgA
I+o+6yBxRgWxcX3hCB5lZxSrPhvNzaDUfB4DNLvRpNv3Pr/fPqLnnZJjlZduu1E6bE59QDyDMSs8
EulIJb7KqWz4/XXfQ4RxGf+7RdWsm8yKnpQbmjQeM2CNSFjoskMLmpniALAxEwuOuK2qdk0a6LQH
3VKsxzknnMust008WwAZavemJCz3KU1ROq16K9I7f5wSsLxF1uGQ9HSDVDjFvFiwY6QhrO9xPbIq
taoPoEuxstRpF3z1USiespIn1BJagG1YniIGWAxhcRk/N2PubZQB0AHvN2TblTvzhmlKVexhzTVH
vBeW5HEYrQecqxyoi5ppQ/YL3yRjYHA9muMA0mA0/OIGieF8A024nEE56W6LUFJfN55wzv8pl/5n
6lyxNNV+ZUcY/9f1lyn+VL4pl5aP/W1JMBeToVQOM0vyyWiL/rcyV5ggXxx4iRjGHN+9iHb/Vua6
fIjaxvdoZr2plyil8P1gZiQKz7QYzf07TVHnTRsPViOHd2h6ISWiaynflEt1IjM9Mnm6aiB+zq+y
lHQ0Cul2wM+YZrLY2SP7/vkQM+XIjWOJhtBplvDD4oCAxtxj5Z0/Nzbu8rVhVs56wtajzxNoti9s
atwN9irV6Br5TUh+DG+YDCXlI2ND7fUoAXvLInU3cwu8V+ZMQI5DEaKTyL81Y6Nz74eyH0hsIueM
OJdH+xIqrkayO14ye8xicIcSgNK6iUqzyE8xOIQ1iZXsyIFezYgdQs3IPLrCoVxX3mNkuXrJyAGc
w5olwNjSvUuYfLVPLbhMsfUw2WXm+7h2O93vi2rwLBIszZx4KSSAKQQIs/4UIYbYuXU13wGhKsBA
zGPCR9Vs6I9VAZjs+j8P4P/wAVS/lsczlHihdH/z+C0f+nu3Iv6ge2d5NHSF+xdD6e/div+HC0CJ
gC1XgXtksvWv7QouoOWhwDPMNhp7MM/z3zMJ8/8nvowd0Y8dbmcZfjpspNj+eOpth1sMqh5MM6T+
84xFZ1uEzq0Nw+JGQ9z7d7vpHAutocm5wI0j3iJa2bWAB/JEcbyILvUwI5ulynieOQNXda393wwI
3uoWSC4n/dGyQLlI/E9vN2IUo5aLnpjjoZZktof8LMDvg86vm6R9LLpA2Vt78sTTqGLr6buF+O7b
IP57Iu3bXSAHZxuIqNLj6tHXfzOzrA2kN2VLn0oTUPs5z3JWnkwMGAQW1cYUaP+ZoOLf/eSfBhYc
lbOFqG7Jg/xJk9C1XdKMnpsfm1xMdykNoM/4E5ha+nEz3YUmkuBf/8yfDsjgbHm7cERmJM7bIUxi
GlOF9sunjROUZxfHEJ4yVKu5Zxsf7WBQv5M9/HReXUb2zGIY13FyLbDBP8xI5lZgT4NReQDUCjG0
V0FrUSwv7gBvlAxsZ4AgN15WyKMLVOihHpziuahQoC5aA00ettu6D+S3Wf2qGZyenKVlq0I/cPrA
CPk3dwEKh7cPmIvBz+LZZ7JD2+KtD78AVEhcdYdYDSmhfELu7wTnNsyQ+4QlZS+cfDGeKInnDHBE
54gnnsH5wUBpc7DMSKlTzIvheKF3hnbLRD9SGfcSJBhMEGiwbqY4ImB5MC0U8t+MIqSr5FSDDtIA
HHzM6o0mxgsyWxpoooNMzGhco9ledOeVMU8PosPoHsSLp0M3yFz/RMdIbBivzWkgFai2knNjoyRW
rBJqExPQ7B8W1fl7Qrx84p4bSl7i8JIa6bLbzsSPEgQcCfGFu3QiG0CQwjpdd9If5P1UzONVYUbo
J2Bk0RWgz4PiclkImnlxnExDO90ZI9Y4P62RloOCQaafWNWLbtCiqwF4Bk3eAbF+bg93Jty7fO3X
JNKsgWMuVt7GefUac3pAqYF6Ih8C/COYnB+MGv220/XeJtawChGdWPSRsQG8qLLjHa6kQPZxUcD0
suGXsvFlTpa1HBAzcfBM9MWi1/dGEuF7zqOnB85bI8VT73PRtFf7z2OtndeLlOQisqjBgto7ssTR
dPnTIs5qkW0+fLtXI8anGMrpsPbXcTpRhiQlfQOcVmRAzEPV7ttxQM9goIiLTr4bxPkxrY0671aK
nnW/7aQVvb+oPbyK9XTTpT1y7XxefDlATuRruZiKorDi4V9EEj7S1OeKFjHDgmJRcdCHIc+OEcu5
ufgB7Kqc7ugxVCN7JItTytNdvRCagLkoRES1zOgWsKwfCfvYR6Az8Rghm4lH6SOops2FEonzL6cO
0EzvSaCgoKvprwN+qJGZ3Fz+nS6A9JXPZsK6oaODwW+9jzCTbMbQ93d93XIDR8vjobp0rA5tmwTB
WTDuqNZDO/ZEHkyej8XDFQ1dKmqpnhgXAh5vOmZUlbPy8tSaHitVmEQRBuUUDDtMP/OSUsUHCsKE
zOMoOpdIcoB9qEnalkQ9LA99Mm7q0JiDh6pCz7aKsBnhQ4r6LriytD+/MHEfPw+zUYMxTVod342z
YY34KoeZeUyBz7Vlyzmi+iV9xECSsi7NlB2sMzic5/apsoMImRgyx6Dw551v03qP6unIxJc8Dy+x
bxxvmbUM44GJ2sToqJyeVN4TGFMx3VWWMd9IJ1XrFpv9h9ZEiMmwSK26eRJE30TdwxjVDLU6eo0f
O5n6kvurpSdAcNt0RkQzHKRXhmwxTauk4i31Dar88HPdsmzS7IBmHEfqpjIL5IxQVecrzPw5F3xa
Yo018b4Upbr77DMcHDetgVJmw83tnySAjWLjy6GlPeG6wbONKh61piHfkeYAyLapXwvhEmnHdFIe
amhHA/+izZrTmAO31JyS/xkJ/g8M1x5FDkIOehMB0b0HZWDoAOyDK6XtqheHXgxA44g5kht6ubNy
Bpw39HyC54uJqZJ4dWYiArBgpePrVIIHSBy1uMaQ8yaGmbzH68GDdXErBWaLU8K18S1V/iI49YNi
w2u0ZJadb3VMdEjLzwh3KE895+Rk2vTfa7RfH/PGMPRRR7L3jnaO9HNR7jKrshsBZkhhSPyTvAlH
QZdlU+5XwdVoVOFdg1fnGHr+kxtF9XPWNa9zjnWAW1A8MxvqN0nPeWJ8xDrvVCI+wcqyPvZGwNwP
RJp5Xfmj+8jEMWV3M4xHB9jLsLHHmhzFSLgYk8vG2/m0eW4xskz9TkvrOY+8alNOLRCHIY/GDSyt
Gs5ZJp2B4XlQ3DBoln9mwubfr3hjNe+cyLeCP31vjJtVXVdBudPkYwJ3DtMe8ju+wyvswj2nLiec
QdMh+jC7HkQ+WXi3xPiYZKPiI3IFeWXAmYL2pZw8apGqwydpj2ThpWLgstY+StcYUBeLhQQwDUWm
nXGpJ96NMc28FnKEDhsjU+3nby6iYLGBpUpz09CKmR7a0PSW1JnlVqI9RucvKsUNm1jWUojrrOkJ
WK7ni6tJdZF/1Y5cGoJf/MXG1yd8J/DUcC8qDNw03gtuwckmFhpLAxrO0EpZ75uhOczRwDpIojQ2
RTBAGDdp664Tr+TICS8TcJkuxrLK5vDKGRmhuTPvcaR0NF0DLV81bS+sJcsyCSQab5B70RjOo5lF
d91YeMWqr0Z5NfY9Lf6LQbHpjPZzYZOcTluz4Y6wdI3LMuP92MYO63ROT6rZzHWJw46WsUvFgMNf
7b99LVE46BXrKKGSCAyD1xfyvvJcZ3iULvbEbqD2zT18MkJnGO7ojaqiXfWLcepaEPFor83GL19G
4l+jW8sZ+NZxXvFbx0FzyIIGlvuApjRreVsoJsWIf6Jw6UWOnjm47jqcpDr1aZsQylg782NglM6L
igQL69xgtxyrZqJZnsFM5pUhwqeRPTKJbWamriROsJZ10RWPWWmYp6qPjK9dU/v7qB/9acV3psq5
mPGsCYjbysvoI6xrv4NQ3izu0JC2YrprXIkuMZxiZMBNXXLFM2cx2PWVh48L/UJXPAbLFU0Sm8vU
59xxWctlNETNrqGzNAptFCUVOV+ZBxLhWRgzMCjOE6Xlo7Jjo3+ExJopAs/GKIy8Bwa8vuJVhZ/V
xmYfojffzSlRT+Jd4lEth/tp7ByMWwhuM7MEnmJK0vjISY433bgYPtVs7XMarCOinsg8pbLBoJp3
wzo2onnLfxAyoCI9ZYmuEH1E9UNJyPwxxUaKEcGPTwa6aMIhIl49s5cfECkI8KSEhGX9eJnxqg2s
cDqUrn+WcxvAd7bvQ48l3SZrZSfMUGwaLXJws1N9LAdsEeCbxUMhWWLQlXT0LmhxrkRKRdKpPP1q
xNLBBVMGYFTLHJ9jPZQbnkAY+rL4WkChJV731seKeeS+pjDoa/PW7yrzlk71sBmA7Kh2zg/MiOst
tXGAd6RfTBYmuJY6GreTlLfS7OT1ZPXFPVeb93IxZSfefDkijpScCSL31l6utqGfXfcp9h6SQeZb
Ezfru8pQPSN/y74phxzKC+4eCsip3mdgGTZquLNz8UDlV2whS5pf4c84J/vboCAH1wgTr3DJzvYO
RFF8cWrFBZE9j/AONd4I8L43s5JC2xjQTfEGblczFCFWkGjRi1zMnG4HOaKvLeOo7Lmurtt0Qfnn
EatNrBZFqx6W2KQAVlF7N6djwjSEsvs3W/Fll/S9eNzz6GMBU6axwBTgJ2EbGQyJzxuvOlRgbyj6
hwnbbbNIv3+9Pfxp98OBhCBD1GHbL9m4/bhb84Oo65Oyqw7flMQ9AvGnGqtQxgQQE7eSy9blshz+
+rg/bf2XH7hwVBQ7U8lO8cfjsiXP7KScqsOUZOq1M4jRztsJY+GIj5lEhryYH5SKWItrkDvxbwTL
PwkjOfoyS1Y84HyJt/JtAJ90T4QqD+SJsgHRXmM94bIha9Fl/EIs9yI1RuLNtmSpvHH1/e3Z+I/C
4DcKAxvJPBf7/94yfx+3n0oEe8X3Lbu/PvVXy85Tf6BhsRzhWIhbv2mF/2rZ+dYf3NDsrXxpe/KH
jrmkY445RXr0X+RFYvCvlp1Fy84mtJKGFPrOfzPr6MeWC4JXWtsO3WF8C5Kn9+0zZQkzSnsnUmd/
KSMujR5HFIs8feYV1zWt8/rdCfqHVtY/HdBljaBp5zD0FW8eppRfXYHcdc62Y3kbsZhrmaTSDUAk
dAjpyNz8+ng/9iS//UDU/pwvbFuIKN5MBKD16RYRhzy7ZaReE58DACMTT60Dke3Xh/pxnbgcikvN
taZzhWTkbXemiXhV96mQZ2jZOAbcpEGZpFmQFSram07TpXMRZdz8D5bGf/iV3EkOdwMGC0TMb5bG
sU6H2TQaeW6tBNaIV7FSoA2kIzSEFFe//p1ikQ7/a8G//FDuQEGKIS4K5b1tm01wcHN3iuV5LBUH
cqtlmzUmJl2YoXOpegsb9+uJaCtsEaRbDni7xFJRThl1urkgF379jX7++SyNS8OZ0DCwMW9NZdDd
YEwjZzl/64T40ND2Ji3o/f/jsVAQIRLnFubGeXNDhYlNeT3P8sxGGF+7pKB2uxxPy9JU+vXP+vHF
upxnZdLsZZiFIt4zHfr230u4466ieih7eYarifgFl01v5cZvruY/nTsWIXE5GKvUmwfSHBLGY7gL
z3rhTyTewOvDUzRyhF6gCr/+RWI5Oz/eOgqIiSssXqWcwrdtey8gOUobwj4nVpyS4EQy6FkExtLP
bugNeTQaX3GT8ZDGPn7EqLMR+QT28Tdf4+c7mDklyx5BEPwPnBw/ntnAElYQqFSeJ6+zTnZaCCgC
AfCcymi5Q5Ge59s0RWaC0Racwuby8KLWBc3gt83h19/mn67AQnmDksKVptL48cukGX3NPK14eJdm
nmmaI7SeHs5H1fyuw/5Ph6KKYYjEGMG23t5RU+U1ZePW9jkmEODB9xcSDyQvlnpPcSV+/bt+XOpZ
vqWkS71I6xj7/nz7VlFH8lZdAeunNwf2wqBGKWzQJnrB+AzFwnj49RHFj0vwckg8naj1lOLRgaf5
Zh3ELibZlpAWZwa0d4CVURy2DcwYZJr0FVuwRlvbwWsWeQlWwJBHKp86Zg1kS48botfqA6ETqO2W
FYSGF7iXWVts8AJai2wNBZLTX39lJuQ/PBIOL35MNqialpmHrX4qn5H1JHLKbXlqMzPfmRqxRhkr
YxeKNu2J1wISF9JeSBpSUMHFzmor+GP3yInp0c9JxncMcly168AJO+Dyefd5AjBCOkOklx0+dKRo
YzaJGBDnLVwjEYIlJTuTnaLCiWYmfKwxwcK4QK8xfhDPehwXyFQ3uOXZC6V9IokURvkS4nFHVA/t
fkVD5LnTREGtadrX4iBahz9NH7GhieAzHYEcE5MtEvaxrfZg6jiGx5lWbQQEr8bVtJL45lCXxWB7
2qhcAkEunbaSYfXeYKalTiPNjzOxv9hR5kbQWb0ModIkq1/cqrCqUy7i+UHA6r0zrM4A9UIxHH8U
qJCXKFNbLTRsD+YBAd/ce12qXlN0eHotEwvgE2Txz62oljf0MDivEPysTxWEosNQu/VDo9gEOqNb
Y44PoVOw/pKhPPoOL1QxA1oxbBJG5URGEVtt0lgmyRldqEizhHQe2FC8aAUgRiotADIXy6M/Bu5D
24b62RpoUH5jXkGv858F8N7PaR5a1krZzLx0S/LE2lta7H21eC+JZrOPNBM5y3kC4UUvuCPZm0Rm
XN5yBW/qXdWqjLCVnKD2Q0jbnH2i63JnS4hN5KAiZXJP0VKYAG74q4uPoAgGTjmraZuZBnMKp8jE
TR2Tn7BJbZPukFqgNXOSVB1aOo8oA4wCNIaqZb00Bmjm+1YOtKegIvBlbFSBCLaXRpMqI56/0gzx
RV6mS5GRL92liyc9KL2F1ETUFQigS86bKGzuZfwT/nMLWKfdE7LnLflSNMHEIoHsoMqCc8l4L6+6
wqGZVBEcB8s+0+EaNIzzOpS0s1TUQ8poiwYxnTOLBsOmtg4aYQiJ2aGSH4thKJ48Hc/XWU04R81w
VazQwAtvRzhwc4qzcjiG2cxh2myaiGLRZb8x20A9QdOKxxV2PJCHrpPMN3gEzXMuo5J9N1nO69hp
iUBwDLmeCz0/pQh8tz22g+qUmkvwFfckqbpmW9x3VUuHLgn6/Asoqu6rJzWpe5bb3/jKgRI3TwlI
DniOFUlnxMpvmTnTHumMufqgoAW0u9aZ1adJu+SyAai4KlsGFDsTRTNepp6QD9CzpGiXfXnjJwMg
CGy10cfQNugTsY2+nlWk9nUxMwyZO7fee+2oXuhRdhC+Kv0RL1Z5smUezliSpP5YZHW6dRxLozYc
uIxe4AxrlKHFxwQ6ZbcphqjdpGbj7pdiFOjDBP5n0zS5sa2pARdxTE5Er9UtCxMwLWwvDzTyDAD2
dXVMmqjdzU4/f8HkNW5hlxn3s1/mH+J0ADY2F92qKmJwH8wWVmQnvqLp4fmItbEJrDxa90MjdnlV
8oc840ZOkcnybwdIU1NimQU2lcwuu3Va+3QyVg1j9rBcrnw1XlHpegfLFrOzQco44nwJOJDMcJPJ
PoyOXonYLuvaaEMn0dhaedm/q1JVMz4q2l3vIM0rIvNT5rblB0AcaC59Me1aI8DalvE9IETk97yV
0O9olvcrJWvsIqHJFXWRlV5h3SJeo+urO4aD3NQGjr7udQ4ggRlWwiPRLlPEbVl1jE6/4eIse6K7
w2rbfQ6bZUALOUg8fYNsmR2opcbtIQh4/eQQ8RZHE9kA5TLWzqF56bXlGOVLgEHj7kJtu/SVu9bn
fez1DoMhZHtYKy4DT8jiTA7TuGMJurSiL0M9Y2IfxSCNEk4NGsYXPhT6n7BND3IiaAOPY1q9VAwH
+WruQNM8zYqMTIg6pJ6j20r7uVxGRiDcq/wjSB6v+jpXg2Sg6XbBNnO7dlskcvxCMxn1tZMazntf
BcCWIr89QKcCRVNMYYwiWiTRn+3QvSaVY28dGYcQUmeWjw+ZNnrjMdYIxg9kSng3Q0MDTGEt3Ubj
iNXTUHo3ewURgwSZuAR4yfHdgP/vQYXVVyyhHyZm8bcYfroD66qbrS2/6beyr6zPIWOozzqOx8ew
d7lyPPHJtmby5K9k6I6MRaIY01Kdte5JORDgN9OYVYivGD4Rp0Q+3njooNSdZV3O13Xb2Q9KTzE5
IHDhiWLnKiRrih3/2SgGyDcElWTXePjkrY51dlsL2T/ksQf9C3zqJzkY2bbstP1n6SucZ6rSCyHL
ihntezZKHKgfq7HXo08WdsZy4QcOvjFPnuZx+DOojPFxRLV8L5gUXJNL7XxMR4W2F4Gyz7uygABT
z3Z448s5JvLEsU+GP/qoB4awfbXisTrnkBpw90Egp0VoBCvZtXmzFyx5O4NiFsaOsCxSccjqmnZR
VthPsBoqwsls/VjFUXBlzr2+7yKomRghxxfyret+yzhexqcpniYHhJZp0JEP0M7eqMkcq70f9e2B
Xa5xldDjf0fAl0VeOwwXTKmGa6aHnpvnZuQN/1UMNSLkqhr2Ey/Cc5G0OaFMkDJxNwm2FxGL255k
FcHUgcrCwOrgDvehNWCaKpKA4QL2seYlnTr0rXPmXE2xxTJqo4HB4Am2E/Bn3vRAv4vSuu7cWTur
GQayR/iSK1kQxfiltBDX7nyj1ruwgggqZY3QOFP60PZu/NDmon7Xi7l99rJZbodJE42bLLMMhEEr
aUYRADGduBu7Gt2YAGjyY8wcL+yqMxG4w86Js43kVN0Nmn0KKHW3WTuYeG/xt0zvzGY0yG7sbNyO
dm3vPLD37qpgLr3DoErcdGnFfrvvuXe/Blk0va88u/tEz9H9PKoOv6VZKRAbbSacbJ2UGRkEgYfv
CbJOHW+aiNSwg9tVX51oCu9aTMC85eK2O9njBEqwLIt6Q+IlmU8S7CDzvqK5NbIx2VqmCrqNHy4J
z3qeJuinpRutnF523jnFGrwypDt8iEBe9ms31MmtST6euQoQF98WkBy7VWFNxn0EDmTNO7sV8pBX
Yzb1TG/hqMhvO9j/9EJ/0wsF2OPb321tfnJb3abZKxRU2oHfYMHHz//nf//1ob9aob78AwgvrRPe
pbALSIf8Tjy86IqVYo5gXVTA/KPvxcOLrhBFscV+9m+0uU1mJJ02gDVs6fjcvyccdn7sCDBRYA/m
04qFKWMJ+6fGRDOkXjEpUZ9kZ4Dtl9muw5+Abbzz7p2oiCjNfKjdK8oAjai3Ub3xDihggtj3MhSe
2N3CostzPw72vHcA7PVznbF98uPkrlNF85HhlvviaFWcIhFm525MrI2/DFEBhMb5Ca8u5sHUHzbd
kBRXSVXzki6iqrxmtFrpfT6LfUji9TrUkVXt8mFs/JeB8ax38MwI7k1Xz+rDME4g/GaS53GTx9FV
svgxtjaKYSLIwsqLX4cl6qgHX5wzSy4hgFctCZNXQLuiLtyxqTTlYiChaIBzB1ZqvMkiphPuDhen
rm5wA/A6j6a2cbETzIkMDl0LT5DBJxUGfIECdbaXrWoroIG4QUOUBzeeRcTRuAoyzme9imfSp2v2
q745bvphcHGaRoEwP41j1o56m0axM5oreFsOguYiKZlk5n2jjXmlevhtxG9bRr6eOl8yb4o8XUsM
+kkl9TpVNDyrNc4NKyKCAm98qZPPgOZm9qfrjmLWwVQFBIApKAkreyudguYGX5dxNEfM5wQiByv9
X+yd2XLcRtatnwgOJJCYziUKNXEukiJF3yA4SJjnGU9/vizZvyW1j/z7XHd0RDftFlVVKCAz995r
fcvTTH+CLuCnXVweY00b95FVGw8ZEz/MF53O/o6S5SRInt7ZXr28OnWKLR/M7mbJlhhDE1xDomiy
qxbb3r7qZHEE7Trss3Jser8pKxpeYz4c3XEmCirGXF+UVQBgOLrFWkaJFedzYMsoC2RvmX5qR9Wh
W73w1BZT8RyWWk/kYpi7/sp48DZP7U9ZVUQnqA/d3RSPzimvs/EFXPwcRKCtLto6nk/cDxU0zCp5
wiwW3uVGtTwjBdCMDRIBthAYhsEkEufG87LwKSYo8jDHtnargaPq6aNo3m50WvMqtMN8rwEZXgPh
tNnyVDcuNUWY258aW5QPEFszElDDOAIpmDbmvEkKYEObCsDXsWwNmNMe54MtIYP9cZrXdj/lWfTE
ydK89FZHiRNqa3qUngC979ZoAYOBNJOvpDPbRGM4K4RGiJnlNoPeQyCbYd21CZlt7WQ9pvjgu3SQ
pi/N2bkSDGojglxQI2BcGsZb+M7GJTle1YFRH0KvdOG7hvHfnuLcLp/oFVEyhU79Nhnxs2hIikQL
5l7wTdNsqYkqWLqa3FTI1aeQXsZFKef2McIj9nmAVFoon43xnlatfqmtJeTEpjGdC7YjbyfT+gvw
jPDAYKTZxjTd+Aad9MHL3OGzbqf5MyOX5Nmc+sTaWI2bPTcYFoKJYwmSpb7dI1Aztp4z9buktum9
p/YG42S+B+pHIp5XWhfT3OFEL+nT1Di7PY1AQCqZ1cKB4NMITe7KMJ1hAdRzuyHFjDh1gWwvJqU2
9xMq9kBqzbKtpoFsvhCbGdel9x2s35tI0zckCU3YTL0yMBfLeJLMxm97rf2UrO1DWmvOx2xVZBNC
siAOB4SqA7WuXtNH8g3kZYEi8IpRO72WtAsDWipHT3bO9TK1iAGqoXtYc5d6vdWrd3sgYKWe1urO
DL31rZmqtvEFfUoQHZw1ozSSn6JYWhu7oVLxp6JZsMt70TWNyOGlt0gLqgCVQiUn2j0TYt2kMwas
pI5eOzNOvuQTqo5ubK6MIZy2lj3NQTwO5mcDGNXB1BwYg/M0LVcG/dJAZvbU0XowNJ44GZMvAHd4
x7FbQ9ylu9UpSztqn7oXQLCUjnNkXoi9P0wot2ISBOeDofSi1SSpr7JoMh/GPnTfsqmgOTIkAxWf
q8iyEDCWe2LYYUzCb3zF9FtdUvJQdy294rwPipQdiRJ51ODGcAYmCVJU4XgXuHU3DhDLhXYbgZrC
BLsIyxJOReHCnawX2O8aaXc3hOhhYpysatPr83vDnncvUIYcIy3sNvyluIJT3OuwML1938j5SuuV
M9OtiZCpWutrpcmPpG6MKwEwod8sDfE3CJ8o8FNEeYWWXXPcc689M8uuOMvbqZ+u7zG6QgjRiBnk
PH+q9PaBIBx944o23pS0LvEo2vEuAcyz15PVOzWirbaabcTmRuJjPURafJNnY7STQxIGbdkKHC2W
3KeRpe943t/TtXTvGwNdSEyj7zFCJEZh2dYXEwXqtmXell9bFTASqyvH66rUowNJyHRj7MLu97gL
qhN3boF8xZvuEmBlH80MaBGbtMg59kj3KbJDecE7hCIy1XDzrZqSIM+s4q4INWuXG0t1FORKbfRO
n4Ol05MrrY0c3y7Lat8P80AnYe5fjBawTe5WpT862e99J97SpuaYz/Z4NSKMJAypm+I76TaknHcV
Wc5FbGxIJ+m+CoK9tpQHw0Oq29Z2VMTjKnKzHQJMF4WNFj4ko+humEz2+8kzG95F0t5CDDHFNl09
pKugaiDitrF2nADSJhJ2aDm9tbrMfyfDd9jhS80+CtRR22Xl3M2y93vs5l/aLOmOSF0V2DeD1GHx
U2g5nr/Qhj5Aa9KPeprLgDQCYwfrW1yttZa+e6lLSmgea3ucxxpe0TA/pX1uQndNkx1RLs0RnXO9
HYAOHUxZqTRlTl7ExVv7zIjHy6So0K7kM7DSXmhaoMM83RDdMm5Npyvfe2tKNrz3R8AvYjMssX2Y
RhNVmHW9SmS+JfoddBGesauE9d7o9WkgDdovSUWjpF33LNF0tE3tsyC8zo9jSpyEWG/fznV7m+nV
DWPNk6OjzesaYiuLwdeLbAr0uLx3oUZcQOWMdoThuD4OU5q2SQnfnNytbs2jXSjza7PQtHuvm6d9
bg/eQS4piFazOOE/vQNpGu/wQJPbWZHDYOcLRvxBBMTm5XtEqRUTJ5LKZFS5vhUPUDBGE8WZ5pi3
Wj8bPmu784heOzmsKaARzxJfmtDG4bxAcUqgzfoEAVhsZFnMfmAOp4kB4HtSLJBSNW6/qtMONlk+
J1sbXTbjNVYyWcI3vXo4zgUWDJLHND9KVvei6JdTnli/U7p/OhcI/62l/rGWYnD+y1qKwPTqB1GJ
Ic+/8qcNU9i/4ZHx4F7SrmTWwhzsD1EJ9pDflDXKxQTpuciG0BP9ia2wfwOI7fF7mJj+IFr86QMT
v6GPgDuKPUwil9C9f2PDNI2fZlporpUcDMmLbphMro2fR5rdsGbT4CV3aeaBwN0AzCQguo0y+9YL
aylPkslTt4ctVbYAljwiWzhwJ/YmC8dqmm8a3IvEr2WYclD9ZnTHWIlU5JCFCD7TNzaIMp+2S3aI
1lKf7vq80T8KvcZQjGekTNxNK2KXFXwQFZ3CKjYyd9xXnmQQETfpRUFP66uJupd2U9e4b5rSbc1k
rF04mWxoV0TYr3twYRbTo320kotuerlOgG9Skf1u2sNAgUOvzl/zGrzDakrtk6Nrby7xVIhogZOB
K3Bu7HhMjgkOUND/Mjk6PGS/T4Czt5KVyfbb0o7vW8fNYnBr83IHsiz0gtqYinZr1nxi3x3W3t12
JPMFqMnjy4YakbjfaIOr2n5LsI5+6uDVpDcWTZCAoBfnNmFFh/OezDEIexsgd48yHIeAN3vkLut9
sjw4Vo+anm9i+RwuLAcaZ7YBMWcYPTiSM5ffVQs1FwOC8ZjYYXy5TjO06CRhi7blrB+j0hy3Hg5Y
XPcAncXOAdUMrz0x6+el5XQZRQ0CXNcZiwutK+nqaZZbD5siXN1bN5ucwTdzlRmergkp084cgxZM
ra5rgVo5y0tP7Qx9q+XO2hjZWMyBR08qSMAeb5lykF6gpfFXp81ReUdJdugSOeymyGR6pegBDFyc
U7NKdPAluOPAWHrOaXbRXiyVBIBUNOKkWd60LccCJbN0FhqvrWV/TCQJBzMPzQ1dghVr+lIVMbbb
xXPFrim1+kpGOkh1vRx0p74ARjS5NcsvcTvuVpGt600xxkQZyqyhZbCWiZC+bsLWL6lT0WRCxe9Q
ZIcoDghAIZPHJVtLSFMGBcnR5onGMN/VKkbnAVl0woBMm736CcG4A9aOCQ+OOA6FfkubDIH4PCu8
gBF1RGlWYYvIvI7ij6JxlnqT5k7msIsvpAWPxDl2oL9mjoCam1yNZR9f2mE5vTI7sTnYdtNAeVMW
y3GOFiS+XWWULYJ+W48PzJiNCjy+zIXfMyoSmwmoWn/Q28LZlVGS3EH84pAdNyMshoo4R57s0IUM
j+8r6QPizfAa1GE9jlcr6a5NYGjMbqqYbzOox2JUoc9auzKCK73oDp9NAtyATcy5nteC9kNn6fsW
in4QR2ZEaCqB2hA9HA7nueYkN1pV5SNBYrQtmXDrNlTp3J0+G3Td9/TYm+hC6h2Gjj5dTzDo37XV
K3mmkNYQGccMz7rpK7Nbd30TM/uKhqX6PIeKWOYCkX9cOZ1VexnWbbnnX6Juwkfe9wdWouUBSOFc
HdFJMY1JIIcw6dZjYzqes2TMqm6/TlhWrAEtuMlkcH0YM2OsD1MWC1gW4TIHbq0JpESdfr2GqXGS
IIGpVKWXFts0YjWzBnTC2dKk+3U23YtUIwE+cFEzzFezmFAuwO9dA16J8EY37La5iEKO4nxXFW3m
NQ2MVZonjZBLGIhDnAe2lxqXIBq8rekyat1qiUqAkfEsHgkfTQIiMwy+50xG6VvbOOkryBPtk9nm
4wtn27HdtpWUPGtyHsFsrCahKVSnxzaKGNOBge+2NnVEe8kfkNDeNZWNQdhXvRDR4MKvvpAEIGBD
X3AS17qfMs5lOkAFsDE6G+6cZbcRTfexHg9a05rVlunZBBussopBcnivB9d3SYN9FEtkPpFR9Ayg
2gYZeg6i8UrdONju5JyYuogg6okY6I0YaqNHqgVwG9IqoOaF0aaaARGXYSdv8sLAuUmHohDXU1tV
1/S07XTvNpX5uennzwTvjJ5PDxwFiEhoumCo0ntcDWM6D9ck/4mbdRHdPRrwlLqa/Ss6iRlrA05E
mS/rcihMp2davKG6i8ILsh4m90a6mdj99zz1v3LW0xn+ZW/67ktZdks+vpbJj/3pb7/4p7teAugl
0A0DPagKl5/+51Tl6r9ZglLa4wAFVwIa2F+nKoNTFf5onaPOt7b2Xz1qPPko6nDdI7ZCN45Q8l/E
b35TAv0lngNP6yhKmSOQ68KptX/WXeYFq1RR6wv23zJbAs423OJWPpk3RjhX3pbQIzQjRQHlbzf1
duOhWWnbIxWi0HdrA/hiE6PxAO7S9bkVxEiMNR8R+RC03ntNV+J2UigbGs06kyR6Gf6KR41OntZ1
OGEXGax2btBaMrGwbZ11IQqFngldKTIY0OzQYaCBtrDLKrAOAG6damNdP4WGBndHEjC3bc80Hvau
5oF4Mxg9aO1wZoozuidVFJ/sTPSpkCqjs6gB/RTDHAZDXB4SZ02+aAoHNCkw0MzvfLaWKh3oogMO
is8MIfBj+DeZRpIyPCjMUKWAQ/im88tRQYiSKu6vRwUmEgpRFOqUan7VAy7ipJdBEI3SkT4Bw8+Z
mhizs02GD119ek91COdGwZDclssMYxJXEmwd/aK0oVKWDgAlQ6GUDI8rLxPwStPqFXe9Qi71Cr6k
KwxTqoBM8ZnNRJ+svGAewV6t0E3ZFDs7Ay9Av2nd4rp0RKRvCSWlEdcCo003JRQo3JD91QAXqkPt
9SCgLwIya0OkLgZZZIhQFE6qbAfzac4zY4cV2t2T7JTCnVrD8BpKK/hZU6ehXsHXsayxuyfl2E23
9tmeomFUYWcst7IQ9854pxJGg26SzZ6Dz50cgC6qs4F5Q8tpeFHd1U9tYc63Y5daGw+fjNa5/cY6
W2eUicZUdhpPGWu8Oi1PljLbQHB8xuJrB2BBs2BRlpxSmXMWZdOxNas4TDh39Eog1yB6/D5Utp5B
GXxCZfWJ7Aq2neluCznR8Rn0KgjP9iBPOYVSRts7wpmzrxDu30XoaTv2KwxGsfIacZMjUlP+o045
kcjkMrcC8jNKJ0MGdmmdKu62DQrCS+QpsV+4jR3gNv68ksfor8rtFCvfk6UcUJPyQkUDrigx4KvM
lVOKEis61so9ZeU1EhuJo8ohpIoQblxWLdsCsVLKeTU23DdnO9asnFn1AuJ3wJ0apGfjFsNWa+sq
N9eifF1jlEg8XrYsFhxfbpjPyQ589IQXzBKrxBmWfvOJTd9cY4uGofvBwGs4PVhsq3jLLOKFxJOQ
3Atb3UqTS7vVnRPhU2H8PMsVz9Ug0tzclZ5yjedExvH6Y3IDbNt49ujN636OG3vctKFJUCSCbs36
DBC2TI+Twuj4OZOWCZqavspy35IqMz6MSSInYIHJQLssijQMyUjKxvQly/p2LYOV6FiyemOro8tV
294ajJ0xs7INqDheEPdFzJpjwTE406oC99RUge2aAXJR1IlkVla4aXHIrk9LDuAYzvosOiy9K1+G
qpz6dyfzRGZj8cVjMPr50FcXSV9CH/DLkKqS/7HD7JhimGO0x3m0Dx/LbLA5YzYUvRujbxmJENQ2
b/+7U/9vdmphMsX9Vefj8Dq9Jsn3M+Q/fuXPzocl8dPQvUClZWKqsdmI/+x82Ppv8G+kAJMJIpIG
x//s0QZ7tKmaJVBUJIgcl6bIH50PAbATLw09CmXw5/8R/2aPtn4UINNxQVst2TfZvPFFSFcJsL9L
htVtot9Stp0H4jzqwa/XghEWs8KqVRo+76qWEZMmPLbvtZMZj3GcaffsF8u+lOj6NnlC05ThnF1C
0MunQLOJYfa0emvNY835W+fvsbWIpGSNMd4dlLs68zWET8eKgdKOyEBjS5Cid2VousrvQZeSgI7b
V8aSESYNfRKlBdNboQ1fCK9kuhrLSTLgS+LbGZIB09Sun17pyzLSNOMlUW5DxrNxBH6UXahddw60
kQtr0eo39r70lT7EcqdlaOQNN11elnYFp0XUp7Mx6dd+GdtI0EcnvDYydHGKYvskeg1UIh4S49Ng
onIJvrtf/sZgdE4K+OuUdP4K8G1B2fd0nbJcneK+/wqKlfwzxhn2w9qanrKzW9vamOkZeNWsZdDl
m97xE6Pw7iqnNq7KSWWuEhhVWZsk08f9Smba1nGs6uitw0hZZsU3xiCrD4hZGql1VncfL9q8JSwt
vR6sXsS+y+bylOehu48YO+yGzqxuXbf9RLsbOrGSGEaT8WjExp5cuY+0sZu3X39olW7xva8CFxgR
8HwT+H8wHnFU/PFD14h/o1Cvywcc0+ELhGxGRVUlPtMuRBvtQAAdUrM9FunUb2VcFpBMtH7ddSag
1nmY9bc6E1wGz5rm26iU2cVUmdZDuPATK6HxxagrcUnw6nQbD7a4Ys4831lu+ESVZ+y9JMmfsnIa
6cvl+iEpJ3DXGmkN2UhHRoW/ABoruKfNXh8v9dX8KO3hamoNceiH0DosLjppZJdmQCMh287WZGw5
+sU7K3nJay+9kLKa3hleQ/jszemdibASq2OGb3tU7XBJx019Zo1S0vFQZjcOwRU8R1lyyMwPvUjS
1leTNPSpIAwvXUmwaUI3ZAiSpGt8oJ3eXl9bY2MkKI6dsgSqVPItoTJO0usiNpurxc2N56Uv6y9u
3gCdLSdlnwcg3ByUAndXxkQtkAGbXOYw0K+Z5c13binGayvjtO0b5oBav4nX9IAhio7oKiPjXkv6
+bbrBRfUSCICZ4namCz1bGoZaXocU59l3DVvHtlBV1K23kanGP0nh9yPaxbEJZemsMB8QJHCd6lk
Pt8/MAYGG9jqjnYf9zoaPA8wrCY6ELQz1C6EpEgAPXXvtNX6Phku+t++q5eNnJb4IwXxclPDhr0g
RaJ5dhpZk+GZ6/vGrTkdSOZFHMY+FYQ9bLKxBYKSjma5x1cvriomnr5OtOuWs+y8XeBp3M96C0rY
QfYOe0lbriUj2Q3L1bIbpQVlqV5BzLYW09at1WsGNnfmR346EzoPOnI9nW/bOm0QYif2ct02lrgS
dRV+rRS/19WK7tlLRfdMzFZzkzAhS/2ixjccmGaZvJV6tm+qFm3JMHtQcM1hsPfEkmXONnNjOpc6
as1vR4H3+f9EX6q/Wa/OvfC/1it1+SknMRjjXzPQM52hT99tGYA2Og1aZnhvtDWpEr0gaGBpG+2B
qR2fQMDvZdDdaY/pksDYtObaq5GCEj26d+mULaRiYl/3jRwUsJuN9Ws22mB/vWaqo00t2vCllTSy
fJhO4kh3VPvWdfhXH0Cq7RUXGfuyQbj6D/dPiXGMbnvkYCeB2zmngv49qotdg0yEMXTJOhOqODkq
ZZaYMoYhin6+ftVD3bpk/Bx+5dkzWZiX6hXNhrhiIJ9doHFCLtnkbviYOwqbEJMb7n5T8/0/3/t5
P/7p4jPvoJo2yGVhyPLTe6fRnrSMC637arAAJJNkGX7lbsaU33Zt/iRQ216nczff5s5Y7vszidko
Sxu6SzJenMHVxHK2x9ya2mPlNBqJHoW39ybZkxvSDOXt6nbJlWPw+SeKKYwLjLS/jmwTfEWJfOvC
aTiSAuyipW8wJg1yysq9g85mU6fW6s8G2od+GMJnIxbpQXM196JLUI7SYLV3eUfqH+XG/NLa5bpv
pzE8ggNqt2hPSnfTG8b8RURIcX2jUE3TrjbEFoIEoYRV9iZwspO0XDa+iRj3SCMufCkdHnXOBPPd
+dGjfoo+2lCLxy12Od5emYUX69wa97nRLUNQpOa48YwGLWpNCzXV4/CFO2/8IvNCrSDq0qQOuZ4J
1abUqdt9HAXGfU1vnyT7InvUa2NlNt3YyWenSN/NqqiOTRTPx2wyaAO3xkiKa25cxfPUBZaTzzep
QEP3DzcCh8QfdlAeQ88kJcej2gPVxXHwp2MDa3UxkFrd3Me5IMR20XnAGD6xNucTTAcU5fHmj9zy
NcZmoVf1q23062kVrEnbqOgQiiE+ivM0v2gg0DCDYcCbbUYtTQqqn5IGc6YeV+HobwrS8onlv39D
xjF+GRJHagG+jwL1Evmx6Hc5jl3TpifLwGHy7c8S65yfm3mY73JBe9r31oKAyYiZ+bLWznGWxad5
quhMODG9sI2GB8lrbO1k8mABVxr04aOx2Fa4vwjOrJrqMIu120ulQHbyRB051fdaT0n/TC/1YGn4
OIIZ99vWM5dnAcMqMCvX9Hk/MfEaKQ+EF1HrOanRyQ0+YefddGQRtOOYXVQi1Q+rlzNZsU2CdNbG
iKtrNI7S29REqDyxDyRPnZbmECPqyXT9KinS586VHjiVrLEjaF6OTgQJCmKmgHEN4xzn8702TuqA
AwHhQncRa2ldYcMVUdAnE7LWtp/jQufjZix5oIu5UN3U8nPYky0LNgMlojI7ShkAeykfo6jvjqEu
2XVWkZpvsRkmkO6FXWeXWs+cvzE9kmN7shi3a9TobwVWMsZvDejjhZWdZNpyFVeRBcx+4UZwfWwz
1aUml7jagFc0P5M2yTxy0dG3p3Cw6Ik76XzfcrY89Grggb1jXb8aduYemfZpiIiIEMWCGwq4Du06
beUIcN7t7ISElDZ0fNJ/eIyShlOmP0dt0HvYI2A7hTrhp2v+1XGme9weOAJRUVegXzKn3ORTVtw4
ThHfGQX4QjYDjyvjLevpfBL970z/H2b6jLnVkvILVsQrYXNl1P841//j1/6sbpnre6izbGXlB4Ap
Oeb/Wd0y1/826v8hiQLmMt1gFi5+iXP/93FzxFdIbjCP0wVFr1rw/kXzWdWtf+2T1LF0uGmAA3xm
gHbGNP+wxzMAb+jADTaH0pzA5jKZhxMSYoXPn5ru9+8uzN8ciX48kJ5fDG0DKgUoEQAELGr87w+k
kTWrXnEvEfUv2DZJKX5clKnpmwuJU0j9ElHov3ojTsb/j5c28Vgr0iogcyVs+O4wlmiZwA8s5Gnl
LP9SemheybiaYMc51D0kx+BjYYjeItrriDz4J3+8+ut/vMzIjoFuAHIAV0F748eXN8wEID9duFOO
lo4UA21ksIg1bK0vkkq93FxgN/31Rz7vbP/xotwqUh3hgOT9dLnxgIRDhFDqBHTMeCxB5R2NwobO
SEPFe6p7AGsyMXnxQQyINqDw9B+28sLniPTMTWOzXdX0zedDh+gt3K4rcDLbVWZQLIK6uBzrkP5A
gtQJN3YtOG3POIDMza8/x08lMLcoXBFEpTRfmPKaP4MZXOJph9mJDVxMOEizgZ7DnA8YRt2O2SZw
7epyVlTAX78qnaP/+MaYCHk2Dnde2PvpG4N+z2puteKUKvzct/Rep4y/6uncnM54Xkti1EUvRxrq
Gdr069f/zweToEm6TsCfPe6bn5+V0fOwT2azQMmlyJnqgSFjj+p/bP4JpSJ+PCKp55LXwtFP5iQv
SJbIj3dnuDh9qeuDOEkFZ9DqGBYaqj+0qWezMxIX+Trqtno6dYx/sMx4WM5O4zSL/y23Qr0ZU5es
ljhKaAf+dNcaUqu8hhLiNPQND4lEfl5dGWjqRj9RGbK/vsx/95AQV62eS/6DsgmDyvcLg6hTCO7m
aJxoVRDcu8TYKM+o08HRQUG2YFfOMIumSbjL6QKKm2L0cO4vKveb1POVQ4ENWDJqLJyZmW64V302
AsrrweXSwcAMjZuCp8zCiDJdeHSj892vP8QZA/PTk46/BmYJIdzIj36GWKcwUgZ38cQpDFOYwTjE
WqTl3DdzX9QvLVbdDcoJ1r2FC4h5joRflPNkE+NlO9RnoG6CPipHD7niABbALj/OcNxfv8+/WQVV
qBI9LbpakqP5j9dao5wdEdyKk7U6XJDzZRY19AhBfuYjtMF/urONn58iJiDc1ey5wMWAyPz8ikWP
D5eQue50Jg5YPVZy9FLqv0wEH2fldWvaNHyw94P8YoQRUyxOi/eQDBn8ALNc+g+zAuDL+EOxZ3gI
ElOycCrAyfkSIfGgBykSRYxUXIUzqJyDnDwSd6kUBBA/fn0Z+QQ/LU5s1jrfMyNjycj4PwbGq5t5
DmnH0QmFzEJbdlnbIHW09LYx86U/4NgeJ4Q0Y9oHWIJze5OMuDZ2Hpqq1M/5u3Vc6ITkGakxbjEb
OjsywlH+xHaHWLQU0WLCJbDCFdUI+nu8e5P2qdaKqA90p6pafzqLiaRHSRKg5eLJSJXSiC1AiY5S
JQl36/KEDyS+dLsivUKiXN2Maeg0gYtCl4aPkSPRJZ/8VlRL/q5nnQhy3Mixb+AmqXl/Y/yxWPAL
LvolLgM6agx56PgXpt+AIbprzkqp+ayaQmUMd9GJ3QYBtqPVT0OZw+g1Q8d58LyGDD4yaDl8U3Q2
KEKsCFESesqFpntvuG+QNEBIl0XXZ4d1RkriN8MgCVeCxqgdQ8DtV0Y0MAqrx/CCUYD3gL1WYFvE
adSetMlEDJYSX2oxgDeyeAOor67vHMJv2g29sjgM3BQURAS/4KnOuEfIU6GssStI6w2Y1WjL0cDb
OqIHPFkAE37t6LAlm9JlteEIyEI81jzNXbLwa4vTgXAITdysLuJr6c/M95wrOK/ZwM4sYoF0bf0m
ZANdiKrNNqvmCr0ZWrfom/CtTmb3KKOEmJzM69+hHtiVHzHzRqmftoFnFtFNa8h213q09BsgG5Ou
r5/Jx04ujBHzEX1p4w31HbUQBcueHky4M0iM+r3wOutzpVgEjU1px40yf4nIyOl9qusy0Ae+nk0c
9owSo9oKCgwHG26sQsfAGpbz7PqLhh/MrfoP2RAiSHhnVD+iMiQ4eCzdLpMXZZl7xaMzUiyTlBXn
S+UEhUMLB8ss6iOXeE7GsyGVly8AlVr1Bo2mRjs/WcjpKQIEOl79mdaHbfJ2s7RUYNSlcHfg+Dn8
rAxnqyzjSpcMYy71yOUwxAoOWwX9ETrFfKLHQz5T/gncMd/Y2dFfLAugwNFRtFiPynCfLNyViAMF
m6ksG/4OZL/1i9fSvd7YYuVLTdIKKJHeusHkTdxeZQSWjV4FS3Yio9PguCjj1wVCd2iRQBYlOudV
bEusRopEds4HmAyS5zvowkdbqdE0yTpEsQ7/pgXx7Dc8oS7SEZO/fmks3hwVR3XJsS58GhQyMqM9
e5mVzKwa3VJ/qMq9q75XYyGWsxChvvSKKBBqukNMCXEF/qjILoau8y9WJ6uynQsW47U12KkBbBPA
4re0tG4Gskw8NJS8q+iMFXeq+f4PSZ3GinpeIznDuVehxSbqpDBrgId0H42nLqWniOldN/Dj+d0W
w4CnycS8cldx7CRO1UqWu+Z8FslyW5J9S8DxIYpG6F0rjIVRcjJcjAmKAWPirWGky/2QUG6YOYyg
NDTYnns4EcGZKb0YXHtB+iWWeJ7f1M/isftIKm6GVP00tgvEhghDxFHPgMqcrT24YYG9KEpu40XN
C64UTr8zvdv780FhJUiTiFZFlzQUTibtgCS1DW9mZqj2QYYLEJqE49CxIgriBguCtrGrUCcuKc+q
K24jvjtDvduyath4OlB+Chlxr6cKD1NVjbc9AxmgpLGbg7mB4BOS8/VqIygC6lrhrj6C0uSdj/zO
iAB6Irq+0Ugf3JwPOIM6qmRr2n98K37OrMklRaYYwL4lw1hqWYOQF92CvJ6QRyDHseRrTDcx37Pt
8AYZwsH4cbUS1zeaufAt12JevDw/QoLQz3k3zq06BrHzoBqdTq6coNgrZB8VhMvhjn/0IsEGXEqL
ta1SpUoWF8leLNigWAYg+vNN35Sd6Rz5ONWlOWr2fbIMCz5yOnNFMA5Je5gmdtxe3Z5n2I1OrC5h
Z1IxlNPRofXJKHO4riecR4ciDqkBhY3k0B+I+TG3aO95MyFqXP8bIqoXcBrmMXEe0wyT7LbH0Lv/
RoxmFmK94gLjms51wec/LwJZbiLsSFANk+uboNpdmOACHeOBs9XLFxOA/1Q99Xkv6hdCzrCCKUAj
x/3m0IQm32pidOhf2ci5DhNH0HOmACKT+W5eIvv1DFvKdMWNoYMH1ieCwH3Vth3v5HwnShr13eWU
sARYAhrQVrQk33GmbaLuzptDVKxupb6gtJEsTQapYoeiFd5T0q8zckjK0W672nh/fcPFW4cfLSoe
IH1Zr2fAoqG51ABeShkCI0k8TniUMG8aixh91nkA/0vi1S+gNji9N4L++PkTshNxRu5sViBQZcn+
XPCukM5fVmzbj7h74XaxdJPkSEn7ODT8SwAqfC298setqLjgwSoS6nnbXFadO6rONfNoujGffSX0
96o0iOhFhk+vUiG/z1etrcfZQ0Yj8jVo1duJbTCRWRLK13roeV5LhdXNM2aD+rqYWBhJPmTUCzXI
t7qI5QjvTrL5xl+NuxbXbswtP3CDQ3WLE5UPM6HiPiyJxSjQIj7Qup9bTMebclI8aa0FtiRntbLw
p72nctYpW/NBktJQadXWA56eXxSjzW/nQ2w0D0I3Jm4RfI7FZlW4mCQ9r32zQQZ1FYGZjzmKkPO5
XWVPvYK8ubo8X4Bva5Eq3EeFLTwvrPjV2HHO924YzWxrM/zBw+wky1vLNnQ6358Sy+Q+pRGwJ4JK
ZtfO4HKLuPrQHggSGC/iaGndP24InMru19oZs3FTKOC5Rvtzmy+19RrZ9FLOd4U9M5ElZzCEcU6I
xF40JUE+luo2ZJ2G2AwHncB1b5WsRAzitI3TGDQhWhRMK04nPpA2Fdx9CbPFTYsrrtsvHIRajMyG
uEHuRPKJWhxgnFY4I/OIJ8sJG3YYB2z7rqq5aaAKs9qbibhFjIdG/MxN05EzDpt+YtE+r4Ay67EI
VqHDxe5DtHbYplKukulMPDZqAyp9FMkLSvcRtJNfRe3I/Epz4dGXZyx8OvQ8ZiYkFRNp9jLff4vW
QL3hPXmKTR9ZEZ+bTE6cK5MBiCBIZft/2TuTLbmNbMv+yls1hxYAM3SDmgBweBfh0QebCVYoSKLv
e3x9bbiolyKllCrnqUGmRNLp4XDA7Nq95+yDCpOAlRrpuGYnMwPzsYzvtA7N0pGkL2ii17wDw+65
HlFScbersEHa594YKEIiJXNegaUwUMDOzee1sDjKQbeeBnsu7nDvkP8VAs8nH+Bg4KJxrY0tDCYu
/RYJQhosvUHHj7uNQUbFBELMbI8kdbAjLckEIpaWp0OFspiv0OG4zknNF1oZ0zqDQUhFoJb2MrpR
Q55iPM7FManr9FbITtM8ds3iyMl+PpRaXRJJXdflbVhBFXHmnHrB1KGZMHvmDms7HR8MQNFePTXb
4n9Kw4hGpAMW5YIwvOIEA2HoeGWtlXSKgDHn4aQ8RanO19MWNf/bOBoX6cr/u1IWbTERkY11FVrB
SI1TbCXdFYyX0fDfX9lIA+7j8/WgjLSBCyMcHlUnbrD4qoDM78PVotmkVxtkLZz4SefrZhLGrNur
kVQZcK+Nip05NWky2x6uKWn4Gtohd9D1YBiR4FifAPyRQd/2rGmVOVshLud54/pXoLyZshw3Z8ol
mg1IcUrffdHXhTwTkaGr4XZCtWfq7J/wjbhbi4jVat1SqLY8be+6bjppxuIIIVfslg1wyCyYRf2K
cCtaG6o47gzW6FnWn7KceN2qZ91rGx6hntiCfRIq2QnSfmBG28q8rvANPM528UE3MFTL0VS7s1EP
PHG9ghsS0YNzo/xWYQDJGxR25iIrbXKUrFW1jhzYZqBKnG9wOA3tvuq7IchRL0GgIrfoTc2ASgFP
pmVnOKxK9Hm4JBZ+BXpNoc5JojDZWMxxMZ9jOtb+2ljieI0jatdoWw6uJbOhFt8IHUC765SFGkRZ
Ydk7c+n1gHeOn+N2mF8gHKw3MWCjl3oAt9DxhLA6c9pZyWfVB8u1zEJFnihr5X7Dsc4eaEL8I6IV
80GPDOV9qIXxJXWG9WtOVYnSYO5eJ30igom6CthA3ak32mZGyTdbCqHROFSGq1ulacq02TWET50M
MSeXZPO0RKmZfCjqPnoyqfEhwBX54mebB2axjeWCFDN8YTSWvVfwPlrfuNplkqt1Zr3aaHI1mkgT
7WE+umSEfk/N+u+E5x8mPLpF4OUfOjB/IuA8xtWXr/9z7PK3kibyHyg4v73w+4zH0n7RdMbLCNid
TYmo0v36PuPhtwizA5qKvhgFG00qdIF9/H//j9R/4RW0HxnCbKGbOr/1L+cmzTygz5spwfhPRjxM
OX5oFyEa4x9aqpBoaXRuUo4f+25NGw1t4TjVQcFDiTMnroBT4OjeES9T7BLd+DgV43ibK3VC9VR/
zLn7waZYF70achTla5z5NagTvMxFeZ8P6ivZFhHiurxJUWGjJloB4xxbDZSaXBQrSJEYuXZnXWri
YF191u5TcjfeWPFvzQkHtTLtw74O/b41HNKEC8PNR+w/gHS+Mc5OLgXX0WsAdiGdrhpXVWwG5YZO
+Iq6nitHvTe1TrhOO71tbh9WpXa3yCVjmU2+dXmKtwA/2c6q7Isl5v3E4+fVUfnNycrbSRsfw9mI
EfIPgdSz22FZ72W6cM7nT7FnuPgr33BAVH7VrO8Gk+J81N4ry/zYLF2AdZ1yBOXYB9KpD0lrm+6k
QputmBrRL7BZJ8XHbMzfLHXVAh7YR4RPjMe1+x4FP9CJ/Fu6cci6qE8DmnWwYYqJhLrIwqk9jc+R
mB43YJFn62Z0bHPnHfeCs9diycl2AZyl4z7cDnvKhMCN3c6TBi2ZeNC9OSMDCtTEVMuPschO0Zyz
0qcECBsXgnZa0zVlt5N8oEkm36p+uZfY7IJF9EHj1A08ri3ke2Cn65EBlDpnYL3iQulxS9QEJEsX
C0O8S1hCPaKEqnNfoyWPlO1axsXboBGOg6KBJgxqbmLSul0t+QNw0e6nTr3v9WnPOeus2Yj0lFGl
B1Ep3pjF3wQzHM4qyW2WzWccL8bBBncH3GWT8MnllRKYNkRv5n7iCIUlkzcaEzvF6CLXGyrGEwCa
11ZS0MTG/Fyohj8vJVjMuO39sEreypGOd67P73a1nkc9ShCft8kla6yPCRJJuxF3zpRonjlpwQIU
cDUoe5t5fF4b45Akdc+NKg6gBGMctXbuZf2Iqn5Yt6NIvJsmvk+GfoLsNe4E+oeAgPRCuOwPr2Wk
vTugX9wCZRehDvmJhtdz0w6Uyfm3gu6cp5Ir5w/F/Czo3bnMQmu4E7h+VlOJPY1UPHQ4XHetNOH3
yI8Ve0tgSuNSM2aGNcDr+JyAmyxuRWF+TKx2gQHA7Yi8/VKDN/mcctL1rDRefHAS44OgK+DncxTC
+QC2AupuPOAsHU9NZYxHZBf2cR4V5S6Ll3zXrHVxh0F2CUjjG0+4rDtPV3Lx3mvd52VszRvNzmq8
EnOVNNJv4Q6lPphl4VvZOr2FFrI7N6LbS9aQbErkpOFrMcNb8lfZ0Vws4JAQyXXhLPoZ3g1qqTnf
sXcv3ioSv+6XdkfLB9BnS4xH6iZzG51oDqauaTUXOg33ZSWrHW7M10qBBNIh99qNA82xcmnfyxIB
XYmleJcj+rStJUVo6JhBAUoB83AV3mu90bvUaQ2pZfp7pYF77ZoCg/CIOG/WtUBY+Db5KbacM27D
BpwV2hlpky9jDft5q6KXzPpoKeZl0JvpGI7tN2Vqz9LMTn/YdP5iev7j9GRbxR20bPj4efQtg5Hu
j6t4kpqS4LkMwBFWeSSMTb8Zfy+J0aBl1kz379/tx8nJb+/msKEJwpYR3v+c+erIaSjNhfjkiEfd
L7XspOew/0xwJf/wTj8OM67vBDQO/AgtQ7AHP89oJsuaRUrK+kHvszcnZDXcluNUmxZPwEgFwDIt
avD3n+7H6e7397TZ+QXqh+3/f7yWkSidmOZ5iafEiHdGNz6TOoa2SsjDpHDg3D4vSOBz27G6/f1b
i016+K9h3ff3RvKlkmPDjPNPkm5QQWsKnvSAfE/4KVrD+yU0OdF36hmnaXZQnfl96uYxyKZxPKVj
x3PrlAAq4+U9xiMelet5iDjXrKjQHYfhXjq0O92ezhMkShRGGM+AS7lNld6WZhsUxvg4F9Er/V2w
rrO8DHaueHNVOXvDoLUfMXr3iJdZ/L//pH9xCwmqXqb2pqYauv7TuE/PEzpfuiwPsd4FslLvVWe9
L1Z0j//wPn91RRkYb6WVDaDi5/m1M2ngGeztXnVoz2IDu1+Av+xokmE4xhftd3Z220da8ZCPyz0F
dPEQb4R8uUbfmpF1eStVsFNs84IZNXwXus40PCuOeRHtuI9tlnsDgDL0g42sPOt4hw192SN4rLeY
xuQ8qG33WGbz60wSVjDoiTz1iQ0I2KSRQf/jW5gYJh0jIN7tbFf7WUm/hdX6ahOgtfa4pOZaHOLF
OMRxmXgcgDeP/XzOLAU47bDeW0sjXF3n7yYk83O7oYktjRrr7y/kX6wwYmPP4kS10fv+PEZeQcg0
UhHlYeWcsZUTMysbfDwg5ZP4B0HONlf/+SkwVPYp5IOW86e5e6sviZXLpTzQXXqUXXIqEID//cf5
aUx6fdIsdEaSEamGv/JnX20SN1lPz5kIeGesgy6ZdU+G6/u20ierWPZ9G54yXR4cRb9MoRPvrDI/
AcX70KXprzZoRdS1Y0taXCoOIw4LN3ZYnZiX32JW/baak9iRtpodcmECOTDExER57W7QXO5Gu36x
MYe6ZmdHR06hdEEM6hZNI3cMa2wd6C2QfOE0+n6Y8duqevLNYD7v0m68HdFJZ0a0IGjEirJo2O8M
rfZKfITeqPaPVanHOynWfxgsy794YvkuHHQgrMPIzvQfl0XI+/1cLUV50HIOCiMdeC/pByp4JeMz
x1wB2nGpny/2pTAIsQs71L4YLu9AMLzawC/Ae5UAO8J1wlevVdh71Y9TWgsf7xftwNG8hINlephD
LuRGpmDhWInqaqp8K11eaXu+r53qJlbyNAuqQ0a3qK2VeZ/F6utCIebWYVzvRT7tnXp6jAxzcFO4
g65EU+52JpBvR5GpT2yCs9eN9dWp2/G3mPt/Ky3/i4eEPWP7Bw0ep7efrtEUNcQqTmN5mOzSp8SZ
XWvix5HMtMM6+odvRPtJm3O9hwk3EixraNntPz2TjRSL0OVQHlq9KxlXQJymxXQK2akcje9nrbgl
aRpBrtRZptKUCjDKb82MAnCoQtOtSoe0wWJs4LqsQKQQ90EStH/tMg3Kv33HLLUj64Fqfy4rAYW4
e2ee8TjnGMatbTPmNotE9hZOW5U66V66qrcI4P10rnSPcnU39qkd9Hyl1+MldBb8Plh9mOARbwpo
zkvraaQnNfRuvvbxcd4GmNshiHlv5U99Vp3KYXpOeg6SNq51D00xgIx1em77CDW5dFxHjM96pt03
SnISgmpNgxpC73Lxt39RCn6FGHFuyHoYA0223W57jLrZuFTW9GyCiyDKkSazvQXg5A3Vkhqmt2SD
4wqq+dMtntcmZVJM3ntz4xjze9v3/jRwgdM8uU0EZxZnphSXufzIPPBxEtL0RGUcSE4/KWN6Wotm
AyHxAPd9fuJQvC9CdpYEEw6S6vXVnPpbGMuf424qT5lmgBMkjVVvF8T80x5WZrKfmhZNCZV93suP
epv8035s/sXjTa2DDl6FJCWF+pPOKycttdElPmwadO9lNz52KvveyDErNHist/rretSuekcLeodK
7/rMlzHJARO69yblZZhx/awv052TOb49tsIiUDRqPHp85c6Zh+WQY3zhgJYVjRvJZNeUefSOxMK5
rVsH1j5ZvDvAZExrNvHKakE5UFhj0n55HQXlltqK2gNqOXhz1GeAbqisIw6G7IexqPhCIspsKx2e
+5EVtNX7x9bmSMrc5XYchkdpDAkAKmIvkjYTfjOtZyQWzHsRdheaskLbWd6Zj9ZBW/ePFqeDQ5aY
TIs5P+X98CyQbW3VPD397/vrfzts/9RhI/7mbztsl60d9j/+W1b1bz902H574fcOm2NCQANnSj1J
2AhyWqr631XUqvxFlUQpUm3+nsb3e49tk1IjyuG3USJRdXPX/95jM37hXE5DjJeRT7c5i/8DKbW0
fjxV0FuzpOBIwYRJ21TjP0sXsbCS0zJb+s2KMT9a90kXLX3oV7rqFkt3q/TSYULO9uGO8Ik4kLK2
flI4GmsYFLVDN9bKTcjPTitfKZDqNJVnoQG4rSJq6FYMJ7uZLJ8AC/NcDaXy1JRd7VUA/c4Um5pb
y8J8ovCYiY51enpnFeNCrW4qt9hidc0Okwp/nxboiBlLePyh2OOoCzcO6EzrJOJBiBELgdOiw88Z
uAkfprW5g5vFUFQj2KeotUPT1YIzhp15Vm6eNBn64cBKEEfNl8HQ4D6ndQcsq029FvXcbQhAaDf1
HJpHlZGUibwi75RdSFZfQK7FujfIjkD5ou+V0ig/OMuY7roamMUKAyyf2zs4xHJHemqPwqQXQY7Q
B2It4z9RkFasFRqqDPoYfl/azmHphuTRItmZR11bD3WmOx7dKLwSNdwhem537eKoyLSyleDYRHMH
LJRA+Guxi1VD+FGCcAkm5Ix2Iu9OWWLdxhoZ54R6PzpqMe360No7+HNq7Fxgr3Vmgw7ebcl429dD
da8kqeYZ8fJq9ONCat72IeqMBtLAZDlfBrIXDMUkHXj4tegcX8xzcaphhp2JgOG8qxMHslqBkuR1
YJBYBR8ZlEtCupjbAOV0Qgc1XAVjNQPXkqyh8rqIpHKFihm6q2BWIpWeA10SV6GMQL/0KobTm9br
sdPs0besqQlQTRuB3imL382q9EsUOmhTCRoeyCNoyJPcOVr6uZ4JLmPKeVxAuXqYAxt/6NoJvFu0
jwXjE2rYxs9zZZelzXPVma/2vEIlnyw3Gk0ZKGWi7jRiUfZWXbytRvo5bXrYrtDMvCmdyp3qpMqp
0Z2vclVSHxsAyRUM5jHJu+bELWG30YNTpVXA9GbxdORWQHZJKrIhkkkitVxaN8cGMs7nRa6al7Xd
GRv4r+siZ/pHdr1LGV4ejJKde4UjC/OMewFIaONbUS0PMa1OHNPL7BEX3viZ1n5Uur7wMwsqDdnW
eOqqpdlrNt9gRWc9MNMCpKFIX6g3o9tSjYtA2L9GTqee5oipqYHJ85kII6opoFfSx3qVPBbg570S
UIeLUnrZ14nTPqvlDBjHcjDuW7b0cQnddn2bB3aaTSTZx2awknXhGwh+d+WMWajH9H8PY27dqSvc
W0R4xOIYme7HvYDLZqXmUdPb0Esie4RUEx17Y9TPgG6pjAB4vAyG4CoS0efrMrU8M3Im3wCu7KoG
22lnpOrLEkqVBCIN8vRIjkUf1xYb6sqIes3Kp0wRyz2llXrScDkaSCdN6vJJyeKdWduTj8qYmj4v
s51Y4BDzow43JK/RoTcVdnlQ1lVmXugv/5rANPRgeuTHsbEQ4Nqj4lsr17NeO4OpaE6HT6jf5jAm
IApi7KkeSTxJzf5JtZPjUI7myYan58rWeDRDZmyTCkksdiAOrlNu+lICNNcb533oc+RBjHG1gYEF
IUNqmmh75JxfC7kuQd7S2+mtm2TaAOhWuQeWvLilLMvAipQWXUNX+8uWzYzSyXY1mbw1VYQEz16f
uorBNuqHCDubpbiTPfQeB+oFPU5FLlLZcEtFZnu76FYwFPqb02w4kyQV3lh0eO/1OPIYcOwGLHSM
jNL9LJuvI6pCks2W8GK0qdiruaadQjsHXJQj0c027dnSZzVCwcI+xEK9q3L9s2l2NzCz02NnzK/2
1DHTTMzeo84zj4OalM+OM37IQ5Lb6tr6asZgdcYw6b0pyp91bThbsm8vta3jQQG7aSAmviX1wC3V
9j6PwxKNaWx7YdN8a9sBDxpUfqryAWgewGY/hEm7a6Y+v1nyqd2DS0cvA2PyALPFBcf92Vls55mx
zKHKS+0MeW0IRn1pgt7OAcPZvGO5rs/NKJP7jpyCVGMTmpVwdrPJ4XkmSiFo6eZCdTSe6gxzidk3
yXlpumPUNrU7joLGcj/oBMmzvcRFY37Ks/njFA7DwVqsL9WgA+qO8ph+TE+JXYL3jsrQ8CwE/Hd9
Pt4z8ondhqEZP/h0Wzdkm/cGzbMifCS2jq4y7OC5SZg2mDI/arHyYXBq0O/K/EUktc5aOGyk/xV1
WZIwgiJ68sD6m5xiMM77iICc3WQrhjeAfaKLoIs9bQcjiKxJBHpeIxXEQrKPrPQDjFTjuCo2fqju
3GVN69ZK9E0otXVC/RAGClFoHHJNLTAqRt2aLNSTXTOQryQ7+cqqGrRmy2HKXlZR/pqbuLNfZNKH
HZBLW2mc8jBPaNJr6KeNXU2v5I4zzvBAVnQpKgnuvsK+Y8jjTOBZoapuD1mVFkYnDo1eQaD2kADq
4YsYpi3qzF0WpH8RnVPkYilNixV7acbQKDQehSwss/2EaL5cy1Mrxs5ySJahD2SQ+UBSbJyTTwNP
pP3tZP7f8vofymvk5Vtg5r+3KD5Vw1+W199f+K/ymlv9mja8WRTNrY36x/KawYNANy1xY23+td/L
a2poiebRFgJYCTatf1XXBFrjW9rsdo5mYsAw/5PqWhc/TbHBvmjseSqAPHB9HAI2n9gfLHwO2Xp9
GDbKGUX8+ACup0D+1hrHIl+znVUPOBGIrH8keWnc25Vcd9q4OEdAMrEfZdX0vACKhcgJolJrepta
VyX2kTq09EpMzZ5llvEu66PHiFYsojD4I7Jlni3L12nI7jfdFitTBGkdirmrmZDXgEzSmihK3G8y
A3HZ4Gd/6suGXn6tWwywouIip7HDe+fEbDO99BcCWr6oClBeW7zQ7f8mkEkSsTEQirf0j2llGvtm
MiRMlXQoHpN0HU7Udc15sWLaO3NTZHuQ4eDE8nK+WSbTOhbRDFM0XfuThBcXoLgRXgozA2kol/PS
mgpCmUkuoT/OaFVd8vsY5OCDXw6r2qo7tZYhFXVj3KitfQB2+lirmgXTxdFui0w7l+Fc0OwhVCOy
oWxm8ZZ/1thh0KsEn3HDVDtM9q3bRBkD+gn9UCZajy+rOK/oaAPLUCzAzKRahFVYuIO06mDWIxiB
c4lV0jO6zTeVr0+NQZgU8JFXB3n3C6oAE/O7NX4qtUqHX9Q4oOJFFV7qdtHVXV7FCTSRRkEnhDMg
FOtT2ZJPMOySqbKVd+RORPPBIxqUNRhY5mD0llW3elQ9pH4qEnsZ+kNUb40o7YsTOarCck2qidsu
uLb2BZDFA+2UeW8VZUkrR5PW3VyU/aPCCKFH5qoUce/aaydGJruJcUN8oeqBySCIDs7LZkcYnQJr
zCCzi7IkolZoVc0zJ0O4rtv6V31fDrPfVkf+om2tRLC6rZxWWPbbOrqtqe1v66vTVcm23LZ91abT
Q4hycV82lW1Fd6SnjOMUOCH+snUv17rtgdQv+mK+TOrQqU8KmipWbAUbaoHzJ+KQowcq7fkZOhT2
D0Odb6ekXOomYCMsB0/LVe1DxdHwAU4CncMlxcUQcFBNKy9TIqjNGgo4Txk6pt7JMiqvcWYkGWBa
i/QIcBnzbYaPyQZq33wx8NiDsyU86LEkO6D2WEnYxNOsjl9Do8TDrqSLrnkFQNu7dZzMMUCcMIXe
AG+5pNYvS+iTWnyoSo4chMKIyKPyWp7aMKaQFHADPmRJ7hBQ0mDraGKp+3lURHdNvDR3ZpPYu36s
6SvF5PsAMarh8qodEAas/zuQDOshWcA7m11botlskPdajSbZcxdE+y4OatxAaRoeY/z7MEIsrH9G
R2wpFchs+JqCdcdVtdLiK6dG34YB/eJqY6xzruz6x2G0ynvQOdEekg6YrtG4I7ozeg5zulp1XuvY
ZYDFfLqu8v/dEP9pQwQFxw717zfEl/4t/mOfiWbt9oLvGyGZYb/QKEI0hSueUDNJ7+r3jVCjz0Qf
ieAF9YrhZxP6fSNEy0UImnbVd31vMAlr6z1hp2O3Miz7PxRyXedVf5iZqTAysMbigKZ7S1/imjj9
hx0QHxasrMVebp2N8ZZ5WDqXJbjGDBeFxDIxb4nfCMPrc2fI7ou2LAjtExqaV21ou0leAX7RfR8G
DEKJhn59WYx72jqdKlgqZ+BZSAtYMMb1UBQmylcWuwVmljc4o+3IlzicnaJGiwrdnSDZkb1OzUPl
zikkSHhWpbZjcSF5xWZns5ZkOExMwmdidy1YmuExJAwkRShjN+MTylRVPillZQG3k7Eud1E6cTDj
WkoBTT7kIMXbxshHVNONCj3aGsor22RbSPwrU55cCP6O9w3qbkGarwnlsdBBe8P9JiyQ+VOOMO3X
iTnWs43kmjSfIk4f5goyOI6UIzreKIircHjDgg0GrytCzp9Ziz9L5bjmVOOScw6eV0svTyl4foOl
hgCEWd9NOD+as26tRaltB9r5EkfZqBw5tE6oOlkflydl0YZV9dUoS7fkkJoM4L0Ovh+NfahWfXPQ
1IhkytwtwNNk8yMJJUl7W9NuK/kWCibqxXj874rw/8OnBCr59xrP16SNkp8o0t9f9Lu+09golPw9
+jaUAyLN4O/7qmCTWWhBm8LvCujLQG39v6uCcH6RFNPscyrh9TpLy//Wx4J2tkCAohIUb+s66Wj/
SX1saX9SQfD2gqSPKyuBfXWbuP9hdbBHs6rIz9UOtr2UdBPGirQMDLN4QZeGTodgnws/L6UNrG2w
o/hFHQDeSBoo5ySOhouoaM467SgCwwq1cNeitriPFxYTGFT5c1XSCaQTYh+bsH8Ox3AGfjM0b6qo
eWL8lgv80rVK+ar3LDh1sfl1RgxpX4ywJHR4M9nIBet1qRI36M2b3U7UkMRc3ZTOa29WytdstuaX
DFLU/NWxSDtJTwlI9QvBobuWtpodzelZpWSw9+YYljiPJB1dN1IGJC09i44Pikh5VqTBoHiNy3FX
24jaraaFM1Rs6jSsIfNFa+d806nZn/Mst2mU9aPNZal0/YCkIiKgEWsvfddtadM3Tr09kQaoNQQH
cJz+VRZreY4mtOiGvUom2DL72KbMZg0tlL5C3CXOHTG9Xv2GmHk1xv90pSn5ivqe2DPV2tPewkWI
xu5T3+UJfVXisygTyGVP8BdymKY59gqIY+w5lcy41NZ2xZpJbjjm/tDZpCsWzh/9roEL1ASKYWrP
bWPLt4FlFMkBBtVPMsKlbjo4ZOZJbFc507gW2A60Zycz6BxcnZFR0uN2y+vN+dmLXB0xZ+E36mBL
YW/uO9pOgkDWYmcbI5ZLG/Io4s22wWNA+m91/s1bdv1X8pr5XsPaRGjKeHiz9cQFrzEE+ribugS7
ooO24sTQF+FrKm3k/8aAObQfJe6YPI7A8F+NEHaVYfrksIcnYlAAO7f2WI3cmhhCmbzwMYphZFxq
VVS6hEViASOx862ec/wDsrcJU2/nbsU5t9lElwK3gR5p7IwpZTH55dtF0ZtWpuc+W3GcEL3ADzCR
/xbtwJ1wdYsxrD/REsH2EYUj9iBjaUXq2zOSFd+2KlO/hGM+hUHXI4Q+9vW4mXQqXJRXcx95U/z3
d8tX1eCUzNMUNxyRUEx9XVPZrLPSLjdXibl9eHy+mGtWnVOQ104zv3L1PUizgHVC5Dn2tq7fPHWD
giGz5kOEg67e27RTb67vaFobEAVPpDhOuca92Yxb8k06YfOd2gxvFEf7iNnRpI/g5FpNvqlEZ9q/
oS5Mta0/4QnBywzEAg9tkhryIUopEjKx5Z0kImFIHpoDBpRGRxHrRiLfDKAbtSYmH/KD7AlcfL3+
lDabbnQg6zgpyQcy+GFpjXOXKbAGL05Lm5jGaYerqkNAM3jZ1nF+6hE2Zqirt6+UU+t2TVLC5i89
4xXS8oAtLG3FfztLglLBdiLsicpms86qq2WLYc7emnJWqKuPmP6YtgRJU+ff1tXgjkxNZbunNB00
QWRgYdxXw0g5ZGnFPHhxnc3ebGX9BHRLJ7gZbc+jOqFTGFPAK2hAOVOr1YAlMI/LQnMd6dQ3vT14
VW3YCzkYClyBTucgREp1hF28RVFGZFt4Th0MYJhYiA/aIgAwEy8cFXL6y596OXRhAGVtJjnQYRY3
2UWwYgfw1DEyHoak795TBWExM3D8QbmTz0+2qRSepbfc2HpLqIVLa0O5MVWp8OmKDJLqWpFas/nb
cuEbTomfh0tGOTc7hnWYoDO9NzV+JfTEMN92VHi4pPRuMxxFG+uk3K7vgiKXqHmLFWRoCEay9GK6
mzRDwiwDUrxTerROSF81csdbWR/xuAhm7nYce4gUo4fN9vWYYz9GRJTlKW6zLNZf8DMz2pra5au0
CnEKUesfUuY5X3LDukrhZisgnza9aVoz+SqaeXqm/7sc66IkozPNQ4/T7wsS/faVYrHzS+RdFTGF
doI1kGQmkpLyG20uJ35tLgPVLpZdGanrV0gZjGHElHdnmPBW6o6ptUgXlZ34RKZmd+4nwBTIrC3t
OKzo9am9DEYkE+F6JKQCDE+wg90YUUM3pS2+orCI5W612zF3Z9ABp7Kf7Us+KY9aQbMFDLtGB4Rk
qg7IYMZq/rBKER9HlfDF0ZyDdRSj3zVZfYvItnIzZQjvy7FlNVksguyUenjUyvKjwO4Dkc7p1miP
vVnc1Fmp6i9hLarXKc7bp3yS97EB2nDRmUZMUac9hhxRnkqrh5FHMKF916D1ImAhr3cqxOePkT7N
Zxnaz2ukmx8G+gP7inTPdm9MZeXwfHAWPYztvD340wFECGV2rd93XVS5JkBVY0cOjnozVSuBuCFo
2IcurqrdrJPBkqethtRFtMySRyZIu3xSSxrzYTx9Duu5yD3C7Y00UHHyFwcylPPBUzSZ70j3qzx7
VvtnvczsT4lOq4+tkCHHkBI1U6hKfYTVwF09ifTzzPZ+JpF3uPS6+nlq7eYWQuXSu9o01ybRxWF/
05kE5IzS0Z8W9GDnBUv0Q6aZ/beRMcXnBUNy8zb3aj4+MKsKo3PPmOsY4QH26qb9CIAkfMB/GPoZ
MipMr9p8M/YAGHNaASO97dPQCeWubXtz1+k4TUByFF8RheGsX5N0x2REf0iTfvxEMlToR0BR7nEJ
GnfzMJEdCabxOnuz6oulhNmtGjZ66ZN3oDzIrDJ8Sw7TjstluaM051PdFeXnZOgloe/1SzjU6ilT
29eeLXEXp9ynWEY/aUz90intbpTFkB+nKRL0+TL4JlrYaTswn/G5iyRdIrsabgerPdgDYr7M0tE0
qhraOauqZ/Kr4l7yCW30CDF0Ah/d/tCz+SmYeLlVVHKni8lGqZ1rH8JUMurNzQIJTiXxOveZT0hB
7muc61gLayK8ZtNhp3DgyESAQNHisoUHtJPVGTFrLR7sSJr3GGn7p6qVAxt9ida8S2MCItaZoUdP
qmebGS4OvhdTbehFErvsa2KuvahcjMDpi+IJSyBKzZTyI9CZpKPOz1O8J+qsuENvGo27dHF8j/9C
BJlQl2e1bcfz0gn1A1EGLFBEMN+yAo2HZCZG1e8L50H08MLrcoBu0+uyPotihR9qFPnoLWU37Qgh
SGI3hsp5GmQ6PMAkVv02hB6LFO6G7O3lRe1yxHdkG73GQ/wR9VHoGYZGCHU0j9HLWDt0fbuZLnPT
iZNZF/NhViOSJtGlB+Zg8j30tPgIRCtQTRO4NiDkXrLY4Eko+syrZ6MJsDCxO+aI9+B8FPm+nog0
rR0++EgS8FOYVhbT/iZMd2yH08FOu8QnlZP4bLgeQEG1xzhk1O2S8kIEzBJ1Z+w2JCyr8TKc51b+
P/bObLtqJFvXr3JeQDkkhULN5Vmdl1vcAYYbDTCgXgop1D/9/sImd2FTZXbe101lkTitPmLOf/5N
c8BdZBaY9UbzZVAxVceDVI4YnQ/+j7BMJ8RAvlyPadSXjypAAx91UbwvTWmlKt2h6loYzDITb7Zl
lfv7zGqZy9cjDnhDOFxOynF38VISODu2I6P3wD0v8mq8WnWoxHv2N2jbNbIDhObRXF3nfYYiu5DN
LXKZxL8tI4v0TGlF3QYOImUBgvuvBTqD5BChL+cDsqkFC98p3iEWvUvGcr6oCzJvsN+J5m2uw/hG
UwZcMoxTrLyLSB4YDhLYvYqcGsuLPiWE8dyuMRzWTZWkh7YYlguppbxq65QpXdS2Fql0cjgTTdmf
z067nISYKF47stf36VSdtVN7rsJ13rW46b6ryFh/9FktTzAA7M7AAWN8cMIPFGrTISAlbww67yYH
dyBca8RB45DD3C/PCKdHm5RFK0Gmk9epfMtQtcHj2vXX20HY6utcVAhTWfJKfCBqUGdRo8GtRbxe
FAPO14/LOOtrC2PQd1YK23CfqEwOX8Ne3athqYtg02WDF7snhAIJTI9miO6pCG4bp/yoRDmn53XZ
BvGFqO0v/WScqkFtN6iw2gFH3yw2Aho83sMiT4Nb48hsf8wq/h+UkQ7Nz3WjSE6XgB24RcCVmD5i
WdPAm+nCJLiGR99es/ud9hU76HT8Bdv7PwhnkDzKkBmUQGPpEBNBd/5rYwzdYViYN6C67joE14JO
VGape7/ipPQt6pzs5O3jydc8S7hmAr9hl3GY7VEqvKIIlylQu7R1c6wrovv6lNIduo38Ulg9Y2xE
lY84qXveFRqOAdlk54t42RK9lFaXucxLVj4+7L3f1pja4LCAEN7ycYrEWz36MKY9zpVFQwHorXVM
2Vb5+pud2CKioff69c71LfxO2hkznGwYKDPxm/6Csmvq7zRyU43gwHEmva19YMbPK/1EYYRENGxJ
LAW1fmKcG1gx7qtAYPxULvobr0z9I1zH+k6QIYE/Sqv5+SfHTrsi/fkioTfC47xi694EjhXf4CIy
6EOEcF2fhMbiZOEHu3deoxz/BH8g+JnaCZtPT73wk+j77YfwWl8Q2YHEORUQV6LE+k1lU1Ahk+Nu
N0e5mH6ZUAd6g4GZRvIMqf1HPrh5e34BZbFo5UCEgFEGMCB1X79dYUcH12IhcHyyhAGcwJmFGSDP
h2/P+6KzkN46aUxQxcou+wzx/4Ojh3g2RhEecBhdQ9V6+W4rMEZsm0m973Ll3vsTFOoMZzjqR1IU
yMXgqH4f0AQ8u2m8fY+dl8aRBKLYJNG6NsI0JxBkqL36sqZcWsz0uuaoHUVTOE4JLkGku7r3da5p
mz3H5+JHY8TUJ4oa1e7qgcavToLymHizc/90Qv8dePxp4MGXxr3/zwOPj991///+Lcb5/F/+jXEG
fzHd931YsU+DDwNk/o1xun/5kjG/x/Td+SlV/3vyYf/lY7AIsxZZtsBfl/XuXwMQ9HW+DcbJosjM
4h/lD/vh65U1FCZ0jxQgnP0ZhrzWQCaLR4+fJykq1WA4b8IaNx5UK/pcLBXG355Bs4pBOLespiA/
SbmxsznbMcmcjkXaWRTnCFAOXR91d1HIz0SixPko7MuTFEf8jXiqqGiJWkbGps6aTcmFtjvoDkM+
xKba8KjKIkBUufEK6e/GiOBOaQq4lix5kPsBEG1JOgYWYfLeqTX00VFCz4v8/IHssg9EcFAZerFe
3q9MC8nbKIEqRsve9aaWxGbcOcNtmgJzNrUmnjSUnasVEz22tBlw2eqoXWcHVKiNdZPFKte7dM6n
Y0cfdblOS72ZTXXLgHk8z03FSx6wOABJpNdupBHCRqu5coAYvccQOGOQS+2M5pRqOJ2W6i5JJQxR
U2Xnmr8OTOWNxcr7hvbEkADGy9BbDuFI4Wa1xLQl9CLYnWdef1eALVzHuNXfxE9lfvNU8jfLwBWX
obXuooEYYvKDvb1r+gSfPnDHORc7oWlxvCYi4tyC7hrP4uNQFOqIsyaGdnQfzpC+g3834gizkFm7
C5iubj05eRsEBqt30VPOo7WofWby/tpv4qo/RpPhQemF4lBlq7O3Rheybr7QHnW6ljwPOVwQBHvs
aaIy000Npq8q4v5DXC/2WTR17xcIyNsIvsRnghaXMwduJHRuWCWo8PYJLFRSypLkVnu1qKnfINGF
eYU2+anNi8oqDTaqavx3yaD960JYMcFzsBriLnZvoHjne5n4UDlW9b1/aibrZfX3cZsl1ysd3dmM
NUqX+2KLlHW+KE1HWjq0lRDA4xtH9A+EBNeAqkFxmj41s5CtaWznpyYX8rX+bE/t8CPLR+eGFl6e
o58Qd4WPTMqS9UA1q1t/248Vt2xSVXcJsvgZw5jhykI8vncn+7tXV58ROTXwuqFonI6mKy9Nf854
zNG7qlvCTwwUhvvVGpptPsYlxUtMe0+SAa2+/dT2xz6j+21ZT9NnoN7G3jkL7mJ7bbUwfguDHaw8
5b0Meiwp4N/aN6NBGQqDN6iW0cd2dpb4ZgSOmKTzadXRJ7sbCEwWEaMKm6Fk5GcYDnoBhfnJaKAN
Gir/owTtSGL13cbhatnkBgrpDCgiyxH1U1pCdK+BkLAE8F0EpKwd/AamBkKnVxrCYehH0+ns4A6K
7YuX4tuS6Mm91E+wTBijR4ffpz5VT7BNZxCcztaH3GA6o0F3OoPzLE+Ij8F+BkAgeqz0tHgChtzV
JXFwiB04GdAZ8nNa1LzYZxrUfTPbjbzUkCr3gWjSU0zbnH2r+gntu2XRZ/vhR6+rFrnp1/PaDiwI
7jo9KUIagdh3rYOMcWiK7GU61F6OeyPJkQ8zeDzpHu10HmYBxpQ9eevYKdIrwGHaFF0ub0jxLPbK
L0CqGZ1uw7HwIApW7VleCDgc1JQnI4rN7ehUyeU0yok7kBsqZ2nLUwn+fgmWY32YEkCNEmksQd1V
qRV+l0mD15MlqkOuzv1lfsDswd81eECdzmu87iU/dV5Ku7l0StHimOxZM7wiWCO4u8JiDk4Lf6Q9
Drr2RkSduEcvR3YCHORdKpEqbRe1LicxNQlT27IoPq2494DDB9M5I7qc0M+RmU+Yg08NhIDg3d0d
MKR0NvM6XpVrsvzAoALOKB6yB+QQBIgGmULkH+tHL/bbnR+kNM+pXztG0zGcxhV5HA0F0EVWDp+N
svEAH3Y81ms78ZXGDWqjXk0TrOoq6x/dmt1mH3iBvvAqmFpj4twluPsehVXZ55lt/EfqMD8pA6va
0KMdtcIwzGGDJYS0WbYOfqRHt6vtU3shuy2OivTUn6C7M1+0z/1+sjfs2OFBQwy9GAInOp/rIAOc
K29jf0UxrJPgZFKRDjexcVrBPrEBugpBQhVr7+SM5S4SbotjoVMhaE2KdmfP4rpzmq3VzO6ylXyi
l6lKcDSyGf8VJWo6HD+inYQWdLb0bXyYhvZ8rqoWrvqsvwEtzsiZ1YTDbQliLnB5XQcvPe3W6GsI
fHOayO4b5pnDfiimr7AYhr2N6eOepMj3jdOlp2GnkyOjfoGoM7wanfi217W4EhXSi3AY5Q1mJtWh
s/RVsuS3g62tmynNr2fu6xlWIi5fY3mVBNV6mP0iYmvMEmlv/FH7CCxouL0iIsNdjpC4OyY2770C
Ivg0cF9v2yFL/DO8MZfhctF20uwZYEF0Y4YPoxtbwoW0Sg95ib33seq192kcqfWuyuzIepi0CbzM
wNBX1JAovLFzM5mYc+GUSAoCerDlqGR2J4POz0nMXClldFF6OPIyVdsyOETxnTPdgVcE5rw0zgwX
ekCP4zaule5U3q0fhRrmj1Vjz2dBnzvnA4qgk3axJnQSVYCLjLPg3Wf7xcTSX9bcA9rHI/E1kCMr
VsywsPwvS46VCvVcfgZAPQiGGUF1G64Dkmy70kwt5B4F93RY3DD51rqDdaJ7onf1ErYH+HJYZHQ9
lO+qZnktsG3siDVnGJXaSfIB1qFC2ksIaacKVIFRhW7VJDONkDXlsJmYqUwbdjcEw42nxHmnhird
924HJWXjLkMUYvk12gep2dsIbk/DfKuDgQFZweRu0U6d7EhiGslaMqBVSe7iqdW2PoVfbKMqhE0T
vXOQ3PTbpl/b7FBITFObMMIxGxkLWbUQwD6hgcBhhIjT/CZMu/YW/9NJo15Ysm1Dy3yisxgTNuhC
x9VJZzC7AjUTZjddQLfbLf3HErnwLtaRc1HlobEz4uE/YGCCbETLE9ETdYtcpx8wNq4nDKyxn0Rf
IpAkZdYEGRGl2F7MFnTRxfiwUQG15bbCZuqUvGH7I4Fq+RYWTJySSytCDN4Wr2bgVPT2NkOp+sDi
ve4FNwl3JOerFxQwtANc0jY8UaCZsqBHZICKYGPqh3zZQKx3tz36dLX1/BSDl1YD+vpFOuwxxLhU
clKHaKr6i2kI5KmPnGbZEiAhb3TZDQW5bnV54gHn7tGJibNw0MB3Ze0t3+Y4hPlPzf0e5mFwHpNJ
yPRkGYMLDX/X38WJk0SXWPSIrbsEDz3R1x+XmM7QT6QH5W9Ntu4s7dMOEB4SKazRT0J5uJmDCIJn
kBfAXuJGl2W+LN9dYte3iAKcL6yn2Vk2WQ7SOc9/IKhIL0iCqgDqfJshJultdCRJj4RnqXtxC6on
9tKf6k2DBfkef+joBIRx2Mt5HLEFHKerRWPepKF0bvJ6AixEcLNpoCt+WVr4kFgjNd7ByRqSUpSj
wFtQX5O9PGe0/X2LDh4djzvawTe3ducLhvnrVQhL/k5N0Ju2rOc5FkyOvo9qu3xIHLtMwNnzCCsj
kuQZ2NhntoqJ6uB9PbfbxL8Raz9tJ1s1py7ep3trlRYqaE/tFwKlqf1tfy9lzESS4U/B0lzVh8lX
8iQvrfp0toHcVVRO9w1zwYNld/tetaRmJxiu5wZyzQ34yiIxIvIGf2+C0d3pkZVPGD5UaoDbwkC4
yxOaS4JUu2kMxFs8gb0ZNUpZ2S0FFFBw+oQKB08AsYGKx76ZvsEHBT9WBkoen1DlyQDM/+3//0/0
JvLtYSK+0f9j605I0QvO4/N/87+cR4iNEumqb4MIMCT8F7sJTwL+yljt/i/D/+/GX0J5hAODJ1GA
uvaJ9/Sz8ffsv1jyAsPvxY/OUB//CbnpFZgHyiSJtgDecjDzoO83sMAv1KZ4mJxMkjV4NVTfEl2S
xfb1l7vxbyBibtavIN5vB3gFo3WzKCs1c4Aw9/Fsh6UefcnGqyzCW/fb24d6Qn9/AQxtFAehMfUT
bD0kOb32O1oc7ZQSoSBYb4mtMoMFmBG2T2xg6Bat/KzzOQkfoSWGPXb8CqXmCtovsZU+g2naJtU3
iKAhlG/AttSOghMktsZDsh6+ZyEyuepi6DzN2NP20X2WOsrjDvqjvZyDVDbx/dL2h9zN5JmmZLjO
6UAzuN1xW/db1iqEl6LDE8sdfSzmNtMoIiaAZdWmxR0jjGQkM4G9J2h2nAT7euYvrt7Ug3vWgQG+
X4jmOS/jdkD+wBRjOlRjVorqPIBpv5OzzyroFHL6bDVQOmFJVhA92O23gKxwPj0rUOt53kepdTdB
AvHqvRgTsgrVti/yfo5PgrLL9DNe/1/U8A+oIexaNDb/edH4/yVhAy/0+M//xd9Lhhv9heEu/W8Y
4C75i16I1eMv7C4hOzL7iJ5Qv79Z0lhhCmBymwWDj0AaUdDfWKHkryTJYKwzIvBYVrx/smSIl9i0
OR0HMhgIswNGzSr06pMGYlqqarC976m9qvwH6WaxsHfTBFUHOXafu8sHcnOy/qAXPn6MnhcpH2cI
+fWF0yBKdw/KoqygpA2tBmlbFFN+oeIr0vl9Z1fIFWgYlL/6G4rDZMTKUIytN24RBaLBI5570O47
JwhUABRoK2t6n/bGiL7Ey5ukIW+JMpeh2WDL8EToJGslvUkuo25LLqWFvKYec61w9ddIMf8UsuS8
FFN5oLF0cg4hHei9kG+9vjvotR28eVf5XelpBGGqkEKWCEs8IYrLKIE4hEOYk9XVj9ZHmX6PKizi
1DCa7Lie2pmS+f0v79a/WYLd306JLsLB1wEGLSgykrGXi7zhQVWN7pJvDGlkcYl5ZPJkSNkSymGM
AxDcV0FGsgTRDCocwIxmwlQ2OSVRgQ+oXjBgCQYJvRweo8YxcY2TFZvBcuZR7HssR9YPaefHRHz7
JDP4V+uKPiXdV5GnYQnYiR6CaPP2Rb3cuLzA5iYzJonYwBxcYSN21RcbV1rMRM+V9Xd7InrkTkLu
aW4rkIH1+u0DQSP+ZQMzB6IPY2v04RBw815bdy0s0NGK6+M3wdN2xF7hHo+k27X5wmcR5N67STfS
6L58WVo9+cFJMN4WmazzH2+fyUuI/ulMZMiGhQUGZhgMxl5esgMfBgO73P82amZjV1ItOYaYXWVR
u59B21uxG3j7iL/dZGjUIUsJ9Dk74C6YF+uX6gDbRwvUNRCP5YCDzrJrF2XhXTOGa4zj1tvHMi/h
vzZvc3UsXJ5DpiwrHxFMrx6om9VlweDc/YYwH8D7uwsEmqaniON576AVmVtcLr7RV7x94N8vkncI
7xPEJ0yW8dd4eZHEbegOs2/9ONPS4fYEkBniZOuarNk/XKPz+yNkWM5EiYEPb1T0ukLJCZjHetCt
vukSt6DgmEVx/b50e9aobU9yTKLezdEa29VFk3W1b+/lmBbrh1wHSolNVbIgwi+B8xLd0MAFwtum
Y+2WFwVxSeECmuN5JBS/fX9+ezAyRG6Gex1PxzYmzC/vjxMVoTu7dv1IYlfHWRDwWOQ/RmfB2alp
Kh9rq7gasT//0836/cEYOyVmnzbFqYs69eWBY8uxZ4Wpx1caMsfFQz6Q2aC3QahS1ICOIE+5BJr2
iuAL4XIEWOzaruvw5KrIQxvvs2qd8IlKcc/ovya1kxPhjOn7ci5JESAJ5A936dUEzSRiM8h5+kwo
J0Pq85enK5NJddXQNV/TEONniLEhfNRrbGs6Xqp1sZNlPIngfePXQGIuX5OukcBasAWWhcUyKrxk
eeQFrPIfjNe5M2x/pFwgN3A8etrnBdiLFauLnIfEf9BJFMVPeFTBm8rMyPjH1HDn2IbRf448EYBt
s0Rb8LQ4oEsNGd7g89bPn9bFlBCbFniYewEcJljkSWLzMZ52vVbyfbfpBN9GMc+ovvsTIiNnA96i
12s+/0g+1FnNq9mtCPpx31N5BC3GqQfnocAvJa/3A5y19cPai2C8H7vWxxQr599MxJLDTV03KfkS
PDM3JQ+13ZCjlOFGkiPl5EOPQ34Huik7z0mOJqXMryWpxDn+OhsftRM/kvkBhroncpzT/qafgorN
bGnnnCVY0zknyz5PIg5tZVPEj69iMkdDPaTwnsQhv/3Uhpkcj7E3ttll6RG6cDI5eq7P09ZahrNh
JtEeVX/IFB64kdTG5Rzeacpmace92TNR6rp8bWiIjc9k49WqKI4/L0DmPcSiTR3YDCd3th1b3FBp
17x+iHLNIlaSUm1VexShEI/3GGkvFQCcYl7z9+9oVUvqkMhiODW4VmMuMG9EukruwSCyhUPPKmVx
RLrLNSXPd9Uriok7J0PgPhPbA2RxBmNhgBvkpAhxq72gFch/LIp4FeTUS9ByeSz05nVpMDdCOF00
NS9NHmPMckuedgNonwuTvbpRMgcm34x1BNaNCpo0Jbx1ZptfSP6lE2ObnPRFKM4sD/fOx7aaR+5h
M4+54SaxMDrxXVja+A3vVoJQSlx9/XqET5+spGKEOyS+gr9bUK+Yi8gjwtkuWxGPdbJvrM4898Ad
WQX23UpQUbVHw2veXwa0Hn9KQtGK8SzS8DvzXbM0Hp8CkRqYPfLke6xFDKWy55TwhTUHmobcnAvc
QOM65wcBnyDoa8GbIlbf946jHwpD96+y0NRt8QiN+kpjWCUfIHXxB/ypl4DTyr3I3OMWH/f8xzBP
A7dzRdDAbyopAb0jTZbH/Uls37yiprQe71VY878tVjh8wEHeszZQOq5UGR7W6uPt0i2rWTxSKPxf
8hY4mE/ai8wv7fAW5klITd2IjbJy8PELMnKqqj2qHqWX4zjbOq8uRxpifmHbISEi2oJazLzVAluN
fqcKYHd5xKAXccIut++jVGbRuIMogH0bNt9lmq8H32bgBZivxKEvlsRjnJ6i7mA4bav1Wi7LzOsf
asyVMTiqmLnXFApT41/5EqZdBw+2JyZli6uMyN41DlE9CGPywTzhOhsXG9ssvmUkfpm2MSzfICCE
bbCdS62t6byINW6/x9jC8usR0jURKF9q0Gkupo7zJcFxv4IfUF+RXB4xOsHfjrn/noWY5Wbfw7la
EM6roYkiWEp+CMhMgF2fHnEcGmRCV16wzPqP6wQBAat4B2HyCr0KwSdEgS6d0zS5KJp0cAK0jZE2
L0+WmyUl6KcFu9ECdxL+ZA+z5h2KRdYWyXlj8p/VAexy6IiqlIKlUrek7GGVV/A8GJcQlzO0V3ry
XZZcFOADT6kmlpK9AKfQid8VQQHgJuFIZBwD7UzF/XiwmXvxk7QwLX+H0apZlwp7rOYb4nVMRZhC
+GV5Ut4M0HDeI8nGhI+7yLfguL3mhRrbTpBfxtNvF3kekn7lHcNSr5x4OiP6wrTYIctFHVgu2Y7G
BUd5MyaSii8v9Eqzyfb90PI6zj6RLWQMhd3C+sDw3vLezeD3RLOwREnvqFoicNM92ZSkW66Va0os
25qK5bEKW7oR3KJMH8Kqb27O1LQC9+SiY1WN9kmaT1AmzQy0w+knFMmujac63uMJGrd3hBJx8VnD
5r88ZU5zxkE+WdylBnIAH3aOTJSXJ4R8wh38+VpX2WT+jhRBPCu2azabwhmVnFnutYXIhsAY3kqx
F0FnWJZUogmuBIHFSKHfemEsA2czpWQOXrmkTzPiiYqutzAZchb/M2ltCAjsai7vI9eNct6hrs3a
M79WIwE9zTioR8SyuG10SWV5lzFnKvCaU1n7OWPNXQ+EzzflNw/RV3cLvaHqvkyrU07v1sjCnAtV
Cc7HSjBIYE5HQBTemq0nUMIdUNOF41XXIiU2ogK7ci4IO8MzAcALn5mWZ8SoBz/udmVSiy7CY4Q4
F2D6G6x2poUYsGBhBrBRnbX0n+CmDd6dX/aLlzCm9groz1HpLnED4M31x7yncdKf9ik7WYlwrpxW
aChZifnFIXZXREAzH8cAT664nGzbUYcxChLEMxRo6z05Q2nDxgeL7kwvCykVAuWds13gJzULY4se
GzfSiYIcDAthzjaRZXJEaNgDkNmYT8Yg/PaJMzmpe0AG4eBF1ePmA6YeC2ldq6KpvPcMULq8Ae0L
8F/YRwz0MF/uZ9FfYkpWW7ee5en1AxZ3zKSRM/nde2YUCewCYhGCTp2Es0zWeWOPuPTsECyXxQlG
TyQHrY0XVs0mQhnkptugW3UbfnUYUtXfUqTg44zGoV/a71EuxYDsMVBNsHGFlmCPfVy3MsSCzpa4
98ckl/tXRJxYBRYkPrhkmX5PYRjjE7JtoD25zQ7WsyGv+KIXlgkQ5WLy65/Vt71Ae3JuCZNrIGlN
eAqxLalKQEl5Py1SKW+n4qmLCSm0kUwXR4ZGGJfrGPoKXp3zYmpNcnAgsZ90Yja23TJiIeHjbkNT
PnZs4HwOqeebFa7CfJqlhOBstKwEkpSYXpkLU1N4vraJRUkq03Zk68EVPWeXIb41cdeTJQj4nYdB
Nqb6I6nHdA5B7qyc7eKNFcbCQ1tl/gMqq5pTcRSRPRFmTz1YgxpayTIJpYbK3gxXlXviufB7Hiab
2g1D42VSrGV5mJlNI7amGOtjgS2YvR8JeFjFMfLckpKodun4rdNqqKBMbqhLkMMhIIBqw4LIBIw9
mlx0j9KEsOKeG6TqwOycOETOnGmXpAHHHgIop+vd6En8V7cN0cf8Mhu3KL4lzWye8wceNutk4QUl
P4KdXsQZ1bHSDnktHd7A2UmE1nFF1jt0/tdpauvmQChVUF8geBzZFnulTC1Vq8CULGgBzD2CwOb3
zo/B0gv0ADSJ44BLjlODGxAmiXaYAF4bL+nqkjV8MSXSE9zjI8Fnl/q5g3kYv4z3RWMbxAIajjl7
R8QWN1JhexY1GLpVNB1YvHBjWWZAjtV20FbK6/P3nVhbPqHNoFDKgg/VKb+xqXAn8fD8wwcZLTT8
Om5ZZlMH3MpqjuUDSdRgT8+PkQ3TcT7Q/g39fdjGM1cs8trhGQ16DJzuqkb4P6WGrGXH0aexCCQe
/qnyk2o69ShHiRGBdMlVOasy4FPXoV5NTxUGPPwuuyfwbiIWbjGNfOgz6nuowOuceZtNdhf0MBRc
qpTEjU01P+Ic08mjrRI9hte4KWPOdeHH8J9gWK/wB/VeiM7mUkdm8eN9qT3zicDeMYAX7of8QDx6
plBzSlrjrHXMCybiIcOJvHWDkjo7ed5d03FM2DSHZqJQ3QrBHPbeJ0eGerP3zfsYI2ulsra5A9jZ
rwF+zFv+vflpqpJuvZ7KMGC7dFLOy92maWBKw8IfElPMC2XO9vnzKHrJcymHqeGhdpqFr7oQM9j/
5zGcEsLPMNgoMA6vWt6FkoEyNUF+8DrPvLtl7Ub1ZTU5CdzApGSSjRwDZZCgqIWdwbMdMMPkWPXa
cQm2UesCVhAoQFIJIsXxNgmirPsydojsKqbqg8I9ld7SExfe5PRFjT+yy3tGXphpAnOFWujexueH
B4IFFOUljSfPuV/kupwLRDPMWoJomUcCQkRbfBlTZ+amxM+Vj07skVpDN2HH1WZzhF5o/7MjDtc6
ojCYkwTrC9SLreBPCT0L9nKWZc2PYhwI1LEJ0LG3IlUp7ciYdom2jnhbi+HeX0uBStiaHO6/BV/J
1Ox+aKqwbnZMkw/ryRTyiYJ/cB/r2Nhr9hWAbrObYWhiktmNsqZGiSQJBdx1s+KuTkvPe2oymZAO
0D/wOvmSwwPtxatZKhVrsn9U+CX1KXylmVf/6IQOmRVLEVJHPX969Via0qq0KpTkJBLjstpi/jki
pEYYNxn8yIrFYl7JwA6n+p2NuqBuuSGr6bhlhImuD1UpMJ843XKiLn2/8EzO+pQnJ3Faz8MNHryr
Pg2H2SmPoXbpKdjYLI/6QMz9yNLpE6/Lr4nwP2StytvaVKJm+MU6Mz13jQRl4oZ72kKbZJGi4B98
wmUmVud9lIymC3xuLMp4NSfdrPO0JFu+MmzqN32IK96ZN4Y5LzpNks3bP6V1zSPNoLFy6kON1UCF
UekQ9/3emmuTuakAR/jBdeGNQtJpFqyex0gM0FzoDKM/H6LIymQgFXXxRTSz6dCxeDIrRzRrU+hW
TmHeyrdRo9d4IJgRKoMoEgx0Agn7+yVmFM4N6auQB77OcW/6zDG1ylTuLA/ybrTRQ8f1/uGQr1E1
c0jaU/QbHrb3FE4vD7moug7t3u+/Sn8y05vnVwMGsUF237663w8FpZwaF/6sC3j+2hUdO07FqFI0
XzMPSTKVp+8J0q1mFmvWrreP9YQG/oofw9YDphZwqDzh/z6V0jbs76ksxNdZVGTAnw9phevIVvYe
tmrbtMOhHFs7v2HRGAhDxpp9GMuWaBrVu/TdoBBmshHR8pq153ll/jn7qLvEtAh1gCljdhH42Mj9
U6TdwfeBQTxuOAS7oKMzt/IXpH3u4FQnUyC/9Jkzcx5sUKYtZHOlhXr7Tv32zsH0h28gfSZBxCm9
xrspozK3poD6giBSYCofL2EOd34NzCfix8n0x1fu9QjF4cEEvutKjom3jvsKYe8QYoYJ+P0XTDTM
GtUT5L1eDxkr+23iQqdednFEvU8xsfDn7yUyvu6dCUuTf5AUvX4jmZqiBQWkZUwqHbxjX95mOOvz
OEWJ+AwmQetIHCcoVVgHpp3/Z3fZlTALGMTaAUcDHHsFXhcUhqFw8FCGqRwgtlSlac2znE7tCL3e
VI1vH/Al0YKhiWQMFhqllGTCB3z08tKQx64sJkv3uauZE6X7DpEUyxyL4sJzjbsW1z5ikokgJbGs
kCk749snYMy7XkxwKLWwq7RxkEevwqW/Xlm8JC0dFdR4xNlLUu+ZZeEfCeqRRvnJc9kydqkpjZGX
mfX7Jyhuyd5AXpXfI804nZ5vTpVLA/EA/S98xQ3UFbqFtQxrtgRdTKTZ70LRWyHGiE7Rs1oHkzSb
JcSqBqlzGtt8+IRnM0PHAzsYAI+cqZunjPINiG4fUsy7PZq8sYVH2hSWqa30qE3ZZXVuQBejs9Zs
577KqG0CjaCSvVh1itMKngF6TWnPqlkUrimacmglZnt1HVMsx3lFptjGhuzG/Q+TvAOZdMcZe+Pz
tMbr8Q+ZPK8/a9Y9F/WQJGUIu4/fXu2BziK17HX51KQtRvPHRPWmBYoIQWLp/QlZv/3Ezdfy65Jr
ltroaUYTwgVArPfylWNQBjFZh9OnKPENxjhkkV9cEiPgFtaVrW3OAG1KNNBEzU5sikKrrMzZvH0a
r69c4ECFnTNJBFw2g/dXm2iNnHPiWaafCui71VlWdX313i0mt7twdX/19sFev+REGkgs+VFriZB5
5WsFqo+zWJYqrT+PmH2sH2QemNciz5WprN4+lCGa/Xp/+e1h4KOY8AMmbwK218v7m0yzXZb16L6v
dW+HpAFgtJAcEmBUOt0sn9gdNgy8K/4RANjwXs6SZGyaNYlltALWBYKh5THzezUhNQZHWD1TqGeE
Sz6kqDHIPWvy1MBas2VggBC7KD7CMfQNTFxUTEfuR8sRXJxVSPaiJLHMpMgZK7Ne0xAUc3tqWayj
5aFu7MT7QyjQq/vNPUD9KGy+Uy8g//X1PZAy6aPKJ3V4qHKzM8cNo4qC2KyGzvnt+200eC/vNwuY
xDOMNYFtUbx+n6dGgak6Xnwfes3TsQb8da4KLOTM1sRSzxL0PHsvIelwF2qsr3m5f/6pGweDEFjw
q+SD9AKDZ9ILKlY6t9IxiIJV5HimXmg+VWLpMlUV08kiBhqmPUpu2uNsZVEbDz8Hf0yLzBDJKnOX
b2cNbVRth7GBX44Zjcw5CoYmlMPBMzQxOpPBeIkNNU8yd6hacD4fWfibXd9lBlj+OULji+TdzZl5
sO/FsGr5hYtTTUAgb9/S8OXjCwLj3Obaxp1Nshf+RslruYIxhG/7WI4ieMi7WhqjU1ce/SJUHhg/
CTiJN0fnS5iV8Q7D3PpY4db0YUxwEd7U4VAzNE0wvLeWUG/8tG/fx/Sv+prM6DHdkiDnHrMov6kY
tT2OytNq43dWiiYjSPx3uAA056md6Ut2pHSlW0/HYmfhpfKRiAA1YpWD1Ja43Yi8BlDD4oO1WtgG
98jyYUZH3bXHrlQcyHMVl8HSjbteLe2emXj5IWWGT5Shy5QgVz1wXlNMjPB6p/wMa0LijZJgtoSs
wHZ2QnXBvcv+/EWljYM5cuenQBj/w92ZdbWNLHH8q3Dm3T7al4e5D+AAyQAJCSE38+JjsLBla7G1
2DKf/v5akkGSWWbSedC5OvM0JiV1dXV1rf+apemZtogAXLP1/NbX9Tl1UMrAiEY0ta9+LnM3nTI7
OPnGzNcUs2icny+KfHFKmmAnJiqRXD4ptq4PHocRbgA0jz+AIMCsLme+WPzIHRp4QKTIl6MMQKOb
x0VOSMygG55o38A4USzl2sh2yp0GNvrfQPoCQpmbYDYVwDkv7dT/wJRZ/525W21ljUCQVkaZmZgK
hoah0NFpMeEfe23Ooin7VXxxtTGzDaygHDuaKNb3d8SvdaCrl9kUyolrHhuua5HQJY5px4THKYBR
ITVChXKjRsRXwf5gFJyh5/h/szi8JkVoL9+xxw4kv1wmtTqkbFDi3bKJ3EzdeEkT2XQdRTiuOsNK
itNQVyl8e3uRJaXna7hcpaFp1OcwOI0LuetEFlq41DbUykzVbcyZ0TWui2PmDgjElnlgf400YPf9
dDxYgShququRvln5wRmgm9aoCDLKvijWsz4nVuJ+igZr+zv3bYqdlAfZbRhivGhZxOBWLVONa2Wz
iB5COiUuIsKz1xttp/1wF/ipx2qsKoDHLIHCCV3keGCHFtGbJbk4desSWEvc3XQRM2hksc6TU3Vm
KhOlyPSTR/bvHVuoU4QHS4QZgBkEX4BfOxiQqTIvrTBA7J8y3w3mz319fqaDCX1ePBaTSHWDn/rA
LUa5NiPpsWZI/bkB6k00entnTCHMrZ2xRbEmcLYarWRc4x0DSV2OQ9IHc3s6y0kcEE4DL7FwqAgf
pWRJMoCUaG62wwxQZJocQ7I9cXgeE7e63KwsQMkDRmZ8flRnxrn+SPMxvc7u3/S7ReZJshxcgqts
X+z03Vmkh/oNMdDgczxg044tEmPM/8oK0i4L5mef2CsXwBAN5/uUpq6HnbXwr3R7BcYbkeJzmgdX
n0MzC7JRPE7zu10wz78rpra8HkQOF4RVqNtTXcu2+bGe+LObbeDSNDNfKyxgXoBUtslmpACAh1uQ
COFO/GaYA+fCn++MHypRbZB5lkuzeEfsBe+6vGVgLzaohTdrizFYTY85JyTMvtvj6do3zKvBWl/c
rnx9B0TsOlKu1K1o8357OzugDEgVHYSi6pZ6JJ0SvO58WQr2gyTk6vQWq4XxibAZ3YRjho38RaBy
cUoiIkPTm7NkutKV4NafFdmF77vK9WDj6qdvf0s5Jbi9fExN1KfmaAwsVrvFgMmWCRLOLIq8GUju
AX57PP47BsxyM1qLvtW1QsX7cR7GAFRmdHDuRnThMgSVctgRcRLXPSHhCWRKEluM6qa1UoR+CaFH
g3R+ubT89Hytg+hp5fMZjYT2zGAajqttj1OAH0vY4JAGYVBGTpzw0VydDWDL6WKZDS5dSxW4wlsb
7Lx0vvvCvHqus4Xpr05ngGAB1aj6y4uQNC8WpR7S3R6sAzDgN3SAf9iQ9Lw1N7im2CLpt0wrInpz
Az05TmzKZZBE0kUnFlG/L7rrR6RcqagryGiSV2KKecCUamofLrd0YtJT7IOYeQL/YvUjxSlMUlGs
mfYjS2L/vzmgWg+GrzFZI90sxu8Fvg71D5JSjftUwRw6iOvpGpnQZbFdemA6KEx02rqLO6o8dmQN
2TJ8Knv6mObjj1Y0uGMuF91SO2vDBIG3heQlgQU4BbNZp3IVhJ5OuINKqTRMH+3AG4fWLh+VG2I9
5vOAtlorO1UeN+7NGuCQ0501H39YuePi59xJNivk5LFGEHkVT6UToCtPjxhjITpCNAH0rbUPLB3r
201cLBfezFasb2tLTb9qAd3WNoHdv7gX86s8WGefVvTEfwwKXQWgyuYiY6hb8cW35w4FydF2c+EP
cv2Byvm1eewwivLbOyxr+wDiKy3qXWmK0aiZxqnssGwTjnehuzZyj6j3evYdy8KkOV8zdsd5qmyu
NGvDLIZt+mgxUTMx44c5sLOMCR1rq+0ZaJbprekGswuF+Z7fNZDXyJBwC5yC3h3A7hlDoow16d5q
o/9v+izqhYwm2eRD2XV1nXvJ7quXchul+8GA4tcvsR9lN/Gv/dHbhI68Rr/XPVP8MvEFMz+Omr1b
mohqtRo3yk8qv/ctCgGB2Syfen/+AS61KWJgQtTLBzTpgFGB9c8DFwh8guFcWlSvi6d6YYNFrzHh
7fVV3Hz7b1ormExpXBv5TEDz77MmDwDZJIL7T5jQIdFggj3UTMMiIoPHLh56SJpMIFg/tGhmQTVW
E3+rF/aICWCKC2dWiguGMWSbXYrolWqrWWWTC447tImYwm9iO+JBVHhhj7iAj+ZWH1Xp+aczengg
XpcFc0jDAuhweP/l05EF1+bAlL2MII+XT9+4QC23NBO0oU29KMkPgnwtGbCGAIyJ7A9tPv1cvSum
mUsdBN0Ylk44vnC1xg4TRCMs3CGDQReGeBCRfh0EOqiwBKSYYKhDU0Q/iDGWa+zqRFr7mHhICker
2N0jNUBlZbUjElqAa08hnK2JMEUt581zYJtDOgtJAKtg7omnd0wAjkKaCcaQ1ZHxp6GmfJCpJhNc
ujuB0zSZdVGJSO+YIOqjpLnAhaCTrCcgXHGhow1sdwjGJ0X5VqUMFFz/nmkDmgMktYHu0MbvmKZA
eSwfuNoUBVWBS+QIMBT7tnpa2Ah0SelCsXpS8I5KK3Jr2TZznXCZBdphJRu9s45BvDVkT4BhD0XT
Bbna2uTpnAAKQIYUS5D6I/EnnuqFPboRyLSKaLqUEGjO0MT4JWZdrvHASXDQhg49jLSDVn/Qu5PA
Pok6Cyku6MB/Esd0RO1P+XQUASOQQOYg2kjgpHx6xwXShAdD4V7xml93EtwhgSqCL1ptHCFcLXUo
LESbcC8gqn3Th0ynFCOjpKQAVxGNpxDGrv3hjmWgMh7Pwk8k4ttDmwBUG9n1K0NVBzoB+JZKyjv7
b7N8aoqokauuhf5FTYiuHiAF/9tTALYPJXkiOlT7SYcBA15jcQU9G9GIXY/uBUAZxPg2qbOAcUCJ
IiZwffkpHVkQVjLT2GyKSith6N2JYJMcaS6AAcP6AHN51vtNjehYQ3xF7AdCB+XTQy6Ql5OUBYPZ
n2T4CKca1SpRtE0uuDrBI0UhF1b/3r/bwcV+keSCDuaXQBSwgAivng4XVPxKUWrt1B5V76xmUpSa
rNWMXqDijgysXUfWO5aSi94AKwL3utaOlfD1SDuSphUFL3LakXCpJsChqGspn46l4JjoBdJYOl5a
P/UCUB6urPuMveSIHCsu5GtcoMhbzLKsf++hXiDuKykLhgnmlwicNiS+qR0tdwgMFelnyvDKp3d6
QSMBJHtTGhZcKEuf6puyqxeMIeU3Og5r9aYeKQQaPaSvSBFLQSMgAu1LwbaGNmlsZpfUm987xxEU
HE32asRkdlwSjfXWHwQRCCgB2+WIO+NJUfTMZFbAiZNVBNqQbCpBApRe+XSOAOCAIFyRZqqlrU9H
QKVjQXb5RA1JqzBi82UrkfJjgix4JsxdKl/Vq/WbwsGRswlIHQGeg4NcybjI3zfvARLNZNZQNlTE
lU/vbkNMVybYyHFBJNioKBBRpGqVsLXJBSovMKKxH/fKonceE+B+AoFXThaIpBE6xiZ4VnhNLtD/
iTCQXgHQba8q+qUQKQ4/GCn/byMpOlYy7a0ugYQntd/kgu0MxZ1hEnKrfu/f5SjMV0lZMPQhPYg4
jfuUM6tscUGkpIm5Enh7OjH9kgVquKXzDFQfAB9IvAgk7fLpcIGmsSGFfoQfncpF7dPtIKpGZKWA
y58yV9esU2qikqErBSBnK6IAo3x6eBbwYmS5oA0xhZkcuY+XdaSAAgRuSDqj9jUq/bsjDe4HWS4o
ZB7JubkNc7gpC+Tc+AXAWABZ92elZxrBYItkuaAjC7T4kcavJL5jL1X5V4wFMvDlq3qkEWhqEeXm
cjYC6wd2QoCqPu1ySwqEU0XCkbqsij+9OwuCC6gxKS4QQwIqQhUzD6tVstdNLsCbISeO0EKtgvsk
BbTESluKJqWHWMNKbQh28yxkGASmtajTraSkd7cjuArytYkqhWeil3t/FlhlUwrwGsBvEEHn53hr
vzQixl0d2fr18jzOAoMgBDxG91qkPIH0Ph3RVDKLp3dOk861LasKiKFRnEs9DvGy8umoAodBrFiQ
mIjPCrNnQvDCoJp/6zSRbGPx7PYr5Yk4z5QlMeiblFvFpn9+Of4D3fnUCXIy94Np2QPie+lLrSKv
/cG+++Hw97rz4eP0zz9Ei0frD292K69693OLyH9alSplhr3x4z7jXr6n/uf1Ag9f3XrXflX7/3nu
e8kkuZ8DQ0YDya7+zKtJSCcJU0LuJuGk2ZqB9HE+n7/kzz9a39m4EN8h/PL4kUaHzC/RTXz619of
XBaPS39wsgTTd5Luly62sSrHlaV8Mgn8hziJ/NZXVx0w0rTjIE4m07j51XZZOSpPmS7B+8y/z7MW
8bJIXZb4yAsm20niNSlXBeDSlOtmo6P44YjBSnl412Z7VVgq+5ZTuO5PW/tZVyvKUj7z4mTW/uS6
AlCW8jkc9/0mx8FIFPgjsoQ/TifzlgDWxWrSdIPAj2K/fSKrCihp0tHUn3S0SFVPI0053rbFgs58
LnpZsn8d6qaq2kGaMATy++Vu/4ml2qtKCGRJX8S5nx6wuSpVkaV9OfGjlvYg+ypS3fJ0k10wiaZ7
SuVlXiVQ5Umn6eR+nqdelrVkWquSc9L0/Xug1SbtVtOqDEKeNHdBGmctya7T6vK009Tnv9WqpZso
8hO+4u+gHudJl7SoB5AmHUdZR4doVZ5RlvKVd5d0h7fVySt50ptJ+96q80HyhLdH55Nwlc799rUO
fZFj+B30P3lJ6rU0lUCh+03EL73Cv29dY3Ve4Hd8+c84We55UKoUwBrV/f8Qxv2vGdlXcZLNj04m
ScxN2T6cVQ+V9LeXLxhNlt2zj0NMykCW/Oe53+Z4FX2WJrsMsEjaXk3dZSxNOvFm3W7+MlYsS/iL
F0XpLthMOm5CXb8iS/7rPJ56Rx/Tg7utyv3Ikv8W568IYh1K/j0vOBTEOkYrS/4G7nvAm7VMCtAQ
RfxTnnbR9irriKIs3e/ZZL7/OqFT6hYZWbK3XhJys7UoV8E/aco+nk1HvOs8vCzpHxPuHaY3tY9m
3UYnTdxLs6Pblz6+igpK0/fT+5hpEy3LrcaGkKb9+ujoNwMxL0WanppADuNPe2CQl/5ZO7gm/uI+
8CbJf/4HAAD//w==</cx:binary>
              </cx:geoCache>
            </cx:geography>
          </cx:layoutPr>
        </cx:series>
      </cx:plotAreaRegion>
    </cx:plotArea>
    <cx:legend pos="t" align="ctr" overlay="0"/>
  </cx:chart>
  <cx:spPr>
    <a:noFill/>
  </cx:spPr>
</cx: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127000</xdr:rowOff>
    </xdr:from>
    <xdr:to>
      <xdr:col>27</xdr:col>
      <xdr:colOff>326572</xdr:colOff>
      <xdr:row>7</xdr:row>
      <xdr:rowOff>127000</xdr:rowOff>
    </xdr:to>
    <xdr:sp macro="" textlink="">
      <xdr:nvSpPr>
        <xdr:cNvPr id="2" name="Rectangle: Rounded Corners 1">
          <a:extLst>
            <a:ext uri="{FF2B5EF4-FFF2-40B4-BE49-F238E27FC236}">
              <a16:creationId xmlns:a16="http://schemas.microsoft.com/office/drawing/2014/main" id="{E9C329D2-8737-F323-9F7B-82C5A9A25684}"/>
            </a:ext>
          </a:extLst>
        </xdr:cNvPr>
        <xdr:cNvSpPr/>
      </xdr:nvSpPr>
      <xdr:spPr>
        <a:xfrm>
          <a:off x="0" y="127000"/>
          <a:ext cx="16736786" cy="127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0</xdr:colOff>
      <xdr:row>0</xdr:row>
      <xdr:rowOff>145143</xdr:rowOff>
    </xdr:from>
    <xdr:ext cx="5613400" cy="952500"/>
    <xdr:sp macro="" textlink="">
      <xdr:nvSpPr>
        <xdr:cNvPr id="3" name="Rectangle 2">
          <a:extLst>
            <a:ext uri="{FF2B5EF4-FFF2-40B4-BE49-F238E27FC236}">
              <a16:creationId xmlns:a16="http://schemas.microsoft.com/office/drawing/2014/main" id="{3A16BAD4-D409-246A-EF1C-E300B0FF4368}"/>
            </a:ext>
          </a:extLst>
        </xdr:cNvPr>
        <xdr:cNvSpPr/>
      </xdr:nvSpPr>
      <xdr:spPr>
        <a:xfrm>
          <a:off x="0" y="145143"/>
          <a:ext cx="5613400" cy="952500"/>
        </a:xfrm>
        <a:prstGeom prst="rect">
          <a:avLst/>
        </a:prstGeom>
        <a:noFill/>
        <a:ln>
          <a:noFill/>
        </a:ln>
      </xdr:spPr>
      <xdr:style>
        <a:lnRef idx="0">
          <a:scrgbClr r="0" g="0" b="0"/>
        </a:lnRef>
        <a:fillRef idx="1001">
          <a:schemeClr val="lt1"/>
        </a:fillRef>
        <a:effectRef idx="0">
          <a:scrgbClr r="0" g="0" b="0"/>
        </a:effectRef>
        <a:fontRef idx="major"/>
      </xdr:style>
      <xdr:txBody>
        <a:bodyPr wrap="square" lIns="91440" tIns="45720" rIns="91440" bIns="45720">
          <a:noAutofit/>
        </a:bodyPr>
        <a:lstStyle/>
        <a:p>
          <a:pPr algn="ctr"/>
          <a:r>
            <a:rPr lang="en-US" sz="4400" b="1" i="1" cap="none" spc="0">
              <a:ln w="0"/>
              <a:solidFill>
                <a:schemeClr val="tx2">
                  <a:lumMod val="40000"/>
                  <a:lumOff val="60000"/>
                </a:schemeClr>
              </a:solidFill>
              <a:effectLst>
                <a:reflection blurRad="6350" stA="53000" endA="300" endPos="35500" dir="5400000" sy="-90000" algn="bl" rotWithShape="0"/>
              </a:effectLst>
              <a:latin typeface="Aptos" panose="020B0004020202020204" pitchFamily="34" charset="0"/>
            </a:rPr>
            <a:t>         </a:t>
          </a:r>
          <a:r>
            <a:rPr lang="en-US" sz="4400" b="1" i="1" cap="none" spc="0">
              <a:ln w="0"/>
              <a:solidFill>
                <a:schemeClr val="tx1"/>
              </a:solidFill>
              <a:effectLst>
                <a:reflection blurRad="6350" stA="53000" endA="300" endPos="35500" dir="5400000" sy="-90000" algn="bl" rotWithShape="0"/>
              </a:effectLst>
              <a:latin typeface="Aptos" panose="020B0004020202020204" pitchFamily="34" charset="0"/>
            </a:rPr>
            <a:t>Sales Dashboard</a:t>
          </a:r>
        </a:p>
      </xdr:txBody>
    </xdr:sp>
    <xdr:clientData/>
  </xdr:oneCellAnchor>
  <xdr:twoCellAnchor editAs="oneCell">
    <xdr:from>
      <xdr:col>0</xdr:col>
      <xdr:colOff>57150</xdr:colOff>
      <xdr:row>0</xdr:row>
      <xdr:rowOff>135164</xdr:rowOff>
    </xdr:from>
    <xdr:to>
      <xdr:col>1</xdr:col>
      <xdr:colOff>533400</xdr:colOff>
      <xdr:row>5</xdr:row>
      <xdr:rowOff>84364</xdr:rowOff>
    </xdr:to>
    <xdr:pic>
      <xdr:nvPicPr>
        <xdr:cNvPr id="5" name="Graphic 4" descr="Bar graph with upward trend with solid fill">
          <a:extLst>
            <a:ext uri="{FF2B5EF4-FFF2-40B4-BE49-F238E27FC236}">
              <a16:creationId xmlns:a16="http://schemas.microsoft.com/office/drawing/2014/main" id="{E450E006-086E-A9A7-2DEA-C2C1A3084CD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150" y="135164"/>
          <a:ext cx="1084036" cy="856343"/>
        </a:xfrm>
        <a:prstGeom prst="rect">
          <a:avLst/>
        </a:prstGeom>
      </xdr:spPr>
    </xdr:pic>
    <xdr:clientData/>
  </xdr:twoCellAnchor>
  <xdr:twoCellAnchor editAs="oneCell">
    <xdr:from>
      <xdr:col>9</xdr:col>
      <xdr:colOff>226786</xdr:colOff>
      <xdr:row>1</xdr:row>
      <xdr:rowOff>97651</xdr:rowOff>
    </xdr:from>
    <xdr:to>
      <xdr:col>18</xdr:col>
      <xdr:colOff>145143</xdr:colOff>
      <xdr:row>5</xdr:row>
      <xdr:rowOff>97651</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7C438BC8-B697-41B1-8AD9-1C4BD052261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56036" y="288151"/>
              <a:ext cx="5347607"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235857</xdr:colOff>
      <xdr:row>1</xdr:row>
      <xdr:rowOff>86178</xdr:rowOff>
    </xdr:from>
    <xdr:to>
      <xdr:col>27</xdr:col>
      <xdr:colOff>163286</xdr:colOff>
      <xdr:row>5</xdr:row>
      <xdr:rowOff>86178</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B565D97D-1DCF-4BB9-80C0-44147C7474A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94357" y="276678"/>
              <a:ext cx="5356679"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72571</xdr:colOff>
      <xdr:row>8</xdr:row>
      <xdr:rowOff>9071</xdr:rowOff>
    </xdr:from>
    <xdr:to>
      <xdr:col>6</xdr:col>
      <xdr:colOff>335643</xdr:colOff>
      <xdr:row>41</xdr:row>
      <xdr:rowOff>1</xdr:rowOff>
    </xdr:to>
    <xdr:sp macro="" textlink="">
      <xdr:nvSpPr>
        <xdr:cNvPr id="8" name="Rectangle: Rounded Corners 7">
          <a:extLst>
            <a:ext uri="{FF2B5EF4-FFF2-40B4-BE49-F238E27FC236}">
              <a16:creationId xmlns:a16="http://schemas.microsoft.com/office/drawing/2014/main" id="{6104D904-FCF5-F177-B8D5-14FBC4BE8332}"/>
            </a:ext>
          </a:extLst>
        </xdr:cNvPr>
        <xdr:cNvSpPr/>
      </xdr:nvSpPr>
      <xdr:spPr>
        <a:xfrm>
          <a:off x="72571" y="1460500"/>
          <a:ext cx="3909786" cy="5978072"/>
        </a:xfrm>
        <a:prstGeom prst="roundRect">
          <a:avLst>
            <a:gd name="adj" fmla="val 4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444499</xdr:colOff>
      <xdr:row>8</xdr:row>
      <xdr:rowOff>36284</xdr:rowOff>
    </xdr:from>
    <xdr:to>
      <xdr:col>27</xdr:col>
      <xdr:colOff>235856</xdr:colOff>
      <xdr:row>26</xdr:row>
      <xdr:rowOff>18143</xdr:rowOff>
    </xdr:to>
    <xdr:sp macro="" textlink="">
      <xdr:nvSpPr>
        <xdr:cNvPr id="9" name="Rectangle: Rounded Corners 8">
          <a:extLst>
            <a:ext uri="{FF2B5EF4-FFF2-40B4-BE49-F238E27FC236}">
              <a16:creationId xmlns:a16="http://schemas.microsoft.com/office/drawing/2014/main" id="{944D4F83-F176-4968-A4F8-0E0B5E0E54FC}"/>
            </a:ext>
          </a:extLst>
        </xdr:cNvPr>
        <xdr:cNvSpPr/>
      </xdr:nvSpPr>
      <xdr:spPr>
        <a:xfrm>
          <a:off x="4091213" y="1487713"/>
          <a:ext cx="12554857" cy="3247573"/>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435429</xdr:colOff>
      <xdr:row>26</xdr:row>
      <xdr:rowOff>99786</xdr:rowOff>
    </xdr:from>
    <xdr:to>
      <xdr:col>15</xdr:col>
      <xdr:colOff>399142</xdr:colOff>
      <xdr:row>41</xdr:row>
      <xdr:rowOff>9072</xdr:rowOff>
    </xdr:to>
    <xdr:sp macro="" textlink="">
      <xdr:nvSpPr>
        <xdr:cNvPr id="10" name="Rectangle: Rounded Corners 9">
          <a:extLst>
            <a:ext uri="{FF2B5EF4-FFF2-40B4-BE49-F238E27FC236}">
              <a16:creationId xmlns:a16="http://schemas.microsoft.com/office/drawing/2014/main" id="{90120B71-BC45-4196-A618-561AB9C3552C}"/>
            </a:ext>
          </a:extLst>
        </xdr:cNvPr>
        <xdr:cNvSpPr/>
      </xdr:nvSpPr>
      <xdr:spPr>
        <a:xfrm>
          <a:off x="4082143" y="4816929"/>
          <a:ext cx="5433785" cy="2630714"/>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471714</xdr:colOff>
      <xdr:row>26</xdr:row>
      <xdr:rowOff>99786</xdr:rowOff>
    </xdr:from>
    <xdr:to>
      <xdr:col>27</xdr:col>
      <xdr:colOff>244929</xdr:colOff>
      <xdr:row>41</xdr:row>
      <xdr:rowOff>0</xdr:rowOff>
    </xdr:to>
    <xdr:sp macro="" textlink="">
      <xdr:nvSpPr>
        <xdr:cNvPr id="11" name="Rectangle: Rounded Corners 10">
          <a:extLst>
            <a:ext uri="{FF2B5EF4-FFF2-40B4-BE49-F238E27FC236}">
              <a16:creationId xmlns:a16="http://schemas.microsoft.com/office/drawing/2014/main" id="{C742DBD2-96E8-44F1-82AB-E31511537C30}"/>
            </a:ext>
          </a:extLst>
        </xdr:cNvPr>
        <xdr:cNvSpPr/>
      </xdr:nvSpPr>
      <xdr:spPr>
        <a:xfrm>
          <a:off x="9588500" y="4816929"/>
          <a:ext cx="7066643" cy="2621642"/>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81642</xdr:colOff>
      <xdr:row>10</xdr:row>
      <xdr:rowOff>163285</xdr:rowOff>
    </xdr:from>
    <xdr:to>
      <xdr:col>6</xdr:col>
      <xdr:colOff>317499</xdr:colOff>
      <xdr:row>40</xdr:row>
      <xdr:rowOff>163286</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260891EB-3FC6-485E-A14D-045967278A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1642" y="2004785"/>
              <a:ext cx="3893457" cy="55245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444501</xdr:colOff>
      <xdr:row>10</xdr:row>
      <xdr:rowOff>45357</xdr:rowOff>
    </xdr:from>
    <xdr:to>
      <xdr:col>14</xdr:col>
      <xdr:colOff>272143</xdr:colOff>
      <xdr:row>26</xdr:row>
      <xdr:rowOff>9071</xdr:rowOff>
    </xdr:to>
    <xdr:graphicFrame macro="">
      <xdr:nvGraphicFramePr>
        <xdr:cNvPr id="13" name="Chart 12">
          <a:extLst>
            <a:ext uri="{FF2B5EF4-FFF2-40B4-BE49-F238E27FC236}">
              <a16:creationId xmlns:a16="http://schemas.microsoft.com/office/drawing/2014/main" id="{B202848E-6456-4018-8E0F-E1BAA2169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290285</xdr:colOff>
      <xdr:row>10</xdr:row>
      <xdr:rowOff>63500</xdr:rowOff>
    </xdr:from>
    <xdr:to>
      <xdr:col>20</xdr:col>
      <xdr:colOff>598714</xdr:colOff>
      <xdr:row>26</xdr:row>
      <xdr:rowOff>18142</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E071979D-56BD-40C8-A3AD-1BD5F57CB9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824685" y="1905000"/>
              <a:ext cx="3966029" cy="29010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598715</xdr:colOff>
      <xdr:row>10</xdr:row>
      <xdr:rowOff>54428</xdr:rowOff>
    </xdr:from>
    <xdr:to>
      <xdr:col>27</xdr:col>
      <xdr:colOff>235857</xdr:colOff>
      <xdr:row>26</xdr:row>
      <xdr:rowOff>18142</xdr:rowOff>
    </xdr:to>
    <xdr:graphicFrame macro="">
      <xdr:nvGraphicFramePr>
        <xdr:cNvPr id="15" name="Chart 14">
          <a:extLst>
            <a:ext uri="{FF2B5EF4-FFF2-40B4-BE49-F238E27FC236}">
              <a16:creationId xmlns:a16="http://schemas.microsoft.com/office/drawing/2014/main" id="{98E0980C-927E-4A06-9002-E061BC1C1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453572</xdr:colOff>
      <xdr:row>28</xdr:row>
      <xdr:rowOff>81643</xdr:rowOff>
    </xdr:from>
    <xdr:to>
      <xdr:col>15</xdr:col>
      <xdr:colOff>390071</xdr:colOff>
      <xdr:row>41</xdr:row>
      <xdr:rowOff>0</xdr:rowOff>
    </xdr:to>
    <xdr:graphicFrame macro="">
      <xdr:nvGraphicFramePr>
        <xdr:cNvPr id="16" name="Chart 15">
          <a:extLst>
            <a:ext uri="{FF2B5EF4-FFF2-40B4-BE49-F238E27FC236}">
              <a16:creationId xmlns:a16="http://schemas.microsoft.com/office/drawing/2014/main" id="{CEFB558E-82D4-4484-AB47-922953B4E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462643</xdr:colOff>
      <xdr:row>28</xdr:row>
      <xdr:rowOff>90714</xdr:rowOff>
    </xdr:from>
    <xdr:to>
      <xdr:col>27</xdr:col>
      <xdr:colOff>263072</xdr:colOff>
      <xdr:row>41</xdr:row>
      <xdr:rowOff>0</xdr:rowOff>
    </xdr:to>
    <xdr:graphicFrame macro="">
      <xdr:nvGraphicFramePr>
        <xdr:cNvPr id="17" name="Chart 16">
          <a:extLst>
            <a:ext uri="{FF2B5EF4-FFF2-40B4-BE49-F238E27FC236}">
              <a16:creationId xmlns:a16="http://schemas.microsoft.com/office/drawing/2014/main" id="{FEB090D1-4C66-4B55-A5D8-98B3CB901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90714</xdr:colOff>
      <xdr:row>8</xdr:row>
      <xdr:rowOff>9071</xdr:rowOff>
    </xdr:from>
    <xdr:ext cx="3873500" cy="625929"/>
    <xdr:sp macro="" textlink="">
      <xdr:nvSpPr>
        <xdr:cNvPr id="4" name="Rectangle 3">
          <a:extLst>
            <a:ext uri="{FF2B5EF4-FFF2-40B4-BE49-F238E27FC236}">
              <a16:creationId xmlns:a16="http://schemas.microsoft.com/office/drawing/2014/main" id="{C549A75D-6DC3-9602-A5BF-8BB5DA37050C}"/>
            </a:ext>
          </a:extLst>
        </xdr:cNvPr>
        <xdr:cNvSpPr/>
      </xdr:nvSpPr>
      <xdr:spPr>
        <a:xfrm>
          <a:off x="90714" y="1460500"/>
          <a:ext cx="3873500" cy="625929"/>
        </a:xfrm>
        <a:prstGeom prst="rect">
          <a:avLst/>
        </a:prstGeom>
        <a:noFill/>
        <a:ln>
          <a:noFill/>
        </a:ln>
        <a:effectLst>
          <a:glow rad="101600">
            <a:schemeClr val="accent3">
              <a:satMod val="175000"/>
              <a:alpha val="40000"/>
            </a:schemeClr>
          </a:glow>
          <a:outerShdw blurRad="50800" dist="38100" dir="5400000" algn="t" rotWithShape="0">
            <a:prstClr val="black">
              <a:alpha val="40000"/>
            </a:prstClr>
          </a:outerShdw>
        </a:effectLst>
      </xdr:spPr>
      <xdr:txBody>
        <a:bodyPr wrap="square" lIns="91440" tIns="45720" rIns="91440" bIns="45720">
          <a:noAutofit/>
        </a:bodyPr>
        <a:lstStyle/>
        <a:p>
          <a:pPr algn="ctr"/>
          <a:r>
            <a:rPr lang="en-US" sz="2000" b="0" i="1" u="sng"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Sales by Category</a:t>
          </a:r>
        </a:p>
      </xdr:txBody>
    </xdr:sp>
    <xdr:clientData/>
  </xdr:oneCellAnchor>
  <xdr:oneCellAnchor>
    <xdr:from>
      <xdr:col>6</xdr:col>
      <xdr:colOff>344715</xdr:colOff>
      <xdr:row>7</xdr:row>
      <xdr:rowOff>172358</xdr:rowOff>
    </xdr:from>
    <xdr:ext cx="3773714" cy="544285"/>
    <xdr:sp macro="" textlink="">
      <xdr:nvSpPr>
        <xdr:cNvPr id="18" name="Rectangle 17">
          <a:extLst>
            <a:ext uri="{FF2B5EF4-FFF2-40B4-BE49-F238E27FC236}">
              <a16:creationId xmlns:a16="http://schemas.microsoft.com/office/drawing/2014/main" id="{960F1C03-2CC2-420C-A48D-265BC4D5D114}"/>
            </a:ext>
          </a:extLst>
        </xdr:cNvPr>
        <xdr:cNvSpPr/>
      </xdr:nvSpPr>
      <xdr:spPr>
        <a:xfrm>
          <a:off x="3991429" y="1442358"/>
          <a:ext cx="3773714" cy="544285"/>
        </a:xfrm>
        <a:prstGeom prst="rect">
          <a:avLst/>
        </a:prstGeom>
        <a:noFill/>
        <a:ln>
          <a:noFill/>
        </a:ln>
        <a:effectLst>
          <a:glow rad="101600">
            <a:schemeClr val="accent3">
              <a:satMod val="175000"/>
              <a:alpha val="40000"/>
            </a:schemeClr>
          </a:glow>
          <a:outerShdw blurRad="50800" dist="38100" dir="5400000" algn="t" rotWithShape="0">
            <a:prstClr val="black">
              <a:alpha val="40000"/>
            </a:prstClr>
          </a:outerShdw>
        </a:effectLst>
      </xdr:spPr>
      <xdr:txBody>
        <a:bodyPr wrap="square" lIns="91440" tIns="45720" rIns="91440" bIns="45720">
          <a:noAutofit/>
        </a:bodyPr>
        <a:lstStyle/>
        <a:p>
          <a:pPr algn="ctr"/>
          <a:r>
            <a:rPr lang="en-US" sz="2000" b="0" i="1" u="sng"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Profit</a:t>
          </a:r>
          <a:r>
            <a:rPr lang="en-US" sz="2000" b="0" i="1" u="sng"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rPr>
            <a:t> gained over time </a:t>
          </a:r>
          <a:endParaRPr lang="en-US" sz="2000" b="0" i="1" u="sng"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oneCellAnchor>
    <xdr:from>
      <xdr:col>14</xdr:col>
      <xdr:colOff>344714</xdr:colOff>
      <xdr:row>8</xdr:row>
      <xdr:rowOff>18141</xdr:rowOff>
    </xdr:from>
    <xdr:ext cx="2857500" cy="408215"/>
    <xdr:sp macro="" textlink="">
      <xdr:nvSpPr>
        <xdr:cNvPr id="21" name="Rectangle 20">
          <a:extLst>
            <a:ext uri="{FF2B5EF4-FFF2-40B4-BE49-F238E27FC236}">
              <a16:creationId xmlns:a16="http://schemas.microsoft.com/office/drawing/2014/main" id="{61A13068-C8E8-496C-B1DB-B30A98BF2F04}"/>
            </a:ext>
          </a:extLst>
        </xdr:cNvPr>
        <xdr:cNvSpPr/>
      </xdr:nvSpPr>
      <xdr:spPr>
        <a:xfrm>
          <a:off x="8853714" y="1469570"/>
          <a:ext cx="2857500" cy="408215"/>
        </a:xfrm>
        <a:prstGeom prst="rect">
          <a:avLst/>
        </a:prstGeom>
        <a:noFill/>
        <a:ln>
          <a:noFill/>
        </a:ln>
        <a:effectLst>
          <a:glow rad="101600">
            <a:schemeClr val="accent3">
              <a:satMod val="175000"/>
              <a:alpha val="40000"/>
            </a:schemeClr>
          </a:glow>
          <a:outerShdw blurRad="50800" dist="38100" dir="5400000" algn="t" rotWithShape="0">
            <a:prstClr val="black">
              <a:alpha val="40000"/>
            </a:prstClr>
          </a:outerShdw>
        </a:effectLst>
      </xdr:spPr>
      <xdr:txBody>
        <a:bodyPr wrap="square" lIns="91440" tIns="45720" rIns="91440" bIns="45720">
          <a:noAutofit/>
        </a:bodyPr>
        <a:lstStyle/>
        <a:p>
          <a:pPr algn="ctr"/>
          <a:r>
            <a:rPr lang="en-US" sz="2000" b="0" i="1" u="sng"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Sales</a:t>
          </a:r>
          <a:r>
            <a:rPr lang="en-US" sz="2000" b="0" i="1" u="sng"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rPr>
            <a:t> by state</a:t>
          </a:r>
          <a:endParaRPr lang="en-US" sz="2000" b="0" i="1" u="sng"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oneCellAnchor>
    <xdr:from>
      <xdr:col>21</xdr:col>
      <xdr:colOff>462643</xdr:colOff>
      <xdr:row>8</xdr:row>
      <xdr:rowOff>9070</xdr:rowOff>
    </xdr:from>
    <xdr:ext cx="3120570" cy="399143"/>
    <xdr:sp macro="" textlink="">
      <xdr:nvSpPr>
        <xdr:cNvPr id="22" name="Rectangle 21">
          <a:extLst>
            <a:ext uri="{FF2B5EF4-FFF2-40B4-BE49-F238E27FC236}">
              <a16:creationId xmlns:a16="http://schemas.microsoft.com/office/drawing/2014/main" id="{27632765-18DF-454F-8DAF-418372DDCE01}"/>
            </a:ext>
          </a:extLst>
        </xdr:cNvPr>
        <xdr:cNvSpPr/>
      </xdr:nvSpPr>
      <xdr:spPr>
        <a:xfrm>
          <a:off x="13226143" y="1460499"/>
          <a:ext cx="3120570" cy="399143"/>
        </a:xfrm>
        <a:prstGeom prst="rect">
          <a:avLst/>
        </a:prstGeom>
        <a:noFill/>
        <a:ln>
          <a:noFill/>
        </a:ln>
        <a:effectLst>
          <a:glow rad="101600">
            <a:schemeClr val="accent3">
              <a:satMod val="175000"/>
              <a:alpha val="40000"/>
            </a:schemeClr>
          </a:glow>
          <a:outerShdw blurRad="50800" dist="38100" dir="5400000" algn="t" rotWithShape="0">
            <a:prstClr val="black">
              <a:alpha val="40000"/>
            </a:prstClr>
          </a:outerShdw>
        </a:effectLst>
      </xdr:spPr>
      <xdr:txBody>
        <a:bodyPr wrap="square" lIns="91440" tIns="45720" rIns="91440" bIns="45720">
          <a:noAutofit/>
        </a:bodyPr>
        <a:lstStyle/>
        <a:p>
          <a:pPr algn="ctr"/>
          <a:r>
            <a:rPr lang="en-US" sz="2000" b="0" i="1" u="sng"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Customer</a:t>
          </a:r>
          <a:r>
            <a:rPr lang="en-US" sz="2000" b="0" i="1" u="sng"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rPr>
            <a:t> count</a:t>
          </a:r>
          <a:endParaRPr lang="en-US" sz="2000" b="0" i="1" u="sng"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oneCellAnchor>
    <xdr:from>
      <xdr:col>6</xdr:col>
      <xdr:colOff>426358</xdr:colOff>
      <xdr:row>26</xdr:row>
      <xdr:rowOff>54428</xdr:rowOff>
    </xdr:from>
    <xdr:ext cx="4562928" cy="444500"/>
    <xdr:sp macro="" textlink="">
      <xdr:nvSpPr>
        <xdr:cNvPr id="24" name="Rectangle 23">
          <a:extLst>
            <a:ext uri="{FF2B5EF4-FFF2-40B4-BE49-F238E27FC236}">
              <a16:creationId xmlns:a16="http://schemas.microsoft.com/office/drawing/2014/main" id="{1C8C21E1-6360-4951-8132-6764210948CF}"/>
            </a:ext>
          </a:extLst>
        </xdr:cNvPr>
        <xdr:cNvSpPr/>
      </xdr:nvSpPr>
      <xdr:spPr>
        <a:xfrm>
          <a:off x="4073072" y="4771571"/>
          <a:ext cx="4562928" cy="444500"/>
        </a:xfrm>
        <a:prstGeom prst="rect">
          <a:avLst/>
        </a:prstGeom>
        <a:noFill/>
        <a:ln>
          <a:noFill/>
        </a:ln>
        <a:effectLst>
          <a:glow rad="101600">
            <a:schemeClr val="accent3">
              <a:satMod val="175000"/>
              <a:alpha val="40000"/>
            </a:schemeClr>
          </a:glow>
          <a:outerShdw blurRad="50800" dist="38100" dir="5400000" algn="t" rotWithShape="0">
            <a:prstClr val="black">
              <a:alpha val="40000"/>
            </a:prstClr>
          </a:outerShdw>
        </a:effectLst>
      </xdr:spPr>
      <xdr:txBody>
        <a:bodyPr wrap="square" lIns="91440" tIns="45720" rIns="91440" bIns="45720">
          <a:noAutofit/>
        </a:bodyPr>
        <a:lstStyle/>
        <a:p>
          <a:pPr algn="ctr"/>
          <a:r>
            <a:rPr lang="en-US" sz="2000" b="0" i="1" u="sng"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Top</a:t>
          </a:r>
          <a:r>
            <a:rPr lang="en-US" sz="2000" b="0" i="1" u="sng"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rPr>
            <a:t> 5 customers making profit </a:t>
          </a:r>
          <a:endParaRPr lang="en-US" sz="2000" b="0" i="1" u="sng"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oneCellAnchor>
    <xdr:from>
      <xdr:col>18</xdr:col>
      <xdr:colOff>253999</xdr:colOff>
      <xdr:row>26</xdr:row>
      <xdr:rowOff>36285</xdr:rowOff>
    </xdr:from>
    <xdr:ext cx="3628571" cy="444501"/>
    <xdr:sp macro="" textlink="">
      <xdr:nvSpPr>
        <xdr:cNvPr id="25" name="Rectangle 24">
          <a:extLst>
            <a:ext uri="{FF2B5EF4-FFF2-40B4-BE49-F238E27FC236}">
              <a16:creationId xmlns:a16="http://schemas.microsoft.com/office/drawing/2014/main" id="{E4B6A02F-E92F-4AD4-9ED9-811D8F6F9612}"/>
            </a:ext>
          </a:extLst>
        </xdr:cNvPr>
        <xdr:cNvSpPr/>
      </xdr:nvSpPr>
      <xdr:spPr>
        <a:xfrm>
          <a:off x="11194142" y="4753428"/>
          <a:ext cx="3628571" cy="444501"/>
        </a:xfrm>
        <a:prstGeom prst="rect">
          <a:avLst/>
        </a:prstGeom>
        <a:noFill/>
        <a:ln>
          <a:noFill/>
        </a:ln>
        <a:effectLst>
          <a:glow rad="101600">
            <a:schemeClr val="accent3">
              <a:satMod val="175000"/>
              <a:alpha val="40000"/>
            </a:schemeClr>
          </a:glow>
          <a:outerShdw blurRad="50800" dist="38100" dir="5400000" algn="t" rotWithShape="0">
            <a:prstClr val="black">
              <a:alpha val="40000"/>
            </a:prstClr>
          </a:outerShdw>
        </a:effectLst>
      </xdr:spPr>
      <xdr:txBody>
        <a:bodyPr wrap="square" lIns="91440" tIns="45720" rIns="91440" bIns="45720">
          <a:noAutofit/>
        </a:bodyPr>
        <a:lstStyle/>
        <a:p>
          <a:pPr algn="ctr"/>
          <a:r>
            <a:rPr lang="en-US" sz="2000" b="0" i="1" u="sng"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Monthly</a:t>
          </a:r>
          <a:r>
            <a:rPr lang="en-US" sz="2000" b="0" i="1" u="sng"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rPr>
            <a:t> sales </a:t>
          </a:r>
          <a:endParaRPr lang="en-US" sz="2000" b="0" i="1" u="sng"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 refreshedDate="45974.785008564817" createdVersion="8" refreshedVersion="8" minRefreshableVersion="3" recordCount="4042" xr:uid="{8A737921-450D-4E1D-A046-0D6EABBD865E}">
  <cacheSource type="worksheet">
    <worksheetSource name="salesdata"/>
  </cacheSource>
  <cacheFields count="11">
    <cacheField name="Order Date" numFmtId="164">
      <sharedItems containsSemiMixedTypes="0" containsNonDate="0" containsDate="1" containsString="0" minDate="2014-01-03T00:00:00" maxDate="2017-12-12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2"/>
        <n v="3"/>
        <n v="4"/>
        <n v="6"/>
        <n v="7"/>
        <n v="8"/>
        <n v="9"/>
        <n v="10"/>
        <n v="11"/>
        <n v="12"/>
        <n v="5"/>
        <n v="1"/>
      </sharedItems>
    </cacheField>
    <cacheField name="Customer Name" numFmtId="0">
      <sharedItems count="738">
        <s v="Bradley Drucker"/>
        <s v="Dave Brooks"/>
        <s v="Hallie Redmond"/>
        <s v="Vicky Freymann"/>
        <s v="Shahid Collister"/>
        <s v="Giulietta Weimer"/>
        <s v="Kunst Miller"/>
        <s v="Katharine Harms"/>
        <s v="Dianna Wilson"/>
        <s v="Corey Roper"/>
        <s v="Liz Thompson"/>
        <s v="Quincy Jones"/>
        <s v="Dorris liebe"/>
        <s v="Laurel Workman"/>
        <s v="Barbara Fisher"/>
        <s v="Ivan Liston"/>
        <s v="Ann Steele"/>
        <s v="Larry Tron"/>
        <s v="Jack Lebron"/>
        <s v="Lena Hernandez"/>
        <s v="Neil FranzÃ¶sisch"/>
        <s v="Russell Applegate"/>
        <s v="Natalie DeCherney"/>
        <s v="Ken Heidel"/>
        <s v="Suzanne McNair"/>
        <s v="Jack O'Briant"/>
        <s v="Paul Lucas"/>
        <s v="Daniel Lacy"/>
        <s v="Deirdre Greer"/>
        <s v="Erin Ashbrook"/>
        <s v="Resi PÃ¶lking"/>
        <s v="Toby Ritter"/>
        <s v="Toby Braunhardt"/>
        <s v="Joe Kamberova"/>
        <s v="Matt Connell"/>
        <s v="Anna Andreadi"/>
        <s v="Cynthia Delaney"/>
        <s v="Eric Barreto"/>
        <s v="Kristina Nunn"/>
        <s v="Nicole Hansen"/>
        <s v="Rob Dowd"/>
        <s v="Sam Craven"/>
        <s v="Anna HÃ¤berlin"/>
        <s v="Andrew Roberts"/>
        <s v="Cari Schnelling"/>
        <s v="Christine Kargatis"/>
        <s v="Stewart Visinsky"/>
        <s v="Eric Hoffmann"/>
        <s v="Nick Zandusky"/>
        <s v="Justin MacKendrick"/>
        <s v="Clay Ludtke"/>
        <s v="Katherine Ducich"/>
        <s v="Christina VanderZanden"/>
        <s v="Andy Gerbode"/>
        <s v="Sanjit Chand"/>
        <s v="Bryan Mills"/>
        <s v="Erin Smith"/>
        <s v="Roger Demir"/>
        <s v="Patrick O'Brill"/>
        <s v="Liz Carlisle"/>
        <s v="Julie Kriz"/>
        <s v="Shahid Hopkins"/>
        <s v="Steven Ward"/>
        <s v="David Philippe"/>
        <s v="Michael Dominguez"/>
        <s v="Katherine Nockton"/>
        <s v="Matt Collins"/>
        <s v="Odella Nelson"/>
        <s v="Elizabeth Moffitt"/>
        <s v="Darren Powers"/>
        <s v="Tom Boeckenhauer"/>
        <s v="Ashley Jarboe"/>
        <s v="Anne Pryor"/>
        <s v="Jill Stevenson"/>
        <s v="Eva Jacobs"/>
        <s v="Katrina Edelman"/>
        <s v="Joni Sundaresam"/>
        <s v="Nathan Cano"/>
        <s v="Steven Cartwright"/>
        <s v="Ross Baird"/>
        <s v="Richard Eichhorn"/>
        <s v="Bruce Stewart"/>
        <s v="Berenike Kampe"/>
        <s v="Gary Hansen"/>
        <s v="Allen Goldenen"/>
        <s v="Mathew Reese"/>
        <s v="Beth Paige"/>
        <s v="Allen Rosenblatt"/>
        <s v="Sara Luxemburg"/>
        <s v="Denny Ordway"/>
        <s v="Russell D'Ascenzo"/>
        <s v="Maxwell Schwartz"/>
        <s v="Speros Goranitis"/>
        <s v="Annie Thurman"/>
        <s v="Denise Monton"/>
        <s v="Stephanie Phelps"/>
        <s v="Tracy Collins"/>
        <s v="Nathan Gelder"/>
        <s v="Matthew Clasen"/>
        <s v="Phillina Ober"/>
        <s v="Deborah Brumfield"/>
        <s v="Mark Haberlin"/>
        <s v="Paul Knutson"/>
        <s v="Maurice Satty"/>
        <s v="Mary Zewe"/>
        <s v="Ken Black"/>
        <s v="Paul MacIntyre"/>
        <s v="Andrew Allen"/>
        <s v="Nat Carroll"/>
        <s v="Bill Shonely"/>
        <s v="Mark Packer"/>
        <s v="Bobby Trafton"/>
        <s v="Valerie Dominguez"/>
        <s v="Marina Lichtenstein"/>
        <s v="David Flashing"/>
        <s v="Joy Daniels"/>
        <s v="Chris Cortes"/>
        <s v="Nathan Mautz"/>
        <s v="MaryBeth Skach"/>
        <s v="William Brown"/>
        <s v="Sam Zeldin"/>
        <s v="Tiffany House"/>
        <s v="Cathy Prescott"/>
        <s v="Mick Brown"/>
        <s v="Aimee Bixby"/>
        <s v="Tracy Hopkins"/>
        <s v="Greg Maxwell"/>
        <s v="John Grady"/>
        <s v="Ruben Dartt"/>
        <s v="Roy Phan"/>
        <s v="Peter Fuller"/>
        <s v="Emily Burns"/>
        <s v="Giulietta Dortch"/>
        <s v="Michael Chen"/>
        <s v="Dan Campbell"/>
        <s v="Dennis Pardue"/>
        <s v="David Wiener"/>
        <s v="Don Miller"/>
        <s v="Chad Sievert"/>
        <s v="Sonia Sunley"/>
        <s v="Ricardo Sperren"/>
        <s v="Gary Zandusky"/>
        <s v="Nora Preis"/>
        <s v="Patrick Ryan"/>
        <s v="Brian Derr"/>
        <s v="Keith Herrera"/>
        <s v="Deanra Eno"/>
        <s v="Steven Roelle"/>
        <s v="Maribeth Dona"/>
        <s v="Barry Gonzalez"/>
        <s v="Brendan Sweed"/>
        <s v="David Kendrick"/>
        <s v="Roy Collins"/>
        <s v="Nona Balk"/>
        <s v="Rob Lucas"/>
        <s v="Joni Blumstein"/>
        <s v="Lycoris Saunders"/>
        <s v="Maria Etezadi"/>
        <s v="Neil Ducich"/>
        <s v="Delfina Latchford"/>
        <s v="Guy Phonely"/>
        <s v="Shirley Daniels"/>
        <s v="Scott Cohen"/>
        <s v="Andy Yotov"/>
        <s v="Frank Hawley"/>
        <s v="Harold Pawlan"/>
        <s v="Steve Nguyen"/>
        <s v="Grant Thornton"/>
        <s v="Sarah Bern"/>
        <s v="Valerie Takahito"/>
        <s v="Emily Phan"/>
        <s v="Becky Castell"/>
        <s v="Roland Fjeld"/>
        <s v="Trudy Brown"/>
        <s v="Victoria Pisteka"/>
        <s v="Xylona Preis"/>
        <s v="Alice McCarthy"/>
        <s v="George Ashbrook"/>
        <s v="Luke Foster"/>
        <s v="Ryan Crowe"/>
        <s v="Roland Schwarz"/>
        <s v="Vivek Sundaresam"/>
        <s v="Cyma Kinney"/>
        <s v="Chris Selesnick"/>
        <s v="Aaron Bergman"/>
        <s v="Nora Pelletier"/>
        <s v="Craig Molinari"/>
        <s v="Pauline Johnson"/>
        <s v="Valerie Mitchum"/>
        <s v="Carol Triggs"/>
        <s v="Bart Pistole"/>
        <s v="Nick Radford"/>
        <s v="John Lee"/>
        <s v="Sean Braxton"/>
        <s v="Dennis Kane"/>
        <s v="Rick Bensley"/>
        <s v="Lisa Ryan"/>
        <s v="Shahid Shariari"/>
        <s v="Tamara Chand"/>
        <s v="Maribeth Schnelling"/>
        <s v="Troy Blackwell"/>
        <s v="Frank Preis"/>
        <s v="Erica Hernandez"/>
        <s v="Jim Mitchum"/>
        <s v="Ruben Ausman"/>
        <s v="Pauline Chand"/>
        <s v="John Stevenson"/>
        <s v="Kean Thornton"/>
        <s v="Carlos Soltero"/>
        <s v="Rick Duston"/>
        <s v="Michelle Huthwaite"/>
        <s v="Ed Braxton"/>
        <s v="Lena Radford"/>
        <s v="Maria Bertelson"/>
        <s v="Tamara Manning"/>
        <s v="Matt Abelman"/>
        <s v="Vivek Gonzalez"/>
        <s v="Becky Martin"/>
        <s v="Lisa Hazard"/>
        <s v="Karen Carlisle"/>
        <s v="Ted Trevino"/>
        <s v="Stefania Perrino"/>
        <s v="Marc Crier"/>
        <s v="Kean Takahito"/>
        <s v="Paul Prost"/>
        <s v="Toby Swindell"/>
        <s v="Jack Garza"/>
        <s v="Duane Noonan"/>
        <s v="Thomas Boland"/>
        <s v="Tim Brockman"/>
        <s v="Jim Karlsson"/>
        <s v="Denny Joy"/>
        <s v="Melanie Seite"/>
        <s v="Patrick Gardner"/>
        <s v="Brosina Hoffman"/>
        <s v="Carl Weiss"/>
        <s v="Chuck Magee"/>
        <s v="Frank Olsen"/>
        <s v="Thomas Seio"/>
        <s v="Brian Moss"/>
        <s v="Darrin Sayre"/>
        <s v="Emily Ducich"/>
        <s v="Matthew Grinstein"/>
        <s v="Joseph Holt"/>
        <s v="Gene McClure"/>
        <s v="Rick Reed"/>
        <s v="Logan Currie"/>
        <s v="Nicole Fjeld"/>
        <s v="Shirley Jackson"/>
        <s v="Jeremy Pistek"/>
        <s v="Benjamin Farhat"/>
        <s v="Dario Medina"/>
        <s v="Anthony Jacobs"/>
        <s v="Scott Williamson"/>
        <s v="Arianne Irving"/>
        <s v="Art Foster"/>
        <s v="Greg Matthias"/>
        <s v="Heather Kirkland"/>
        <s v="Dianna Arnett"/>
        <s v="Sandra Flanagan"/>
        <s v="Tanja Norvell"/>
        <s v="Richard Bierner"/>
        <s v="Fred Chung"/>
        <s v="Sally Matthias"/>
        <s v="Sally Hughsby"/>
        <s v="Seth Vernon"/>
        <s v="Natalie Fritzler"/>
        <s v="Guy Armstrong"/>
        <s v="Chloris Kastensmidt"/>
        <s v="Kelly Andreada"/>
        <s v="Filia McAdams"/>
        <s v="Jay Kimmel"/>
        <s v="Sanjit Engle"/>
        <s v="Gary Mitchum"/>
        <s v="Michelle Moray"/>
        <s v="Paul Gonzalez"/>
        <s v="Raymond Messe"/>
        <s v="Brooke Gillingham"/>
        <s v="Victoria Wilson"/>
        <s v="Harold Dahlen"/>
        <s v="Laura Armstrong"/>
        <s v="Michael Nguyen"/>
        <s v="Mark Hamilton"/>
        <s v="Jamie Kunitz"/>
        <s v="Ken Lonsdale"/>
        <s v="Liz Willingham"/>
        <s v="Jill Fjeld"/>
        <s v="Dean percer"/>
        <s v="Helen Andreada"/>
        <s v="Dorothy Badders"/>
        <s v="Alan Shonely"/>
        <s v="Pete Kriz"/>
        <s v="Tracy Zic"/>
        <s v="Karen Daniels"/>
        <s v="Arthur Prichep"/>
        <s v="Tom Stivers"/>
        <s v="Kean Nguyen"/>
        <s v="Edward Hooks"/>
        <s v="Hunter Lopez"/>
        <s v="Alyssa Crouse"/>
        <s v="Ben Ferrer"/>
        <s v="Max Engle"/>
        <s v="Paul Van Hugh"/>
        <s v="Charles Sheldon"/>
        <s v="Ben Wallace"/>
        <s v="Duane Huffman"/>
        <s v="Lauren Leatherbury"/>
        <s v="Brad Norvell"/>
        <s v="Pete Takahito"/>
        <s v="Tom Ashbrook"/>
        <s v="Luke Weiss"/>
        <s v="Barry Pond"/>
        <s v="Roy FranzÃ¶sisch"/>
        <s v="Joseph Airdo"/>
        <s v="Darren Budd"/>
        <s v="Craig Yedwab"/>
        <s v="Logan Haushalter"/>
        <s v="Philip Brown"/>
        <s v="Shui Tom"/>
        <s v="Dave Hallsten"/>
        <s v="Tracy Poddar"/>
        <s v="Jennifer Braxton"/>
        <s v="David Bremer"/>
        <s v="Catherine Glotzbach"/>
        <s v="Doug Bickford"/>
        <s v="Daniel Raglin"/>
        <s v="Shaun Chance"/>
        <s v="Robert Marley"/>
        <s v="Eric Murdock"/>
        <s v="Justin Hirsh"/>
        <s v="Jeremy Farry"/>
        <s v="Neoma Murray"/>
        <s v="Beth Thompson"/>
        <s v="Keith Dawkins"/>
        <s v="Tamara Willingham"/>
        <s v="Lindsay Castell"/>
        <s v="Claudia Bergmann"/>
        <s v="Dave Kipp"/>
        <s v="Pete Armstrong"/>
        <s v="Michael Oakman"/>
        <s v="Cari Sayre"/>
        <s v="John Dryer"/>
        <s v="John Lucas"/>
        <s v="Noah Childs"/>
        <s v="Rob Haberlin"/>
        <s v="Karl Braun"/>
        <s v="Frank Atkinson"/>
        <s v="Corey-Lock"/>
        <s v="Brad Eason"/>
        <s v="Darren Koutras"/>
        <s v="Jennifer Patt"/>
        <s v="Christopher Schild"/>
        <s v="Henry MacAllister"/>
        <s v="Michael Paige"/>
        <s v="Sheri Gordon"/>
        <s v="Jas O'Carroll"/>
        <s v="Kelly Collister"/>
        <s v="Scot Wooten"/>
        <s v="Barry Blumstein"/>
        <s v="Emily Grady"/>
        <s v="Sylvia Foulston"/>
        <s v="Amy Hunt"/>
        <s v="Allen Armold"/>
        <s v="Rick Wilson"/>
        <s v="Pauline Webber"/>
        <s v="Julia Barnett"/>
        <s v="Lena Cacioppo"/>
        <s v="Bruce Degenhardt"/>
        <s v="Julie Creighton"/>
        <s v="Mike Gockenbach"/>
        <s v="John Huston"/>
        <s v="Corinna Mitchell"/>
        <s v="Fred Hopkins"/>
        <s v="Dean Katz"/>
        <s v="Alejandro Ballentine"/>
        <s v="Bill Stewart"/>
        <s v="Pierre Wener"/>
        <s v="Andrew Gjertsen"/>
        <s v="Alan Schoenberger"/>
        <s v="Stuart Van"/>
        <s v="Becky Pak"/>
        <s v="Irene Maddox"/>
        <s v="Alan Dominguez"/>
        <s v="Julie Prescott"/>
        <s v="Christine Sundaresam"/>
        <s v="David Smith"/>
        <s v="Alex Avila"/>
        <s v="Ritsa Hightower"/>
        <s v="Sean O'Donnell"/>
        <s v="Michael Stewart"/>
        <s v="Rose O'Brian"/>
        <s v="Harry Marie"/>
        <s v="James Lanier"/>
        <s v="Sarah Foster"/>
        <s v="Alan Haines"/>
        <s v="Mike Vittorini"/>
        <s v="Jennifer Jackson"/>
        <s v="Greg Guthrie"/>
        <s v="Carol Adams"/>
        <s v="Jennifer Ferguson"/>
        <s v="Edward Becker"/>
        <s v="Brenda Bowman"/>
        <s v="Victor Preis"/>
        <s v="Mitch Webber"/>
        <s v="Arthur Gainer"/>
        <s v="Cathy Armstrong"/>
        <s v="Sung Pak"/>
        <s v="Joel Jenkins"/>
        <s v="George Bell"/>
        <s v="Christy Brittain"/>
        <s v="Matt Hagelstein"/>
        <s v="Stephanie Ulpright"/>
        <s v="Trudy Schmidt"/>
        <s v="Lori Olson"/>
        <s v="Thomas Thornton"/>
        <s v="Kalyca Meade"/>
        <s v="Sarah Jordon"/>
        <s v="Rachel Payne"/>
        <s v="Chuck Clark"/>
        <s v="Alyssa Tate"/>
        <s v="Shaun Weien"/>
        <s v="Meg Tillman"/>
        <s v="Naresj Patel"/>
        <s v="Katrina Willman"/>
        <s v="Gary Hwang"/>
        <s v="Katherine Murray"/>
        <s v="Art Ferguson"/>
        <s v="Mike Pelletier"/>
        <s v="Damala Kotsonis"/>
        <s v="Eugene Moren"/>
        <s v="Frank Merwin"/>
        <s v="Anna Gayman"/>
        <s v="Eleni McCrary"/>
        <s v="Noel Staavos"/>
        <s v="Parhena Norris"/>
        <s v="Kelly Williams"/>
        <s v="Eudokia Martin"/>
        <s v="Charles Crestani"/>
        <s v="Corey Catlett"/>
        <s v="Karen Bern"/>
        <s v="Mike Caudle"/>
        <s v="Christine Phan"/>
        <s v="Doug O'Connell"/>
        <s v="Adrian Barton"/>
        <s v="Alan Hwang"/>
        <s v="Kristen Hastings"/>
        <s v="Dana Kaydos"/>
        <s v="Anthony Rawles"/>
        <s v="Natalie Webber"/>
        <s v="Maureen Gnade"/>
        <s v="Darrin Martin"/>
        <s v="Denny Blanton"/>
        <s v="Brian Thompson"/>
        <s v="Gene Hale"/>
        <s v="Helen Abelman"/>
        <s v="Maria Zettner"/>
        <s v="Amy Cox"/>
        <s v="Duane Benoit"/>
        <s v="Tonja Turnell"/>
        <s v="Yana Sorensen"/>
        <s v="Henry Goldwyn"/>
        <s v="Craig Carroll"/>
        <s v="Toby Gnade"/>
        <s v="Mick Crebagga"/>
        <s v="Ivan Gibson"/>
        <s v="Anthony Garverick"/>
        <s v="Trudy Glocke"/>
        <s v="Max Jones"/>
        <s v="Monica Federle"/>
        <s v="Sonia Cooley"/>
        <s v="Fred McMath"/>
        <s v="Charlotte Melton"/>
        <s v="Adam Shillingsburg"/>
        <s v="Dianna Vittorini"/>
        <s v="Jesus Ocampo"/>
        <s v="Ken Brennan"/>
        <s v="Michael Moore"/>
        <s v="Eugene Hildebrand"/>
        <s v="Alan Barnes"/>
        <s v="Bill Donatelli"/>
        <s v="Bobby Odegard"/>
        <s v="Alex Russell"/>
        <s v="Steve Chapman"/>
        <s v="Philisse Overcash"/>
        <s v="Khloe Miller"/>
        <s v="Frank Carlisle"/>
        <s v="Julia West"/>
        <s v="Ryan Akin"/>
        <s v="Andy Reiter"/>
        <s v="Paul Stevenson"/>
        <s v="Brian Dahlen"/>
        <s v="Jim Epp"/>
        <s v="Clytie Kelty"/>
        <s v="Todd Sumrall"/>
        <s v="Barry Weirich"/>
        <s v="Skye Norling"/>
        <s v="Stuart Calhoun"/>
        <s v="Lena Creighton"/>
        <s v="Jim Kriz"/>
        <s v="Cynthia Arntzen"/>
        <s v="Cindy Schnelling"/>
        <s v="Evan Bailliet"/>
        <s v="Robert Dilbeck"/>
        <s v="Cindy Stewart"/>
        <s v="Annie Zypern"/>
        <s v="James Galang"/>
        <s v="Giulietta Baptist"/>
        <s v="Laurel Elliston"/>
        <s v="Jonathan Howell"/>
        <s v="Craig Carreira"/>
        <s v="Ralph Kennedy"/>
        <s v="Yoseph Carroll"/>
        <s v="Eugene Barchas"/>
        <s v="Jonathan Doherty"/>
        <s v="Raymond Buch"/>
        <s v="Don Weiss"/>
        <s v="Daniel Byrd"/>
        <s v="Muhammed Yedwab"/>
        <s v="Herbert Flentye"/>
        <s v="Chris McAfee"/>
        <s v="Jay Fein"/>
        <s v="Susan Gilcrest"/>
        <s v="Adam Bellavance"/>
        <s v="Cynthia Voltz"/>
        <s v="Laurel Beltran"/>
        <s v="Brian DeCherney"/>
        <s v="Hunter Glantz"/>
        <s v="Joel Eaton"/>
        <s v="Carl Ludwig"/>
        <s v="John Murray"/>
        <s v="Brendan Murry"/>
        <s v="Bryan Davis"/>
        <s v="Cindy Chapman"/>
        <s v="Dan Lawera"/>
        <s v="Katherine Hughes"/>
        <s v="Barry FranzÃ¶sisch"/>
        <s v="Joe Elijah"/>
        <s v="Ross DeVincentis"/>
        <s v="Tim Taslimi"/>
        <s v="Liz Preis"/>
        <s v="Mike Kennedy"/>
        <s v="Jamie Frazer"/>
        <s v="Christine Abelman"/>
        <s v="Bill Overfelt"/>
        <s v="Jason Gross"/>
        <s v="Theresa Swint"/>
        <s v="Zuschuss Donatelli"/>
        <s v="Susan MacKendrick"/>
        <s v="Guy Thornton"/>
        <s v="Alex Grayson"/>
        <s v="Rob Beeghly"/>
        <s v="Phillip Flathmann"/>
        <s v="Patrick Jones"/>
        <s v="Caroline Jumper"/>
        <s v="Gary McGarr"/>
        <s v="Erica Bern"/>
        <s v="Ben Peterman"/>
        <s v="Tracy Blumstein"/>
        <s v="Michael Granlund"/>
        <s v="Randy Ferguson"/>
        <s v="Evan Henry"/>
        <s v="Edward Nazzal"/>
        <s v="Max Ludwig"/>
        <s v="Ralph Arnett"/>
        <s v="Linda Cazamias"/>
        <s v="Ionia McGrath"/>
        <s v="Mary O'Rourke"/>
        <s v="Alejandro Savely"/>
        <s v="Maureen Fritzler"/>
        <s v="Elpida Rittenbach"/>
        <s v="Ellis Ballard"/>
        <s v="Liz MacKendrick"/>
        <s v="Anthony Johnson"/>
        <s v="Rob Williams"/>
        <s v="Barry Franz"/>
        <s v="Lindsay Williams"/>
        <s v="Janet Lee"/>
        <s v="Jasper Cacioppo"/>
        <s v="Mark Van Huff"/>
        <s v="Dean Braden"/>
        <s v="Fred Wasserman"/>
        <s v="Michelle Arnett"/>
        <s v="Justin Ellison"/>
        <s v="Aleksandra Gannaway"/>
        <s v="Tony Chapman"/>
        <s v="Theone Pippenger"/>
        <s v="Harold Engle"/>
        <s v="Scot Coram"/>
        <s v="Bruce Geld"/>
        <s v="Lindsay Shagiari"/>
        <s v="Kelly Lampkin"/>
        <s v="Greg Tran"/>
        <s v="Dave Poirier"/>
        <s v="Christina Anderson"/>
        <s v="Bobby Elias"/>
        <s v="Roy Skaria"/>
        <s v="Christopher Conant"/>
        <s v="Chad Cunningham"/>
        <s v="Dorothy Wardle"/>
        <s v="Dionis Lloyd"/>
        <s v="Arthur Wiediger"/>
        <s v="Penelope Sewall"/>
        <s v="Lisa DeCherney"/>
        <s v="Cathy Hwang"/>
        <s v="Zuschuss Carroll"/>
        <s v="Sanjit Jacobs"/>
        <s v="Jeremy Lonsdale"/>
        <s v="Thea Hudgings"/>
        <s v="Michael Grace"/>
        <s v="Jill Matthias"/>
        <s v="Bart Watters"/>
        <s v="Peter McVee"/>
        <s v="Claire Gute"/>
        <s v="Justin Ritter"/>
        <s v="Pamela Stobb"/>
        <s v="Sean Wendt"/>
        <s v="Thea Hendricks"/>
        <s v="Toby Carlisle"/>
        <s v="Troy Staebel"/>
        <s v="Sibella Parks"/>
        <s v="Philip Fox"/>
        <s v="Joy Bell-"/>
        <s v="Karen Ferguson"/>
        <s v="Rick Huthwaite"/>
        <s v="Maya Herman"/>
        <s v="Olvera Toch"/>
        <s v="Pamela Coakley"/>
        <s v="Debra Catini"/>
        <s v="Phillip Breyer"/>
        <s v="Brad Thomas"/>
        <s v="Erica Smith"/>
        <s v="Michelle Tran"/>
        <s v="Liz Pelletier"/>
        <s v="Sung Chung"/>
        <s v="Janet Molinari"/>
        <s v="Jason Fortune-"/>
        <s v="Vivek Grady"/>
        <s v="Vivian Mathis"/>
        <s v="Darrin Van Huff"/>
        <s v="Stewart Carmichael"/>
        <s v="Craig Reiter"/>
        <s v="Matt Collister"/>
        <s v="Susan Pistek"/>
        <s v="Erin Creighton"/>
        <s v="Janet Martin"/>
        <s v="Nick Crebassa"/>
        <s v="John Castell"/>
        <s v="Fred Harton"/>
        <s v="Helen Wasserman"/>
        <s v="Larry Hughes"/>
        <s v="Aaron Smayling"/>
        <s v="Bradley Nguyen"/>
        <s v="Sung Shariari"/>
        <s v="Neola Schneider"/>
        <s v="Clay Cheatham"/>
        <s v="Maribeth Yedwab"/>
        <s v="Sean Christensen"/>
        <s v="Ken Dana"/>
        <s v="Dorothy Dickinson"/>
        <s v="Adrian Hane"/>
        <s v="Bill Eplett"/>
        <s v="Ann Chong"/>
        <s v="Anthony Witt"/>
        <s v="Ted Butterfield"/>
        <s v="Marc Harrigan"/>
        <s v="Frank Gastineau"/>
        <s v="Jane Waco"/>
        <s v="Juliana Krohn"/>
        <s v="Chad McGuire"/>
        <s v="Nancy Lomonaco"/>
        <s v="Nora Paige"/>
        <s v="Sharelle Roach"/>
        <s v="Joy Smith"/>
        <s v="Michael Kennedy"/>
        <s v="Susan Vittorini"/>
        <s v="Christopher Martinez"/>
        <s v="Ed Jacobs"/>
        <s v="Bill Tyler"/>
        <s v="Sue Ann Reed"/>
        <s v="Saphhira Shifley"/>
        <s v="Meg O'Connel"/>
        <s v="Chuck Sachs"/>
        <s v="Tony Sayre"/>
        <s v="Sample Company A"/>
        <s v="Katrina Bavinger"/>
        <s v="Don Jones"/>
        <s v="Kimberly Carter"/>
        <s v="Denise Leinenbach"/>
        <s v="Beth Fritzler"/>
        <s v="Peter BÃ¼hler"/>
        <s v="Clay Rozendal"/>
        <s v="Anne McFarland"/>
        <s v="Michelle Lonsdale"/>
        <s v="Erin Mull"/>
        <s v="Charles McCrossin"/>
        <s v="Cassandra Brandow"/>
        <s v="Julia Dunbar"/>
        <s v="Linda Southworth"/>
        <s v="Patrick O'Donnell"/>
        <s v="Christina DeMoss"/>
        <s v="Patrick Bzostek"/>
        <s v="Bart Folk"/>
        <s v="Roland Murray"/>
        <s v="Angele Hood"/>
        <s v="Todd Boyes"/>
        <s v="Cyra Reiten"/>
        <s v="Muhammed MacIntyre"/>
        <s v="Roger Barcio"/>
        <s v="Victoria Brennan"/>
        <s v="Maris LaWare"/>
        <s v="Carol Darley"/>
        <s v="Harry Greene"/>
        <s v="Thais Sissman"/>
        <s v="Joni Wasserman"/>
        <s v="Maureen Gastineau"/>
        <s v="Tamara Dahlen"/>
        <s v="Jenna Caffey"/>
        <s v="Tom Prescott"/>
        <s v="Bryan Spruell"/>
        <s v="Sean Miller"/>
        <s v="Grace Kelly"/>
        <s v="Mick Hernandez"/>
        <s v="Karen Seio"/>
        <s v="Candace McMahon"/>
        <s v="Mitch Gastineau"/>
        <s v="Dennis Bolton"/>
        <s v="George Zrebassa"/>
        <s v="Robert Waldorf"/>
        <s v="Ann Blume"/>
        <s v="Thomas Brumley"/>
        <s v="Magdelene Morse"/>
        <s v="Ralph Ritter"/>
        <s v="Sarah Brown"/>
        <s v="Rick Hansen"/>
        <s v="Jessica Myrick"/>
        <s v="Neil Knudson"/>
        <s v="Nat Gilpin"/>
        <s v="Larry Blacks"/>
      </sharedItems>
    </cacheField>
    <cacheField name="State" numFmtId="0">
      <sharedItems count="48">
        <s v="Wisconsin"/>
        <s v="Washington"/>
        <s v="New York"/>
        <s v="Illinois"/>
        <s v="Texas"/>
        <s v="California"/>
        <s v="Massachusetts"/>
        <s v="Minnesota"/>
        <s v="New Jersey"/>
        <s v="Arkansas"/>
        <s v="Michigan"/>
        <s v="Florida"/>
        <s v="North Carolina"/>
        <s v="Pennsylvania"/>
        <s v="Nevada"/>
        <s v="Colorado"/>
        <s v="Oregon"/>
        <s v="Kentucky"/>
        <s v="Ohio"/>
        <s v="Georgia"/>
        <s v="Virginia"/>
        <s v="Utah"/>
        <s v="Missouri"/>
        <s v="Arizona"/>
        <s v="Maryland"/>
        <s v="Connecticut"/>
        <s v="Tennessee"/>
        <s v="Nebraska"/>
        <s v="Oklahoma"/>
        <s v="South Carolina"/>
        <s v="Louisiana"/>
        <s v="Maine"/>
        <s v="Mississippi"/>
        <s v="Indiana"/>
        <s v="Alabama"/>
        <s v="New Mexico"/>
        <s v="Idaho"/>
        <s v="Delaware"/>
        <s v="Montana"/>
        <s v="Kansas"/>
        <s v="Rhode Island"/>
        <s v="New Hampshire"/>
        <s v="Vermont"/>
        <s v="Iowa"/>
        <s v="District of Columbia"/>
        <s v="Wyoming"/>
        <s v="South Dakota"/>
        <s v="West Virginia"/>
      </sharedItems>
    </cacheField>
    <cacheField name="Category" numFmtId="0">
      <sharedItems count="3">
        <s v="Technology"/>
        <s v="Furniture"/>
        <s v="Office Supplies"/>
      </sharedItems>
    </cacheField>
    <cacheField name="Sub-Category" numFmtId="0">
      <sharedItems count="17">
        <s v="Accessories"/>
        <s v="Chairs"/>
        <s v="Phones"/>
        <s v="Paper"/>
        <s v="Fasteners"/>
        <s v="Furnishings"/>
        <s v="Storage"/>
        <s v="Tables"/>
        <s v="Labels"/>
        <s v="Binders"/>
        <s v="Appliances"/>
        <s v="Art"/>
        <s v="Copiers"/>
        <s v="Envelopes"/>
        <s v="Machines"/>
        <s v="Supplies"/>
        <s v="Bookcases"/>
      </sharedItems>
    </cacheField>
    <cacheField name="Product Name" numFmtId="0">
      <sharedItems/>
    </cacheField>
    <cacheField name="Sales" numFmtId="2">
      <sharedItems containsSemiMixedTypes="0" containsString="0" containsNumber="1" minValue="0.56000000000000005" maxValue="17499.95"/>
    </cacheField>
    <cacheField name="Quantity" numFmtId="1">
      <sharedItems containsSemiMixedTypes="0" containsString="0" containsNumber="1" containsInteger="1" minValue="1" maxValue="14"/>
    </cacheField>
    <cacheField name="Profit" numFmtId="2">
      <sharedItems containsSemiMixedTypes="0" containsString="0" containsNumber="1" minValue="-3839.99" maxValue="8399.98"/>
    </cacheField>
  </cacheFields>
  <extLst>
    <ext xmlns:x14="http://schemas.microsoft.com/office/spreadsheetml/2009/9/main" uri="{725AE2AE-9491-48be-B2B4-4EB974FC3084}">
      <x14:pivotCacheDefinition pivotCacheId="11426146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 refreshedDate="45974.801821527777" createdVersion="8" refreshedVersion="8" minRefreshableVersion="3" recordCount="1473" xr:uid="{D1EABE25-4D48-4ED6-B2C1-898A01CBEA4B}">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2">
  <r>
    <d v="2014-02-01T00:00:00"/>
    <x v="0"/>
    <x v="0"/>
    <x v="0"/>
    <x v="0"/>
    <x v="0"/>
    <x v="0"/>
    <s v="Enermax Aurora Lite Keyboard"/>
    <n v="468.9"/>
    <n v="6"/>
    <n v="206.32"/>
  </r>
  <r>
    <d v="2014-03-01T00:00:00"/>
    <x v="0"/>
    <x v="1"/>
    <x v="1"/>
    <x v="1"/>
    <x v="1"/>
    <x v="1"/>
    <s v="Global Deluxe High-Back Manager's Chair"/>
    <n v="457.57"/>
    <n v="2"/>
    <n v="51.48"/>
  </r>
  <r>
    <d v="2014-03-01T00:00:00"/>
    <x v="0"/>
    <x v="1"/>
    <x v="2"/>
    <x v="2"/>
    <x v="0"/>
    <x v="2"/>
    <s v="Sannysis Cute Owl Design Soft Skin Case Cover for Samsung Galaxy S4"/>
    <n v="5.94"/>
    <n v="3"/>
    <n v="1.6"/>
  </r>
  <r>
    <d v="2014-03-01T00:00:00"/>
    <x v="0"/>
    <x v="1"/>
    <x v="3"/>
    <x v="3"/>
    <x v="1"/>
    <x v="1"/>
    <s v="Novimex Swivel Fabric Task Chair"/>
    <n v="634.12"/>
    <n v="6"/>
    <n v="-172.12"/>
  </r>
  <r>
    <d v="2014-03-01T00:00:00"/>
    <x v="0"/>
    <x v="1"/>
    <x v="3"/>
    <x v="3"/>
    <x v="2"/>
    <x v="3"/>
    <s v="Black Print Carbonless 8 1/2&quot; x 8 1/4&quot; Rapid Memo Book"/>
    <n v="17.47"/>
    <n v="3"/>
    <n v="5.68"/>
  </r>
  <r>
    <d v="2014-03-01T00:00:00"/>
    <x v="0"/>
    <x v="1"/>
    <x v="4"/>
    <x v="4"/>
    <x v="2"/>
    <x v="4"/>
    <s v="Plymouth Boxed Rubber Bands by Plymouth"/>
    <n v="18.84"/>
    <n v="5"/>
    <n v="-3.53"/>
  </r>
  <r>
    <d v="2014-03-01T00:00:00"/>
    <x v="0"/>
    <x v="1"/>
    <x v="4"/>
    <x v="4"/>
    <x v="1"/>
    <x v="1"/>
    <s v="Harbour Creations Steel Folding Chair"/>
    <n v="362.25"/>
    <n v="6"/>
    <n v="0"/>
  </r>
  <r>
    <d v="2014-03-01T00:00:00"/>
    <x v="0"/>
    <x v="1"/>
    <x v="4"/>
    <x v="4"/>
    <x v="1"/>
    <x v="5"/>
    <s v="DAX Black Cherry Wood-Tone Poster Frame"/>
    <n v="63.55"/>
    <n v="6"/>
    <n v="-34.950000000000003"/>
  </r>
  <r>
    <d v="2014-03-01T00:00:00"/>
    <x v="0"/>
    <x v="1"/>
    <x v="4"/>
    <x v="4"/>
    <x v="2"/>
    <x v="6"/>
    <s v="Fellowes Bankers Box Recycled Super Stor/Drawer"/>
    <n v="129.55000000000001"/>
    <n v="3"/>
    <n v="-22.67"/>
  </r>
  <r>
    <d v="2014-03-01T00:00:00"/>
    <x v="0"/>
    <x v="1"/>
    <x v="5"/>
    <x v="4"/>
    <x v="2"/>
    <x v="6"/>
    <s v="Recycled Steel Personal File for Hanging File Folders"/>
    <n v="137.35"/>
    <n v="3"/>
    <n v="8.58"/>
  </r>
  <r>
    <d v="2014-03-01T00:00:00"/>
    <x v="0"/>
    <x v="1"/>
    <x v="5"/>
    <x v="4"/>
    <x v="1"/>
    <x v="7"/>
    <s v="Bevis Round Conference Room Tables and Bases"/>
    <n v="376.51"/>
    <n v="3"/>
    <n v="-43.03"/>
  </r>
  <r>
    <d v="2014-04-01T00:00:00"/>
    <x v="0"/>
    <x v="2"/>
    <x v="6"/>
    <x v="5"/>
    <x v="2"/>
    <x v="8"/>
    <s v="Avery 490"/>
    <n v="29.6"/>
    <n v="2"/>
    <n v="14.8"/>
  </r>
  <r>
    <d v="2014-04-01T00:00:00"/>
    <x v="0"/>
    <x v="2"/>
    <x v="6"/>
    <x v="5"/>
    <x v="2"/>
    <x v="9"/>
    <s v="Pressboard Data Binder, Crimson, 12&quot; X 8 1/2&quot;"/>
    <n v="17.09"/>
    <n v="4"/>
    <n v="5.55"/>
  </r>
  <r>
    <d v="2014-04-01T00:00:00"/>
    <x v="0"/>
    <x v="2"/>
    <x v="7"/>
    <x v="6"/>
    <x v="2"/>
    <x v="6"/>
    <s v="Rogers Profile Extra Capacity Storage Tub"/>
    <n v="66.959999999999994"/>
    <n v="4"/>
    <n v="2.68"/>
  </r>
  <r>
    <d v="2014-04-01T00:00:00"/>
    <x v="0"/>
    <x v="2"/>
    <x v="7"/>
    <x v="6"/>
    <x v="2"/>
    <x v="9"/>
    <s v="Zipper Ring Binder Pockets"/>
    <n v="6.24"/>
    <n v="2"/>
    <n v="3.06"/>
  </r>
  <r>
    <d v="2014-06-01T00:00:00"/>
    <x v="0"/>
    <x v="3"/>
    <x v="8"/>
    <x v="7"/>
    <x v="1"/>
    <x v="1"/>
    <s v="Global Deluxe High-Back Manager's Chair"/>
    <n v="2001.86"/>
    <n v="7"/>
    <n v="580.54"/>
  </r>
  <r>
    <d v="2014-06-01T00:00:00"/>
    <x v="0"/>
    <x v="3"/>
    <x v="8"/>
    <x v="7"/>
    <x v="2"/>
    <x v="6"/>
    <s v="Safco Steel Mobile File Cart"/>
    <n v="166.72"/>
    <n v="2"/>
    <n v="41.68"/>
  </r>
  <r>
    <d v="2014-06-01T00:00:00"/>
    <x v="0"/>
    <x v="3"/>
    <x v="8"/>
    <x v="7"/>
    <x v="2"/>
    <x v="3"/>
    <s v="Adams Telephone Message Book w/Frequently-Called Numbers Space, 400 Messages per Book"/>
    <n v="47.88"/>
    <n v="6"/>
    <n v="23.94"/>
  </r>
  <r>
    <d v="2014-06-01T00:00:00"/>
    <x v="0"/>
    <x v="3"/>
    <x v="8"/>
    <x v="7"/>
    <x v="2"/>
    <x v="10"/>
    <s v="Honeywell Enviracaire Portable HEPA Air Cleaner for 17' x 22' Room"/>
    <n v="1503.25"/>
    <n v="5"/>
    <n v="496.07"/>
  </r>
  <r>
    <d v="2014-06-01T00:00:00"/>
    <x v="0"/>
    <x v="3"/>
    <x v="8"/>
    <x v="7"/>
    <x v="2"/>
    <x v="3"/>
    <s v="Xerox 205"/>
    <n v="25.92"/>
    <n v="4"/>
    <n v="12.44"/>
  </r>
  <r>
    <d v="2014-06-01T00:00:00"/>
    <x v="0"/>
    <x v="3"/>
    <x v="9"/>
    <x v="8"/>
    <x v="2"/>
    <x v="9"/>
    <s v="GBC Clear Cover, 8-1/2 x 11, unpunched, 25 covers per pack"/>
    <n v="45.48"/>
    <n v="3"/>
    <n v="20.92"/>
  </r>
  <r>
    <d v="2014-06-01T00:00:00"/>
    <x v="0"/>
    <x v="3"/>
    <x v="9"/>
    <x v="8"/>
    <x v="2"/>
    <x v="11"/>
    <s v="Boston Heavy-Duty Trimline Electric Pencil Sharpeners"/>
    <n v="289.2"/>
    <n v="6"/>
    <n v="83.87"/>
  </r>
  <r>
    <d v="2014-06-01T00:00:00"/>
    <x v="0"/>
    <x v="3"/>
    <x v="10"/>
    <x v="9"/>
    <x v="1"/>
    <x v="5"/>
    <s v="3M Hangers With Command Adhesive"/>
    <n v="22.2"/>
    <n v="6"/>
    <n v="9.1"/>
  </r>
  <r>
    <d v="2014-06-01T00:00:00"/>
    <x v="0"/>
    <x v="3"/>
    <x v="10"/>
    <x v="9"/>
    <x v="0"/>
    <x v="2"/>
    <s v="Adtran 1202752G1"/>
    <n v="881.93"/>
    <n v="7"/>
    <n v="229.3"/>
  </r>
  <r>
    <d v="2014-06-01T00:00:00"/>
    <x v="0"/>
    <x v="3"/>
    <x v="11"/>
    <x v="10"/>
    <x v="2"/>
    <x v="9"/>
    <s v="Wilson Jones Heavy-Duty Casebound Ring Binders with Metal Hinges"/>
    <n v="138.56"/>
    <n v="4"/>
    <n v="66.510000000000005"/>
  </r>
  <r>
    <d v="2014-06-01T00:00:00"/>
    <x v="0"/>
    <x v="3"/>
    <x v="11"/>
    <x v="10"/>
    <x v="2"/>
    <x v="10"/>
    <s v="Acco 6 Outlet Guardian Premium Surge Suppressor"/>
    <n v="65.52"/>
    <n v="5"/>
    <n v="12.38"/>
  </r>
  <r>
    <d v="2014-07-01T00:00:00"/>
    <x v="0"/>
    <x v="4"/>
    <x v="12"/>
    <x v="1"/>
    <x v="2"/>
    <x v="9"/>
    <s v="Cardinal Holdit Business Card Pockets"/>
    <n v="19.920000000000002"/>
    <n v="5"/>
    <n v="6.97"/>
  </r>
  <r>
    <d v="2014-07-01T00:00:00"/>
    <x v="0"/>
    <x v="4"/>
    <x v="13"/>
    <x v="11"/>
    <x v="0"/>
    <x v="2"/>
    <s v="Wilson SignalBoost 841262 DB PRO Amplifier Kit"/>
    <n v="575.91999999999996"/>
    <n v="2"/>
    <n v="71.989999999999995"/>
  </r>
  <r>
    <d v="2014-07-01T00:00:00"/>
    <x v="0"/>
    <x v="4"/>
    <x v="13"/>
    <x v="11"/>
    <x v="2"/>
    <x v="9"/>
    <s v="Avery Durable Binders"/>
    <n v="5.18"/>
    <n v="6"/>
    <n v="-3.63"/>
  </r>
  <r>
    <d v="2014-08-01T00:00:00"/>
    <x v="0"/>
    <x v="5"/>
    <x v="14"/>
    <x v="12"/>
    <x v="2"/>
    <x v="8"/>
    <s v="Self-Adhesive Address Labels for Typewriters by Universal"/>
    <n v="17.54"/>
    <n v="3"/>
    <n v="5.92"/>
  </r>
  <r>
    <d v="2014-08-01T00:00:00"/>
    <x v="0"/>
    <x v="5"/>
    <x v="14"/>
    <x v="12"/>
    <x v="1"/>
    <x v="5"/>
    <s v="9-3/4 Diameter Round Wall Clock"/>
    <n v="44.13"/>
    <n v="4"/>
    <n v="12.14"/>
  </r>
  <r>
    <d v="2014-08-01T00:00:00"/>
    <x v="0"/>
    <x v="5"/>
    <x v="14"/>
    <x v="12"/>
    <x v="2"/>
    <x v="10"/>
    <s v="Honeywell Quietcare HEPA Air Cleaner"/>
    <n v="62.92"/>
    <n v="1"/>
    <n v="10.220000000000001"/>
  </r>
  <r>
    <d v="2014-08-01T00:00:00"/>
    <x v="0"/>
    <x v="5"/>
    <x v="14"/>
    <x v="12"/>
    <x v="2"/>
    <x v="3"/>
    <s v="Xerox 1916"/>
    <n v="78.3"/>
    <n v="2"/>
    <n v="29.36"/>
  </r>
  <r>
    <d v="2014-08-01T00:00:00"/>
    <x v="0"/>
    <x v="5"/>
    <x v="15"/>
    <x v="5"/>
    <x v="2"/>
    <x v="9"/>
    <s v="Wilson Jones data.warehouse D-Ring Binders with DublLock"/>
    <n v="19.75"/>
    <n v="3"/>
    <n v="6.91"/>
  </r>
  <r>
    <d v="2014-08-01T00:00:00"/>
    <x v="0"/>
    <x v="5"/>
    <x v="16"/>
    <x v="13"/>
    <x v="2"/>
    <x v="4"/>
    <s v="Acco Clips to Go Binder Clips, 24 Clips in Two Sizes"/>
    <n v="5.68"/>
    <n v="2"/>
    <n v="1.92"/>
  </r>
  <r>
    <d v="2014-09-01T00:00:00"/>
    <x v="0"/>
    <x v="6"/>
    <x v="17"/>
    <x v="5"/>
    <x v="2"/>
    <x v="11"/>
    <s v="BOSTON Model 1800 Electric Pencil Sharpeners, Putty/Woodgrain"/>
    <n v="53.94"/>
    <n v="3"/>
    <n v="15.64"/>
  </r>
  <r>
    <d v="2014-09-01T00:00:00"/>
    <x v="0"/>
    <x v="6"/>
    <x v="18"/>
    <x v="4"/>
    <x v="2"/>
    <x v="9"/>
    <s v="Prestige Round Ring Binders"/>
    <n v="3.65"/>
    <n v="3"/>
    <n v="-6.02"/>
  </r>
  <r>
    <d v="2014-09-01T00:00:00"/>
    <x v="0"/>
    <x v="6"/>
    <x v="18"/>
    <x v="4"/>
    <x v="2"/>
    <x v="3"/>
    <s v="Xerox 216"/>
    <n v="31.1"/>
    <n v="6"/>
    <n v="10.89"/>
  </r>
  <r>
    <d v="2014-09-01T00:00:00"/>
    <x v="0"/>
    <x v="6"/>
    <x v="19"/>
    <x v="2"/>
    <x v="2"/>
    <x v="9"/>
    <s v="Wilson Jones Hanging Recycled Pressboard Data Binders"/>
    <n v="23.74"/>
    <n v="2"/>
    <n v="8.31"/>
  </r>
  <r>
    <d v="2014-09-01T00:00:00"/>
    <x v="0"/>
    <x v="6"/>
    <x v="19"/>
    <x v="2"/>
    <x v="0"/>
    <x v="0"/>
    <s v="WD My Passport Ultra 2TB Portable External Hard Drive"/>
    <n v="357"/>
    <n v="3"/>
    <n v="57.12"/>
  </r>
  <r>
    <d v="2014-10-01T00:00:00"/>
    <x v="0"/>
    <x v="7"/>
    <x v="20"/>
    <x v="14"/>
    <x v="2"/>
    <x v="4"/>
    <s v="Sterling Rubber Bands by Alliance"/>
    <n v="4.71"/>
    <n v="1"/>
    <n v="0"/>
  </r>
  <r>
    <d v="2014-11-01T00:00:00"/>
    <x v="0"/>
    <x v="8"/>
    <x v="21"/>
    <x v="15"/>
    <x v="2"/>
    <x v="11"/>
    <s v="Model L Table or Wall-Mount Pencil Sharpener"/>
    <n v="43.18"/>
    <n v="3"/>
    <n v="4.32"/>
  </r>
  <r>
    <d v="2014-11-01T00:00:00"/>
    <x v="0"/>
    <x v="8"/>
    <x v="21"/>
    <x v="15"/>
    <x v="0"/>
    <x v="2"/>
    <s v="ClearOne CHATAttach 160 -Â speaker phone"/>
    <n v="1983.97"/>
    <n v="4"/>
    <n v="248"/>
  </r>
  <r>
    <d v="2014-11-01T00:00:00"/>
    <x v="0"/>
    <x v="8"/>
    <x v="22"/>
    <x v="16"/>
    <x v="2"/>
    <x v="6"/>
    <s v="Carina Mini System Audio Rack, Model AR050B"/>
    <n v="443.92"/>
    <n v="5"/>
    <n v="-94.33"/>
  </r>
  <r>
    <d v="2014-11-01T00:00:00"/>
    <x v="0"/>
    <x v="8"/>
    <x v="22"/>
    <x v="16"/>
    <x v="0"/>
    <x v="2"/>
    <s v="Plantronics Voyager Pro HD - Bluetooth Headset"/>
    <n v="155.97999999999999"/>
    <n v="3"/>
    <n v="54.59"/>
  </r>
  <r>
    <d v="2014-11-01T00:00:00"/>
    <x v="0"/>
    <x v="8"/>
    <x v="23"/>
    <x v="12"/>
    <x v="2"/>
    <x v="4"/>
    <s v="Staples"/>
    <n v="7.52"/>
    <n v="5"/>
    <n v="1.41"/>
  </r>
  <r>
    <d v="2014-11-01T00:00:00"/>
    <x v="0"/>
    <x v="8"/>
    <x v="23"/>
    <x v="12"/>
    <x v="2"/>
    <x v="11"/>
    <s v="Newell 320"/>
    <n v="10.27"/>
    <n v="3"/>
    <n v="0.9"/>
  </r>
  <r>
    <d v="2014-11-01T00:00:00"/>
    <x v="0"/>
    <x v="8"/>
    <x v="23"/>
    <x v="12"/>
    <x v="2"/>
    <x v="8"/>
    <s v="Avery 513"/>
    <n v="47.81"/>
    <n v="12"/>
    <n v="15.54"/>
  </r>
  <r>
    <d v="2014-11-01T00:00:00"/>
    <x v="0"/>
    <x v="8"/>
    <x v="23"/>
    <x v="12"/>
    <x v="0"/>
    <x v="2"/>
    <s v="Cisco IPÂ PhoneÂ 7961G VoIPÂ phoneÂ - Dark gray"/>
    <n v="978.84"/>
    <n v="9"/>
    <n v="110.12"/>
  </r>
  <r>
    <d v="2014-11-01T00:00:00"/>
    <x v="0"/>
    <x v="8"/>
    <x v="24"/>
    <x v="3"/>
    <x v="2"/>
    <x v="3"/>
    <s v="Southworth Parchment Paper &amp; Envelopes"/>
    <n v="15.7"/>
    <n v="3"/>
    <n v="5.0999999999999996"/>
  </r>
  <r>
    <d v="2014-11-01T00:00:00"/>
    <x v="0"/>
    <x v="8"/>
    <x v="25"/>
    <x v="17"/>
    <x v="2"/>
    <x v="6"/>
    <s v="Multi-Use Personal File Cart and Caster Set, Three Stacking Bins"/>
    <n v="69.52"/>
    <n v="2"/>
    <n v="19.47"/>
  </r>
  <r>
    <d v="2014-11-01T00:00:00"/>
    <x v="0"/>
    <x v="8"/>
    <x v="25"/>
    <x v="17"/>
    <x v="2"/>
    <x v="11"/>
    <s v="OIC #2 Pencils, Medium Soft"/>
    <n v="5.64"/>
    <n v="3"/>
    <n v="1.64"/>
  </r>
  <r>
    <d v="2014-11-01T00:00:00"/>
    <x v="0"/>
    <x v="8"/>
    <x v="26"/>
    <x v="5"/>
    <x v="2"/>
    <x v="8"/>
    <s v="Avery 475"/>
    <n v="44.4"/>
    <n v="3"/>
    <n v="22.2"/>
  </r>
  <r>
    <d v="2014-11-01T00:00:00"/>
    <x v="0"/>
    <x v="8"/>
    <x v="26"/>
    <x v="5"/>
    <x v="2"/>
    <x v="3"/>
    <s v="Easy-staple paper"/>
    <n v="21.4"/>
    <n v="5"/>
    <n v="9.6300000000000008"/>
  </r>
  <r>
    <d v="2014-11-01T00:00:00"/>
    <x v="0"/>
    <x v="8"/>
    <x v="27"/>
    <x v="2"/>
    <x v="2"/>
    <x v="10"/>
    <s v="Kensington 7 Outlet MasterPiece Power Center"/>
    <n v="533.94000000000005"/>
    <n v="3"/>
    <n v="154.84"/>
  </r>
  <r>
    <d v="2014-11-01T00:00:00"/>
    <x v="0"/>
    <x v="8"/>
    <x v="27"/>
    <x v="2"/>
    <x v="2"/>
    <x v="3"/>
    <s v="Xerox 1934"/>
    <n v="167.94"/>
    <n v="3"/>
    <n v="82.29"/>
  </r>
  <r>
    <d v="2014-11-01T00:00:00"/>
    <x v="0"/>
    <x v="8"/>
    <x v="27"/>
    <x v="2"/>
    <x v="1"/>
    <x v="5"/>
    <s v="Master Big Foot Doorstop, Beige"/>
    <n v="31.68"/>
    <n v="6"/>
    <n v="9.82"/>
  </r>
  <r>
    <d v="2014-11-01T00:00:00"/>
    <x v="0"/>
    <x v="8"/>
    <x v="28"/>
    <x v="8"/>
    <x v="2"/>
    <x v="10"/>
    <s v="Fellowes Superior 10 Outlet Split Surge Protector"/>
    <n v="76.12"/>
    <n v="2"/>
    <n v="22.07"/>
  </r>
  <r>
    <d v="2014-11-01T00:00:00"/>
    <x v="0"/>
    <x v="8"/>
    <x v="29"/>
    <x v="18"/>
    <x v="1"/>
    <x v="5"/>
    <s v="Howard Miller 13&quot; Diameter Pewter Finish Round Wall Clock"/>
    <n v="68.7"/>
    <n v="2"/>
    <n v="16.32"/>
  </r>
  <r>
    <d v="2014-11-01T00:00:00"/>
    <x v="0"/>
    <x v="8"/>
    <x v="29"/>
    <x v="18"/>
    <x v="2"/>
    <x v="9"/>
    <s v="Acco Economy Flexible Poly Round Ring Binder"/>
    <n v="3.13"/>
    <n v="2"/>
    <n v="-2.61"/>
  </r>
  <r>
    <d v="2014-11-01T00:00:00"/>
    <x v="0"/>
    <x v="8"/>
    <x v="29"/>
    <x v="18"/>
    <x v="2"/>
    <x v="9"/>
    <s v="GBC Standard Therm-A-Bind Covers"/>
    <n v="22.43"/>
    <n v="3"/>
    <n v="-17.940000000000001"/>
  </r>
  <r>
    <d v="2014-12-01T00:00:00"/>
    <x v="0"/>
    <x v="9"/>
    <x v="30"/>
    <x v="0"/>
    <x v="1"/>
    <x v="1"/>
    <s v="Office Star - Professional Matrix Back Chair with 2-to-1 Synchro Tilt and Mesh Fabric Seat"/>
    <n v="2807.84"/>
    <n v="8"/>
    <n v="673.88"/>
  </r>
  <r>
    <d v="2014-12-01T00:00:00"/>
    <x v="0"/>
    <x v="9"/>
    <x v="30"/>
    <x v="0"/>
    <x v="2"/>
    <x v="11"/>
    <s v="Hunt BOSTON Vista Battery-Operated Pencil Sharpener, Black"/>
    <n v="46.64"/>
    <n v="4"/>
    <n v="12.59"/>
  </r>
  <r>
    <d v="2014-12-01T00:00:00"/>
    <x v="0"/>
    <x v="9"/>
    <x v="31"/>
    <x v="5"/>
    <x v="1"/>
    <x v="5"/>
    <s v="Floodlight Indoor Halogen Bulbs, 1 Bulb per Pack, 60 Watts"/>
    <n v="58.2"/>
    <n v="3"/>
    <n v="28.52"/>
  </r>
  <r>
    <d v="2014-12-01T00:00:00"/>
    <x v="0"/>
    <x v="9"/>
    <x v="32"/>
    <x v="12"/>
    <x v="0"/>
    <x v="2"/>
    <s v="BlueLounge Milo Smartphone Stand, White/Metallic"/>
    <n v="95.97"/>
    <n v="4"/>
    <n v="9.6"/>
  </r>
  <r>
    <d v="2014-12-01T00:00:00"/>
    <x v="0"/>
    <x v="9"/>
    <x v="33"/>
    <x v="18"/>
    <x v="0"/>
    <x v="12"/>
    <s v="Sharp 1540cs Digital Laser Copier"/>
    <n v="659.99"/>
    <n v="2"/>
    <n v="110"/>
  </r>
  <r>
    <d v="2014-12-01T00:00:00"/>
    <x v="0"/>
    <x v="9"/>
    <x v="33"/>
    <x v="18"/>
    <x v="1"/>
    <x v="5"/>
    <s v="Master Caster Door Stop, Brown"/>
    <n v="8.1300000000000008"/>
    <n v="2"/>
    <n v="1.42"/>
  </r>
  <r>
    <d v="2014-12-01T00:00:00"/>
    <x v="0"/>
    <x v="9"/>
    <x v="33"/>
    <x v="18"/>
    <x v="2"/>
    <x v="3"/>
    <s v="Xerox 214"/>
    <n v="36.29"/>
    <n v="7"/>
    <n v="12.7"/>
  </r>
  <r>
    <d v="2014-12-01T00:00:00"/>
    <x v="0"/>
    <x v="9"/>
    <x v="33"/>
    <x v="18"/>
    <x v="1"/>
    <x v="1"/>
    <s v="Hon Multipurpose Stacking Arm Chairs"/>
    <n v="909.72"/>
    <n v="6"/>
    <n v="-51.98"/>
  </r>
  <r>
    <d v="2014-12-01T00:00:00"/>
    <x v="0"/>
    <x v="9"/>
    <x v="34"/>
    <x v="4"/>
    <x v="1"/>
    <x v="1"/>
    <s v="Hon 4070 Series Pagoda Round Back Stacking Chairs"/>
    <n v="674.06"/>
    <n v="3"/>
    <n v="-19.260000000000002"/>
  </r>
  <r>
    <d v="2014-12-01T00:00:00"/>
    <x v="0"/>
    <x v="9"/>
    <x v="35"/>
    <x v="6"/>
    <x v="0"/>
    <x v="2"/>
    <s v="Cisco IPÂ PhoneÂ 7961G VoIPÂ phoneÂ - Dark gray"/>
    <n v="271.89999999999998"/>
    <n v="2"/>
    <n v="78.849999999999994"/>
  </r>
  <r>
    <d v="2014-12-01T00:00:00"/>
    <x v="0"/>
    <x v="9"/>
    <x v="35"/>
    <x v="6"/>
    <x v="1"/>
    <x v="5"/>
    <s v="Linden 10&quot; Round Wall Clock, Black"/>
    <n v="45.84"/>
    <n v="3"/>
    <n v="15.59"/>
  </r>
  <r>
    <d v="2014-12-01T00:00:00"/>
    <x v="0"/>
    <x v="9"/>
    <x v="35"/>
    <x v="6"/>
    <x v="1"/>
    <x v="5"/>
    <s v="Ultra Door Push Plate"/>
    <n v="9.82"/>
    <n v="2"/>
    <n v="3.24"/>
  </r>
  <r>
    <d v="2014-02-02T00:00:00"/>
    <x v="0"/>
    <x v="0"/>
    <x v="36"/>
    <x v="5"/>
    <x v="2"/>
    <x v="4"/>
    <s v="Staples"/>
    <n v="12.35"/>
    <n v="5"/>
    <n v="5.8"/>
  </r>
  <r>
    <d v="2014-02-02T00:00:00"/>
    <x v="0"/>
    <x v="0"/>
    <x v="37"/>
    <x v="11"/>
    <x v="2"/>
    <x v="9"/>
    <s v="Surelock Post Binders"/>
    <n v="18.34"/>
    <n v="2"/>
    <n v="-12.22"/>
  </r>
  <r>
    <d v="2014-02-02T00:00:00"/>
    <x v="0"/>
    <x v="0"/>
    <x v="37"/>
    <x v="11"/>
    <x v="0"/>
    <x v="2"/>
    <s v="AT&amp;T 17929 Lendline Telephone"/>
    <n v="180.96"/>
    <n v="5"/>
    <n v="13.57"/>
  </r>
  <r>
    <d v="2014-03-02T00:00:00"/>
    <x v="0"/>
    <x v="1"/>
    <x v="38"/>
    <x v="2"/>
    <x v="2"/>
    <x v="13"/>
    <s v="Staple envelope"/>
    <n v="11.36"/>
    <n v="2"/>
    <n v="5.34"/>
  </r>
  <r>
    <d v="2014-03-02T00:00:00"/>
    <x v="0"/>
    <x v="1"/>
    <x v="38"/>
    <x v="2"/>
    <x v="2"/>
    <x v="3"/>
    <s v="Array Parchment Paper, Assorted Colors"/>
    <n v="36.4"/>
    <n v="5"/>
    <n v="17.47"/>
  </r>
  <r>
    <d v="2014-03-02T00:00:00"/>
    <x v="0"/>
    <x v="1"/>
    <x v="39"/>
    <x v="13"/>
    <x v="2"/>
    <x v="3"/>
    <s v="Xerox 1971"/>
    <n v="3.42"/>
    <n v="1"/>
    <n v="1.07"/>
  </r>
  <r>
    <d v="2014-03-02T00:00:00"/>
    <x v="0"/>
    <x v="1"/>
    <x v="39"/>
    <x v="13"/>
    <x v="0"/>
    <x v="0"/>
    <s v="Hypercom P1300 Pinpad"/>
    <n v="151.19999999999999"/>
    <n v="3"/>
    <n v="32.130000000000003"/>
  </r>
  <r>
    <d v="2014-04-02T00:00:00"/>
    <x v="0"/>
    <x v="2"/>
    <x v="40"/>
    <x v="19"/>
    <x v="2"/>
    <x v="3"/>
    <s v="Xerox 1990"/>
    <n v="15.84"/>
    <n v="3"/>
    <n v="7.13"/>
  </r>
  <r>
    <d v="2014-04-02T00:00:00"/>
    <x v="0"/>
    <x v="2"/>
    <x v="40"/>
    <x v="19"/>
    <x v="0"/>
    <x v="2"/>
    <s v="Motorola Droid Maxx"/>
    <n v="1049.93"/>
    <n v="7"/>
    <n v="293.98"/>
  </r>
  <r>
    <d v="2014-04-02T00:00:00"/>
    <x v="0"/>
    <x v="2"/>
    <x v="40"/>
    <x v="19"/>
    <x v="2"/>
    <x v="10"/>
    <s v="Euro-Pro Shark Turbo Vacuum"/>
    <n v="154.9"/>
    <n v="5"/>
    <n v="40.270000000000003"/>
  </r>
  <r>
    <d v="2014-04-02T00:00:00"/>
    <x v="0"/>
    <x v="2"/>
    <x v="41"/>
    <x v="4"/>
    <x v="2"/>
    <x v="3"/>
    <s v="Xerox 1898"/>
    <n v="26.72"/>
    <n v="5"/>
    <n v="9.35"/>
  </r>
  <r>
    <d v="2014-04-02T00:00:00"/>
    <x v="0"/>
    <x v="2"/>
    <x v="41"/>
    <x v="4"/>
    <x v="2"/>
    <x v="3"/>
    <s v="Xerox 1947"/>
    <n v="33.49"/>
    <n v="7"/>
    <n v="10.47"/>
  </r>
  <r>
    <d v="2014-04-02T00:00:00"/>
    <x v="0"/>
    <x v="2"/>
    <x v="42"/>
    <x v="20"/>
    <x v="1"/>
    <x v="5"/>
    <s v="Luxo Adjustable Task Clamp Lamp"/>
    <n v="177.68"/>
    <n v="2"/>
    <n v="46.2"/>
  </r>
  <r>
    <d v="2014-05-02T00:00:00"/>
    <x v="0"/>
    <x v="10"/>
    <x v="43"/>
    <x v="18"/>
    <x v="2"/>
    <x v="10"/>
    <s v="Belkin 6 Outlet Metallic Surge Strip"/>
    <n v="26.14"/>
    <n v="3"/>
    <n v="1.96"/>
  </r>
  <r>
    <d v="2014-05-02T00:00:00"/>
    <x v="0"/>
    <x v="10"/>
    <x v="44"/>
    <x v="11"/>
    <x v="0"/>
    <x v="12"/>
    <s v="Brother DCP1000 Digital 3 in 1 Multifunction Machine"/>
    <n v="479.98"/>
    <n v="2"/>
    <n v="90"/>
  </r>
  <r>
    <d v="2014-06-02T00:00:00"/>
    <x v="0"/>
    <x v="3"/>
    <x v="45"/>
    <x v="21"/>
    <x v="2"/>
    <x v="9"/>
    <s v="GBC Standard Therm-A-Bind Covers"/>
    <n v="59.81"/>
    <n v="3"/>
    <n v="19.440000000000001"/>
  </r>
  <r>
    <d v="2014-06-02T00:00:00"/>
    <x v="0"/>
    <x v="3"/>
    <x v="45"/>
    <x v="21"/>
    <x v="1"/>
    <x v="5"/>
    <s v="Aluminum Document Frame"/>
    <n v="73.319999999999993"/>
    <n v="6"/>
    <n v="22"/>
  </r>
  <r>
    <d v="2014-06-02T00:00:00"/>
    <x v="0"/>
    <x v="3"/>
    <x v="46"/>
    <x v="19"/>
    <x v="2"/>
    <x v="11"/>
    <s v="Sanford Colorific Scented Colored Pencils, 12/Pack"/>
    <n v="8.56"/>
    <n v="2"/>
    <n v="2.65"/>
  </r>
  <r>
    <d v="2014-06-02T00:00:00"/>
    <x v="0"/>
    <x v="3"/>
    <x v="46"/>
    <x v="19"/>
    <x v="0"/>
    <x v="2"/>
    <s v="Mophie Juice Pack Helium for iPhone"/>
    <n v="239.97"/>
    <n v="3"/>
    <n v="67.19"/>
  </r>
  <r>
    <d v="2014-06-02T00:00:00"/>
    <x v="0"/>
    <x v="3"/>
    <x v="46"/>
    <x v="19"/>
    <x v="2"/>
    <x v="6"/>
    <s v="Hot File 7-Pocket, Floor Stand"/>
    <n v="356.94"/>
    <n v="2"/>
    <n v="107.08"/>
  </r>
  <r>
    <d v="2014-07-02T00:00:00"/>
    <x v="0"/>
    <x v="4"/>
    <x v="47"/>
    <x v="8"/>
    <x v="0"/>
    <x v="2"/>
    <s v="Logitech B530 USBÂ HeadsetÂ -Â headsetÂ - Full size, Binaural"/>
    <n v="73.98"/>
    <n v="2"/>
    <n v="19.97"/>
  </r>
  <r>
    <d v="2014-07-02T00:00:00"/>
    <x v="0"/>
    <x v="4"/>
    <x v="47"/>
    <x v="8"/>
    <x v="2"/>
    <x v="11"/>
    <s v="DIXON Ticonderoga Erasable Checking Pencils"/>
    <n v="5.58"/>
    <n v="1"/>
    <n v="2.1800000000000002"/>
  </r>
  <r>
    <d v="2014-08-02T00:00:00"/>
    <x v="0"/>
    <x v="5"/>
    <x v="48"/>
    <x v="22"/>
    <x v="2"/>
    <x v="9"/>
    <s v="Wilson Jones 14 Line Acrylic Coated Pressboard Data Binders"/>
    <n v="26.7"/>
    <n v="5"/>
    <n v="12.55"/>
  </r>
  <r>
    <d v="2014-08-02T00:00:00"/>
    <x v="0"/>
    <x v="5"/>
    <x v="48"/>
    <x v="22"/>
    <x v="0"/>
    <x v="0"/>
    <s v="Memorex Micro Travel Drive 4 GB"/>
    <n v="21.2"/>
    <n v="2"/>
    <n v="9.1199999999999992"/>
  </r>
  <r>
    <d v="2014-08-02T00:00:00"/>
    <x v="0"/>
    <x v="5"/>
    <x v="48"/>
    <x v="22"/>
    <x v="2"/>
    <x v="6"/>
    <s v="Smead Adjustable Mobile File Trolley with Lockable Top"/>
    <n v="838.38"/>
    <n v="2"/>
    <n v="226.36"/>
  </r>
  <r>
    <d v="2014-09-02T00:00:00"/>
    <x v="0"/>
    <x v="6"/>
    <x v="49"/>
    <x v="2"/>
    <x v="2"/>
    <x v="10"/>
    <s v="Holmes Cool Mist Humidifier for the Whole House with 8-Gallon Output per Day, Extended Life Filter"/>
    <n v="19.899999999999999"/>
    <n v="1"/>
    <n v="8.9600000000000009"/>
  </r>
  <r>
    <d v="2014-09-02T00:00:00"/>
    <x v="0"/>
    <x v="6"/>
    <x v="49"/>
    <x v="2"/>
    <x v="1"/>
    <x v="5"/>
    <s v="Tenex Carpeted, Granite-Look or Clear Contemporary Contour Shape Chair Mats"/>
    <n v="70.709999999999994"/>
    <n v="1"/>
    <n v="4.95"/>
  </r>
  <r>
    <d v="2014-09-02T00:00:00"/>
    <x v="0"/>
    <x v="6"/>
    <x v="50"/>
    <x v="2"/>
    <x v="2"/>
    <x v="11"/>
    <s v="SANFORD Major Accent Highlighters"/>
    <n v="21.24"/>
    <n v="3"/>
    <n v="8.07"/>
  </r>
  <r>
    <d v="2014-09-02T00:00:00"/>
    <x v="0"/>
    <x v="6"/>
    <x v="51"/>
    <x v="2"/>
    <x v="2"/>
    <x v="11"/>
    <s v="Newell 324"/>
    <n v="57.75"/>
    <n v="5"/>
    <n v="16.170000000000002"/>
  </r>
  <r>
    <d v="2014-09-02T00:00:00"/>
    <x v="0"/>
    <x v="6"/>
    <x v="51"/>
    <x v="2"/>
    <x v="2"/>
    <x v="3"/>
    <s v="Easy-staple paper"/>
    <n v="14.94"/>
    <n v="3"/>
    <n v="7.02"/>
  </r>
  <r>
    <d v="2014-09-02T00:00:00"/>
    <x v="0"/>
    <x v="6"/>
    <x v="52"/>
    <x v="3"/>
    <x v="0"/>
    <x v="0"/>
    <s v="Logitech Wireless Performance Mouse MX for PC and Mac"/>
    <n v="239.98"/>
    <n v="3"/>
    <n v="53.99"/>
  </r>
  <r>
    <d v="2014-09-02T00:00:00"/>
    <x v="0"/>
    <x v="6"/>
    <x v="53"/>
    <x v="4"/>
    <x v="0"/>
    <x v="14"/>
    <s v="Epson TM-T88V Direct Thermal Printer - Monochrome - Desktop"/>
    <n v="559.71"/>
    <n v="3"/>
    <n v="-121.27"/>
  </r>
  <r>
    <d v="2014-09-02T00:00:00"/>
    <x v="0"/>
    <x v="6"/>
    <x v="54"/>
    <x v="9"/>
    <x v="2"/>
    <x v="9"/>
    <s v="GBC DocuBind TL300 Electric Binding System"/>
    <n v="1793.98"/>
    <n v="2"/>
    <n v="843.17"/>
  </r>
  <r>
    <d v="2014-09-02T00:00:00"/>
    <x v="0"/>
    <x v="6"/>
    <x v="55"/>
    <x v="3"/>
    <x v="0"/>
    <x v="0"/>
    <s v="LogitechÂ Gaming G510s - Keyboard"/>
    <n v="475.94"/>
    <n v="7"/>
    <n v="95.19"/>
  </r>
  <r>
    <d v="2014-10-02T00:00:00"/>
    <x v="0"/>
    <x v="7"/>
    <x v="56"/>
    <x v="23"/>
    <x v="2"/>
    <x v="3"/>
    <s v="Adams Telephone Message Book W/Dividers/Space For Phone Numbers, 5 1/4&quot;X8 1/2&quot;, 300/Messages"/>
    <n v="9.41"/>
    <n v="2"/>
    <n v="3.41"/>
  </r>
  <r>
    <d v="2014-10-02T00:00:00"/>
    <x v="0"/>
    <x v="7"/>
    <x v="56"/>
    <x v="23"/>
    <x v="2"/>
    <x v="4"/>
    <s v="Staples"/>
    <n v="4.67"/>
    <n v="2"/>
    <n v="1.46"/>
  </r>
  <r>
    <d v="2014-10-02T00:00:00"/>
    <x v="0"/>
    <x v="7"/>
    <x v="56"/>
    <x v="23"/>
    <x v="0"/>
    <x v="2"/>
    <s v="Bose SoundLink Bluetooth Speaker"/>
    <n v="318.39999999999998"/>
    <n v="2"/>
    <n v="107.46"/>
  </r>
  <r>
    <d v="2014-10-02T00:00:00"/>
    <x v="0"/>
    <x v="7"/>
    <x v="56"/>
    <x v="23"/>
    <x v="2"/>
    <x v="13"/>
    <s v="Letter or Legal Size Expandable Poly String Tie Envelopes"/>
    <n v="12.77"/>
    <n v="6"/>
    <n v="4.63"/>
  </r>
  <r>
    <d v="2014-10-02T00:00:00"/>
    <x v="0"/>
    <x v="7"/>
    <x v="56"/>
    <x v="23"/>
    <x v="2"/>
    <x v="15"/>
    <s v="Stiletto Hand Letter Openers"/>
    <n v="15.36"/>
    <n v="2"/>
    <n v="-3.26"/>
  </r>
  <r>
    <d v="2014-10-02T00:00:00"/>
    <x v="0"/>
    <x v="7"/>
    <x v="56"/>
    <x v="23"/>
    <x v="0"/>
    <x v="2"/>
    <s v="Pyle PMP37LED"/>
    <n v="230.38"/>
    <n v="3"/>
    <n v="20.16"/>
  </r>
  <r>
    <d v="2014-10-02T00:00:00"/>
    <x v="0"/>
    <x v="7"/>
    <x v="56"/>
    <x v="23"/>
    <x v="0"/>
    <x v="0"/>
    <s v="Kingston Digital DataTraveler 16GB USB 2.0"/>
    <n v="7.16"/>
    <n v="1"/>
    <n v="-0.09"/>
  </r>
  <r>
    <d v="2014-11-02T00:00:00"/>
    <x v="0"/>
    <x v="8"/>
    <x v="57"/>
    <x v="2"/>
    <x v="2"/>
    <x v="8"/>
    <s v="Avery 499"/>
    <n v="34.86"/>
    <n v="7"/>
    <n v="16.04"/>
  </r>
  <r>
    <d v="2014-11-02T00:00:00"/>
    <x v="0"/>
    <x v="8"/>
    <x v="57"/>
    <x v="2"/>
    <x v="1"/>
    <x v="5"/>
    <s v="Tensor Computer Mounted Lamp"/>
    <n v="89.34"/>
    <n v="6"/>
    <n v="24.12"/>
  </r>
  <r>
    <d v="2014-11-02T00:00:00"/>
    <x v="0"/>
    <x v="8"/>
    <x v="58"/>
    <x v="4"/>
    <x v="0"/>
    <x v="2"/>
    <s v="Logitech B530 USBÂ HeadsetÂ -Â headsetÂ - Full size, Binaural"/>
    <n v="88.78"/>
    <n v="3"/>
    <n v="7.77"/>
  </r>
  <r>
    <d v="2014-11-02T00:00:00"/>
    <x v="0"/>
    <x v="8"/>
    <x v="59"/>
    <x v="18"/>
    <x v="0"/>
    <x v="2"/>
    <s v="Polycom CX300 Desktop Phone USB VoIP phone"/>
    <n v="539.96"/>
    <n v="6"/>
    <n v="-107.99"/>
  </r>
  <r>
    <d v="2014-11-02T00:00:00"/>
    <x v="0"/>
    <x v="8"/>
    <x v="59"/>
    <x v="18"/>
    <x v="0"/>
    <x v="2"/>
    <s v="I Need's 3d Hello Kitty Hybrid Silicone Case Cover for HTC One X 4g with 3d Hello Kitty Stylus Pen Green/pink"/>
    <n v="50.23"/>
    <n v="7"/>
    <n v="-10.050000000000001"/>
  </r>
  <r>
    <d v="2014-11-02T00:00:00"/>
    <x v="0"/>
    <x v="8"/>
    <x v="59"/>
    <x v="18"/>
    <x v="2"/>
    <x v="9"/>
    <s v="Acco D-Ring Binder w/DublLock"/>
    <n v="19.239999999999998"/>
    <n v="3"/>
    <n v="-13.47"/>
  </r>
  <r>
    <d v="2014-11-02T00:00:00"/>
    <x v="0"/>
    <x v="8"/>
    <x v="60"/>
    <x v="11"/>
    <x v="0"/>
    <x v="0"/>
    <s v="Razer Kraken 7.1 Surround Sound Over Ear USB Gaming Headset"/>
    <n v="799.92"/>
    <n v="10"/>
    <n v="239.98"/>
  </r>
  <r>
    <d v="2014-11-02T00:00:00"/>
    <x v="0"/>
    <x v="8"/>
    <x v="61"/>
    <x v="5"/>
    <x v="0"/>
    <x v="2"/>
    <s v="AT&amp;T CL82213"/>
    <n v="46.38"/>
    <n v="2"/>
    <n v="5.22"/>
  </r>
  <r>
    <d v="2014-11-02T00:00:00"/>
    <x v="0"/>
    <x v="8"/>
    <x v="61"/>
    <x v="5"/>
    <x v="2"/>
    <x v="6"/>
    <s v="Adjustable Depth Letter/Legal Cart"/>
    <n v="362.92"/>
    <n v="2"/>
    <n v="105.25"/>
  </r>
  <r>
    <d v="2014-11-02T00:00:00"/>
    <x v="0"/>
    <x v="8"/>
    <x v="62"/>
    <x v="1"/>
    <x v="0"/>
    <x v="0"/>
    <s v="Maxell 74 Minute CD-R Spindle, 50/Pack"/>
    <n v="41.94"/>
    <n v="2"/>
    <n v="15.1"/>
  </r>
  <r>
    <d v="2014-11-02T00:00:00"/>
    <x v="0"/>
    <x v="8"/>
    <x v="62"/>
    <x v="1"/>
    <x v="0"/>
    <x v="2"/>
    <s v="Samsung Rugby III"/>
    <n v="52.79"/>
    <n v="1"/>
    <n v="4.62"/>
  </r>
  <r>
    <d v="2014-12-02T00:00:00"/>
    <x v="0"/>
    <x v="9"/>
    <x v="63"/>
    <x v="2"/>
    <x v="0"/>
    <x v="0"/>
    <s v="Logitech 910-002974 M325 Wireless Mouse for Web Scrolling"/>
    <n v="119.96"/>
    <n v="4"/>
    <n v="52.78"/>
  </r>
  <r>
    <d v="2014-12-02T00:00:00"/>
    <x v="0"/>
    <x v="9"/>
    <x v="63"/>
    <x v="2"/>
    <x v="1"/>
    <x v="16"/>
    <s v="O'Sullivan Living Dimensions 5-Shelf Bookcases"/>
    <n v="883.92"/>
    <n v="5"/>
    <n v="-110.49"/>
  </r>
  <r>
    <d v="2014-12-02T00:00:00"/>
    <x v="0"/>
    <x v="9"/>
    <x v="63"/>
    <x v="2"/>
    <x v="2"/>
    <x v="9"/>
    <s v="Angle-D Binders with Locking Rings, Label Holders"/>
    <n v="46.72"/>
    <n v="8"/>
    <n v="15.77"/>
  </r>
  <r>
    <d v="2014-12-02T00:00:00"/>
    <x v="0"/>
    <x v="9"/>
    <x v="64"/>
    <x v="4"/>
    <x v="1"/>
    <x v="5"/>
    <s v="Deflect-o SuperTray Unbreakable Stackable Tray, Letter, Black"/>
    <n v="58.36"/>
    <n v="5"/>
    <n v="-24.8"/>
  </r>
  <r>
    <d v="2014-12-02T00:00:00"/>
    <x v="0"/>
    <x v="9"/>
    <x v="64"/>
    <x v="4"/>
    <x v="2"/>
    <x v="11"/>
    <s v="Newell 343"/>
    <n v="16.46"/>
    <n v="7"/>
    <n v="1.44"/>
  </r>
  <r>
    <d v="2014-12-02T00:00:00"/>
    <x v="0"/>
    <x v="9"/>
    <x v="64"/>
    <x v="4"/>
    <x v="1"/>
    <x v="5"/>
    <s v="12-1/2 Diameter Round Wall Clock"/>
    <n v="39.96"/>
    <n v="5"/>
    <n v="-23.98"/>
  </r>
  <r>
    <d v="2014-12-02T00:00:00"/>
    <x v="0"/>
    <x v="9"/>
    <x v="65"/>
    <x v="18"/>
    <x v="0"/>
    <x v="0"/>
    <s v="ImationÂ 32GB Pocket Pro USB 3.0Â Flash DriveÂ - 32 GB - Black - 1 P ..."/>
    <n v="119.8"/>
    <n v="5"/>
    <n v="29.95"/>
  </r>
  <r>
    <d v="2014-12-02T00:00:00"/>
    <x v="0"/>
    <x v="9"/>
    <x v="66"/>
    <x v="3"/>
    <x v="2"/>
    <x v="10"/>
    <s v="Staple holder"/>
    <n v="2.39"/>
    <n v="1"/>
    <n v="-6.34"/>
  </r>
  <r>
    <d v="2014-12-02T00:00:00"/>
    <x v="0"/>
    <x v="9"/>
    <x v="67"/>
    <x v="24"/>
    <x v="1"/>
    <x v="5"/>
    <s v="DAX Metal Frame, Desktop, Stepped-Edge"/>
    <n v="60.72"/>
    <n v="3"/>
    <n v="23.68"/>
  </r>
  <r>
    <d v="2014-12-02T00:00:00"/>
    <x v="0"/>
    <x v="9"/>
    <x v="67"/>
    <x v="24"/>
    <x v="2"/>
    <x v="3"/>
    <s v="Xerox 1942"/>
    <n v="146.82"/>
    <n v="3"/>
    <n v="73.41"/>
  </r>
  <r>
    <d v="2014-12-02T00:00:00"/>
    <x v="0"/>
    <x v="9"/>
    <x v="67"/>
    <x v="24"/>
    <x v="1"/>
    <x v="1"/>
    <s v="Global Stack Chair with Arms, Black"/>
    <n v="239.84"/>
    <n v="8"/>
    <n v="64.760000000000005"/>
  </r>
  <r>
    <d v="2014-12-02T00:00:00"/>
    <x v="0"/>
    <x v="9"/>
    <x v="67"/>
    <x v="24"/>
    <x v="2"/>
    <x v="8"/>
    <s v="Avery 509"/>
    <n v="15.66"/>
    <n v="6"/>
    <n v="7.2"/>
  </r>
  <r>
    <d v="2014-12-02T00:00:00"/>
    <x v="0"/>
    <x v="9"/>
    <x v="68"/>
    <x v="19"/>
    <x v="0"/>
    <x v="0"/>
    <s v="Kingston Digital DataTraveler 8GB USB 2.0"/>
    <n v="5.95"/>
    <n v="1"/>
    <n v="0.83"/>
  </r>
  <r>
    <d v="2014-12-02T00:00:00"/>
    <x v="0"/>
    <x v="9"/>
    <x v="68"/>
    <x v="19"/>
    <x v="2"/>
    <x v="3"/>
    <s v="RSVP Cards &amp; Envelopes, Blank White, 8-1/2&quot; X 11&quot;, 24 Cards/25 Envelopes/Set"/>
    <n v="15.24"/>
    <n v="3"/>
    <n v="7.16"/>
  </r>
  <r>
    <d v="2014-01-03T00:00:00"/>
    <x v="0"/>
    <x v="11"/>
    <x v="69"/>
    <x v="4"/>
    <x v="2"/>
    <x v="3"/>
    <s v="Message Book, Wirebound, Four 5 1/2&quot; X 4&quot; Forms/Pg., 200 Dupl. Sets/Book"/>
    <n v="16.45"/>
    <n v="2"/>
    <n v="5.55"/>
  </r>
  <r>
    <d v="2014-02-03T00:00:00"/>
    <x v="0"/>
    <x v="0"/>
    <x v="70"/>
    <x v="1"/>
    <x v="2"/>
    <x v="9"/>
    <s v="Ibico Laser Imprintable Binding System Covers"/>
    <n v="83.84"/>
    <n v="2"/>
    <n v="27.25"/>
  </r>
  <r>
    <d v="2014-02-03T00:00:00"/>
    <x v="0"/>
    <x v="0"/>
    <x v="70"/>
    <x v="1"/>
    <x v="2"/>
    <x v="9"/>
    <s v="Avery Durable Poly Binders"/>
    <n v="13.27"/>
    <n v="3"/>
    <n v="4.3099999999999996"/>
  </r>
  <r>
    <d v="2014-03-03T00:00:00"/>
    <x v="0"/>
    <x v="1"/>
    <x v="71"/>
    <x v="12"/>
    <x v="2"/>
    <x v="11"/>
    <s v="Zebra Zazzle Fluorescent Highlighters"/>
    <n v="19.46"/>
    <n v="4"/>
    <n v="3.4"/>
  </r>
  <r>
    <d v="2014-03-03T00:00:00"/>
    <x v="0"/>
    <x v="1"/>
    <x v="72"/>
    <x v="2"/>
    <x v="0"/>
    <x v="2"/>
    <s v="PowerGen Dual USB Car Charger"/>
    <n v="9.99"/>
    <n v="1"/>
    <n v="4.5999999999999996"/>
  </r>
  <r>
    <d v="2014-03-03T00:00:00"/>
    <x v="0"/>
    <x v="1"/>
    <x v="72"/>
    <x v="2"/>
    <x v="2"/>
    <x v="9"/>
    <s v="Ibico Laser Imprintable Binding System Covers"/>
    <n v="125.76"/>
    <n v="3"/>
    <n v="40.869999999999997"/>
  </r>
  <r>
    <d v="2014-03-03T00:00:00"/>
    <x v="0"/>
    <x v="1"/>
    <x v="72"/>
    <x v="2"/>
    <x v="2"/>
    <x v="9"/>
    <s v="Cardinal HOLDit! Binder Insert Strips,Extra Strips"/>
    <n v="25.32"/>
    <n v="5"/>
    <n v="9.18"/>
  </r>
  <r>
    <d v="2014-03-03T00:00:00"/>
    <x v="0"/>
    <x v="1"/>
    <x v="73"/>
    <x v="18"/>
    <x v="2"/>
    <x v="8"/>
    <s v="Avery 495"/>
    <n v="15.12"/>
    <n v="3"/>
    <n v="4.91"/>
  </r>
  <r>
    <d v="2014-03-03T00:00:00"/>
    <x v="0"/>
    <x v="1"/>
    <x v="73"/>
    <x v="18"/>
    <x v="1"/>
    <x v="16"/>
    <s v="O'Sullivan 4-Shelf Bookcase in Odessa Pine"/>
    <n v="302.45"/>
    <n v="5"/>
    <n v="-199.62"/>
  </r>
  <r>
    <d v="2014-03-03T00:00:00"/>
    <x v="0"/>
    <x v="1"/>
    <x v="73"/>
    <x v="18"/>
    <x v="2"/>
    <x v="6"/>
    <s v="Eldon Shelf Savers Cubes and Bins"/>
    <n v="44.67"/>
    <n v="8"/>
    <n v="-10.050000000000001"/>
  </r>
  <r>
    <d v="2014-03-03T00:00:00"/>
    <x v="0"/>
    <x v="1"/>
    <x v="41"/>
    <x v="4"/>
    <x v="2"/>
    <x v="10"/>
    <s v="3.6 Cubic Foot Counter Height Office Refrigerator"/>
    <n v="176.77"/>
    <n v="3"/>
    <n v="-459.61"/>
  </r>
  <r>
    <d v="2014-03-03T00:00:00"/>
    <x v="0"/>
    <x v="1"/>
    <x v="74"/>
    <x v="5"/>
    <x v="1"/>
    <x v="7"/>
    <s v="Bevis Oval Conference Table, Walnut"/>
    <n v="626.35"/>
    <n v="3"/>
    <n v="-23.49"/>
  </r>
  <r>
    <d v="2014-04-03T00:00:00"/>
    <x v="0"/>
    <x v="2"/>
    <x v="75"/>
    <x v="5"/>
    <x v="2"/>
    <x v="13"/>
    <s v="Staple envelope"/>
    <n v="11.16"/>
    <n v="2"/>
    <n v="5.58"/>
  </r>
  <r>
    <d v="2014-04-03T00:00:00"/>
    <x v="0"/>
    <x v="2"/>
    <x v="75"/>
    <x v="5"/>
    <x v="0"/>
    <x v="0"/>
    <s v="Enermax Briskie RF Wireless Keyboard and Mouse Combo"/>
    <n v="62.31"/>
    <n v="3"/>
    <n v="22.43"/>
  </r>
  <r>
    <d v="2014-04-03T00:00:00"/>
    <x v="0"/>
    <x v="2"/>
    <x v="75"/>
    <x v="5"/>
    <x v="0"/>
    <x v="0"/>
    <s v="Logitech G600 MMO Gaming Mouse"/>
    <n v="159.97999999999999"/>
    <n v="2"/>
    <n v="57.59"/>
  </r>
  <r>
    <d v="2014-05-03T00:00:00"/>
    <x v="0"/>
    <x v="10"/>
    <x v="76"/>
    <x v="0"/>
    <x v="2"/>
    <x v="8"/>
    <s v="Avery 481"/>
    <n v="21.56"/>
    <n v="7"/>
    <n v="10.35"/>
  </r>
  <r>
    <d v="2014-05-03T00:00:00"/>
    <x v="0"/>
    <x v="10"/>
    <x v="77"/>
    <x v="2"/>
    <x v="2"/>
    <x v="9"/>
    <s v="GBC Poly Designer Binding Covers"/>
    <n v="40.18"/>
    <n v="3"/>
    <n v="14.56"/>
  </r>
  <r>
    <d v="2014-05-03T00:00:00"/>
    <x v="0"/>
    <x v="10"/>
    <x v="77"/>
    <x v="2"/>
    <x v="2"/>
    <x v="9"/>
    <s v="Avery Durable Plastic 1&quot; Binders"/>
    <n v="10.9"/>
    <n v="3"/>
    <n v="3.95"/>
  </r>
  <r>
    <d v="2014-06-03T00:00:00"/>
    <x v="0"/>
    <x v="3"/>
    <x v="78"/>
    <x v="1"/>
    <x v="1"/>
    <x v="7"/>
    <s v="KI Adjustable-Height Table"/>
    <n v="515.88"/>
    <n v="6"/>
    <n v="113.49"/>
  </r>
  <r>
    <d v="2014-06-03T00:00:00"/>
    <x v="0"/>
    <x v="3"/>
    <x v="79"/>
    <x v="10"/>
    <x v="2"/>
    <x v="13"/>
    <s v="Security-Tint Envelopes"/>
    <n v="15.28"/>
    <n v="2"/>
    <n v="7.49"/>
  </r>
  <r>
    <d v="2014-06-03T00:00:00"/>
    <x v="0"/>
    <x v="3"/>
    <x v="80"/>
    <x v="3"/>
    <x v="2"/>
    <x v="8"/>
    <s v="Avery 513"/>
    <n v="15.94"/>
    <n v="4"/>
    <n v="5.18"/>
  </r>
  <r>
    <d v="2014-06-03T00:00:00"/>
    <x v="0"/>
    <x v="3"/>
    <x v="80"/>
    <x v="3"/>
    <x v="1"/>
    <x v="5"/>
    <s v="Contract Clock, 14&quot;, Brown"/>
    <n v="61.54"/>
    <n v="7"/>
    <n v="-40"/>
  </r>
  <r>
    <d v="2014-06-03T00:00:00"/>
    <x v="0"/>
    <x v="3"/>
    <x v="80"/>
    <x v="3"/>
    <x v="2"/>
    <x v="6"/>
    <s v="Recycled Steel Personal File for Standard File Folders"/>
    <n v="132.69999999999999"/>
    <n v="3"/>
    <n v="9.9499999999999993"/>
  </r>
  <r>
    <d v="2014-08-03T00:00:00"/>
    <x v="0"/>
    <x v="5"/>
    <x v="81"/>
    <x v="15"/>
    <x v="1"/>
    <x v="7"/>
    <s v="BoxOffice By Design Rectangular and Half-Moon Meeting Room Tables"/>
    <n v="218.75"/>
    <n v="2"/>
    <n v="-161.88"/>
  </r>
  <r>
    <d v="2014-08-03T00:00:00"/>
    <x v="0"/>
    <x v="5"/>
    <x v="81"/>
    <x v="15"/>
    <x v="2"/>
    <x v="10"/>
    <s v="Bravo II Megaboss 12-Amp Hard Body Upright, Replacement Belts, 2 Belts per Pack"/>
    <n v="2.6"/>
    <n v="1"/>
    <n v="0.28999999999999998"/>
  </r>
  <r>
    <d v="2014-08-03T00:00:00"/>
    <x v="0"/>
    <x v="5"/>
    <x v="82"/>
    <x v="2"/>
    <x v="2"/>
    <x v="3"/>
    <s v="Xerox 1884"/>
    <n v="39.96"/>
    <n v="2"/>
    <n v="18.78"/>
  </r>
  <r>
    <d v="2014-08-03T00:00:00"/>
    <x v="0"/>
    <x v="5"/>
    <x v="82"/>
    <x v="2"/>
    <x v="2"/>
    <x v="15"/>
    <s v="Acme Box Cutter Scissors"/>
    <n v="102.3"/>
    <n v="10"/>
    <n v="26.6"/>
  </r>
  <r>
    <d v="2014-08-03T00:00:00"/>
    <x v="0"/>
    <x v="5"/>
    <x v="82"/>
    <x v="2"/>
    <x v="2"/>
    <x v="6"/>
    <s v="Staple magnet"/>
    <n v="21.36"/>
    <n v="2"/>
    <n v="5.77"/>
  </r>
  <r>
    <d v="2014-08-03T00:00:00"/>
    <x v="0"/>
    <x v="5"/>
    <x v="83"/>
    <x v="23"/>
    <x v="2"/>
    <x v="3"/>
    <s v="White Computer Printout Paper by Universal"/>
    <n v="93.02"/>
    <n v="3"/>
    <n v="33.72"/>
  </r>
  <r>
    <d v="2014-09-03T00:00:00"/>
    <x v="0"/>
    <x v="6"/>
    <x v="84"/>
    <x v="2"/>
    <x v="2"/>
    <x v="8"/>
    <s v="Avery 514"/>
    <n v="14.4"/>
    <n v="5"/>
    <n v="7.06"/>
  </r>
  <r>
    <d v="2014-09-03T00:00:00"/>
    <x v="0"/>
    <x v="6"/>
    <x v="85"/>
    <x v="4"/>
    <x v="2"/>
    <x v="9"/>
    <s v="GBC VeloBinder Strips"/>
    <n v="7.68"/>
    <n v="5"/>
    <n v="-11.52"/>
  </r>
  <r>
    <d v="2014-10-03T00:00:00"/>
    <x v="0"/>
    <x v="7"/>
    <x v="86"/>
    <x v="3"/>
    <x v="1"/>
    <x v="1"/>
    <s v="Global High-Back Leather Tilter, Burgundy"/>
    <n v="258.27999999999997"/>
    <n v="3"/>
    <n v="-70.099999999999994"/>
  </r>
  <r>
    <d v="2014-10-03T00:00:00"/>
    <x v="0"/>
    <x v="7"/>
    <x v="87"/>
    <x v="5"/>
    <x v="1"/>
    <x v="7"/>
    <s v="Bevis Round Conference Room Tables and Bases"/>
    <n v="143.43"/>
    <n v="1"/>
    <n v="3.59"/>
  </r>
  <r>
    <d v="2014-10-03T00:00:00"/>
    <x v="0"/>
    <x v="7"/>
    <x v="87"/>
    <x v="5"/>
    <x v="1"/>
    <x v="1"/>
    <s v="Global Deluxe Stacking Chair, Gray"/>
    <n v="122.35"/>
    <n v="3"/>
    <n v="13.76"/>
  </r>
  <r>
    <d v="2014-10-03T00:00:00"/>
    <x v="0"/>
    <x v="7"/>
    <x v="88"/>
    <x v="12"/>
    <x v="2"/>
    <x v="6"/>
    <s v="Advantus Rolling Drawer Organizers"/>
    <n v="61.57"/>
    <n v="2"/>
    <n v="4.62"/>
  </r>
  <r>
    <d v="2014-10-03T00:00:00"/>
    <x v="0"/>
    <x v="7"/>
    <x v="88"/>
    <x v="12"/>
    <x v="2"/>
    <x v="11"/>
    <s v="DIXON Oriole Pencils"/>
    <n v="6.19"/>
    <n v="3"/>
    <n v="0.46"/>
  </r>
  <r>
    <d v="2014-10-03T00:00:00"/>
    <x v="0"/>
    <x v="7"/>
    <x v="89"/>
    <x v="18"/>
    <x v="2"/>
    <x v="11"/>
    <s v="Hunt Boston Vacuum Mount KS Pencil Sharpener"/>
    <n v="55.98"/>
    <n v="2"/>
    <n v="4.2"/>
  </r>
  <r>
    <d v="2014-10-03T00:00:00"/>
    <x v="0"/>
    <x v="7"/>
    <x v="89"/>
    <x v="18"/>
    <x v="2"/>
    <x v="13"/>
    <s v="Convenience Packs of Business Envelopes"/>
    <n v="14.48"/>
    <n v="5"/>
    <n v="4.8899999999999997"/>
  </r>
  <r>
    <d v="2014-10-03T00:00:00"/>
    <x v="0"/>
    <x v="7"/>
    <x v="89"/>
    <x v="18"/>
    <x v="0"/>
    <x v="0"/>
    <s v="Logitech G105 Gaming Keyboard"/>
    <n v="142.49"/>
    <n v="3"/>
    <n v="-3.56"/>
  </r>
  <r>
    <d v="2014-10-03T00:00:00"/>
    <x v="0"/>
    <x v="7"/>
    <x v="90"/>
    <x v="4"/>
    <x v="2"/>
    <x v="4"/>
    <s v="Colored Push Pins"/>
    <n v="4.34"/>
    <n v="3"/>
    <n v="0.87"/>
  </r>
  <r>
    <d v="2014-10-03T00:00:00"/>
    <x v="0"/>
    <x v="7"/>
    <x v="90"/>
    <x v="4"/>
    <x v="1"/>
    <x v="5"/>
    <s v="DAX Natural Wood-Tone Poster Frame"/>
    <n v="31.78"/>
    <n v="3"/>
    <n v="-19.07"/>
  </r>
  <r>
    <d v="2014-10-03T00:00:00"/>
    <x v="0"/>
    <x v="7"/>
    <x v="90"/>
    <x v="4"/>
    <x v="2"/>
    <x v="8"/>
    <s v="Smead Alpha-Z Color-Coded Second Alphabetical Labels and Starter Set"/>
    <n v="4.93"/>
    <n v="2"/>
    <n v="1.72"/>
  </r>
  <r>
    <d v="2014-10-03T00:00:00"/>
    <x v="0"/>
    <x v="7"/>
    <x v="90"/>
    <x v="4"/>
    <x v="2"/>
    <x v="9"/>
    <s v="Avery Hidden Tab Dividers for Binding Systems"/>
    <n v="1.79"/>
    <n v="3"/>
    <n v="-3.04"/>
  </r>
  <r>
    <d v="2014-10-03T00:00:00"/>
    <x v="0"/>
    <x v="7"/>
    <x v="90"/>
    <x v="4"/>
    <x v="2"/>
    <x v="4"/>
    <s v="Sterling Rubber Bands by Alliance"/>
    <n v="15.07"/>
    <n v="4"/>
    <n v="-3.77"/>
  </r>
  <r>
    <d v="2014-11-03T00:00:00"/>
    <x v="0"/>
    <x v="8"/>
    <x v="91"/>
    <x v="13"/>
    <x v="2"/>
    <x v="15"/>
    <s v="Compact Automatic Electric Letter Opener"/>
    <n v="286.33999999999997"/>
    <n v="3"/>
    <n v="-64.430000000000007"/>
  </r>
  <r>
    <d v="2014-11-03T00:00:00"/>
    <x v="0"/>
    <x v="8"/>
    <x v="92"/>
    <x v="2"/>
    <x v="0"/>
    <x v="2"/>
    <s v="Panasonic KX-TG9471B"/>
    <n v="783.96"/>
    <n v="4"/>
    <n v="219.51"/>
  </r>
  <r>
    <d v="2014-11-03T00:00:00"/>
    <x v="0"/>
    <x v="8"/>
    <x v="92"/>
    <x v="2"/>
    <x v="2"/>
    <x v="9"/>
    <s v="Surelock Post Binders"/>
    <n v="48.9"/>
    <n v="2"/>
    <n v="18.34"/>
  </r>
  <r>
    <d v="2014-11-03T00:00:00"/>
    <x v="0"/>
    <x v="8"/>
    <x v="92"/>
    <x v="2"/>
    <x v="2"/>
    <x v="9"/>
    <s v="Acco Pressboard Covers with Storage Hooks, 14 7/8&quot; x 11&quot;, Light Blue"/>
    <n v="7.86"/>
    <n v="2"/>
    <n v="2.85"/>
  </r>
  <r>
    <d v="2014-11-03T00:00:00"/>
    <x v="0"/>
    <x v="8"/>
    <x v="30"/>
    <x v="25"/>
    <x v="2"/>
    <x v="15"/>
    <s v="Acme Kleen Earth Office Shears"/>
    <n v="11.64"/>
    <n v="3"/>
    <n v="3.38"/>
  </r>
  <r>
    <d v="2014-11-03T00:00:00"/>
    <x v="0"/>
    <x v="8"/>
    <x v="93"/>
    <x v="26"/>
    <x v="2"/>
    <x v="3"/>
    <s v="Ampad Evidence Wirebond Steno Books, 6&quot; x 9&quot;"/>
    <n v="3.49"/>
    <n v="2"/>
    <n v="1.18"/>
  </r>
  <r>
    <d v="2014-11-03T00:00:00"/>
    <x v="0"/>
    <x v="8"/>
    <x v="93"/>
    <x v="26"/>
    <x v="2"/>
    <x v="3"/>
    <s v="Xerox 1884"/>
    <n v="143.86000000000001"/>
    <n v="9"/>
    <n v="48.55"/>
  </r>
  <r>
    <d v="2014-11-03T00:00:00"/>
    <x v="0"/>
    <x v="8"/>
    <x v="61"/>
    <x v="12"/>
    <x v="2"/>
    <x v="6"/>
    <s v="Acco Perma 4000 Stacking Storage Drawers"/>
    <n v="25.98"/>
    <n v="2"/>
    <n v="-1.62"/>
  </r>
  <r>
    <d v="2014-11-03T00:00:00"/>
    <x v="0"/>
    <x v="8"/>
    <x v="61"/>
    <x v="12"/>
    <x v="1"/>
    <x v="7"/>
    <s v="Hon Racetrack Conference Tables"/>
    <n v="945.04"/>
    <n v="6"/>
    <n v="-299.26"/>
  </r>
  <r>
    <d v="2014-11-03T00:00:00"/>
    <x v="0"/>
    <x v="8"/>
    <x v="61"/>
    <x v="12"/>
    <x v="2"/>
    <x v="9"/>
    <s v="Avery Self-Adhesive Photo Pockets for Polaroid Photos"/>
    <n v="14.3"/>
    <n v="7"/>
    <n v="-10.49"/>
  </r>
  <r>
    <d v="2014-11-03T00:00:00"/>
    <x v="0"/>
    <x v="8"/>
    <x v="61"/>
    <x v="12"/>
    <x v="1"/>
    <x v="5"/>
    <s v="Tenex Antistatic Computer Chair Mats"/>
    <n v="410.35"/>
    <n v="3"/>
    <n v="-51.29"/>
  </r>
  <r>
    <d v="2014-11-03T00:00:00"/>
    <x v="0"/>
    <x v="8"/>
    <x v="94"/>
    <x v="8"/>
    <x v="2"/>
    <x v="9"/>
    <s v="Avery Durable Binders"/>
    <n v="5.76"/>
    <n v="2"/>
    <n v="2.82"/>
  </r>
  <r>
    <d v="2014-11-03T00:00:00"/>
    <x v="0"/>
    <x v="8"/>
    <x v="95"/>
    <x v="27"/>
    <x v="0"/>
    <x v="0"/>
    <s v="Belkin F8E887 USB Wired Ergonomic Keyboard"/>
    <n v="89.97"/>
    <n v="3"/>
    <n v="18.89"/>
  </r>
  <r>
    <d v="2014-11-03T00:00:00"/>
    <x v="0"/>
    <x v="8"/>
    <x v="96"/>
    <x v="5"/>
    <x v="2"/>
    <x v="11"/>
    <s v="Prang Dustless Chalk Sticks"/>
    <n v="6.72"/>
    <n v="4"/>
    <n v="3.36"/>
  </r>
  <r>
    <d v="2014-12-03T00:00:00"/>
    <x v="0"/>
    <x v="9"/>
    <x v="97"/>
    <x v="28"/>
    <x v="0"/>
    <x v="2"/>
    <s v="Jabra Supreme Plus Driver EditionÂ Headset"/>
    <n v="479.96"/>
    <n v="4"/>
    <n v="134.38999999999999"/>
  </r>
  <r>
    <d v="2014-12-03T00:00:00"/>
    <x v="0"/>
    <x v="9"/>
    <x v="98"/>
    <x v="22"/>
    <x v="2"/>
    <x v="3"/>
    <s v="Xerox 214"/>
    <n v="25.92"/>
    <n v="4"/>
    <n v="12.44"/>
  </r>
  <r>
    <d v="2014-01-04T00:00:00"/>
    <x v="0"/>
    <x v="11"/>
    <x v="99"/>
    <x v="3"/>
    <x v="2"/>
    <x v="8"/>
    <s v="Avery 508"/>
    <n v="11.78"/>
    <n v="3"/>
    <n v="4.2699999999999996"/>
  </r>
  <r>
    <d v="2014-01-04T00:00:00"/>
    <x v="0"/>
    <x v="11"/>
    <x v="99"/>
    <x v="3"/>
    <x v="2"/>
    <x v="6"/>
    <s v="SAFCO Boltless Steel Shelving"/>
    <n v="272.74"/>
    <n v="3"/>
    <n v="-64.77"/>
  </r>
  <r>
    <d v="2014-01-04T00:00:00"/>
    <x v="0"/>
    <x v="11"/>
    <x v="99"/>
    <x v="3"/>
    <x v="2"/>
    <x v="9"/>
    <s v="GBC Standard Plastic Binding Systems Combs"/>
    <n v="3.54"/>
    <n v="2"/>
    <n v="-5.49"/>
  </r>
  <r>
    <d v="2014-02-04T00:00:00"/>
    <x v="0"/>
    <x v="0"/>
    <x v="100"/>
    <x v="5"/>
    <x v="2"/>
    <x v="9"/>
    <s v="GBC Recycled Grain Textured Covers"/>
    <n v="82.9"/>
    <n v="3"/>
    <n v="29.01"/>
  </r>
  <r>
    <d v="2014-02-04T00:00:00"/>
    <x v="0"/>
    <x v="0"/>
    <x v="100"/>
    <x v="5"/>
    <x v="2"/>
    <x v="3"/>
    <s v="Message Book, Standard Line &quot;While You Were Out&quot;, 5 1/2&quot; X 4&quot;, 200 Sets/Book"/>
    <n v="34.24"/>
    <n v="4"/>
    <n v="16.09"/>
  </r>
  <r>
    <d v="2014-02-04T00:00:00"/>
    <x v="0"/>
    <x v="0"/>
    <x v="101"/>
    <x v="5"/>
    <x v="2"/>
    <x v="9"/>
    <s v="GBC Standard Recycled Report Covers, Clear Plastic Sheets"/>
    <n v="17.25"/>
    <n v="2"/>
    <n v="6.04"/>
  </r>
  <r>
    <d v="2014-03-04T00:00:00"/>
    <x v="0"/>
    <x v="1"/>
    <x v="50"/>
    <x v="29"/>
    <x v="2"/>
    <x v="6"/>
    <s v="Sensible Storage WireTech Storage Systems"/>
    <n v="354.9"/>
    <n v="5"/>
    <n v="17.75"/>
  </r>
  <r>
    <d v="2014-03-04T00:00:00"/>
    <x v="0"/>
    <x v="1"/>
    <x v="54"/>
    <x v="11"/>
    <x v="2"/>
    <x v="11"/>
    <s v="BIC Brite Liner Highlighters, Chisel Tip"/>
    <n v="15.55"/>
    <n v="3"/>
    <n v="2.33"/>
  </r>
  <r>
    <d v="2014-04-04T00:00:00"/>
    <x v="0"/>
    <x v="2"/>
    <x v="102"/>
    <x v="5"/>
    <x v="2"/>
    <x v="8"/>
    <s v="Avery 518"/>
    <n v="18.899999999999999"/>
    <n v="6"/>
    <n v="9.07"/>
  </r>
  <r>
    <d v="2014-04-04T00:00:00"/>
    <x v="0"/>
    <x v="2"/>
    <x v="103"/>
    <x v="10"/>
    <x v="1"/>
    <x v="5"/>
    <s v="Advantus Panel Wall Acrylic Frame"/>
    <n v="5.47"/>
    <n v="1"/>
    <n v="2.35"/>
  </r>
  <r>
    <d v="2014-04-04T00:00:00"/>
    <x v="0"/>
    <x v="2"/>
    <x v="103"/>
    <x v="10"/>
    <x v="2"/>
    <x v="11"/>
    <s v="Newell 319"/>
    <n v="79.36"/>
    <n v="4"/>
    <n v="23.81"/>
  </r>
  <r>
    <d v="2014-04-04T00:00:00"/>
    <x v="0"/>
    <x v="2"/>
    <x v="104"/>
    <x v="5"/>
    <x v="2"/>
    <x v="9"/>
    <s v="Avery Non-Stick Binders"/>
    <n v="7.18"/>
    <n v="2"/>
    <n v="2.25"/>
  </r>
  <r>
    <d v="2014-04-04T00:00:00"/>
    <x v="0"/>
    <x v="2"/>
    <x v="105"/>
    <x v="30"/>
    <x v="2"/>
    <x v="6"/>
    <s v="Safco Commercial Shelving"/>
    <n v="232.55"/>
    <n v="5"/>
    <n v="9.3000000000000007"/>
  </r>
  <r>
    <d v="2014-04-04T00:00:00"/>
    <x v="0"/>
    <x v="2"/>
    <x v="105"/>
    <x v="30"/>
    <x v="0"/>
    <x v="0"/>
    <s v="Logitech Wireless Marathon Mouse M705"/>
    <n v="99.98"/>
    <n v="2"/>
    <n v="42.99"/>
  </r>
  <r>
    <d v="2014-04-04T00:00:00"/>
    <x v="0"/>
    <x v="2"/>
    <x v="105"/>
    <x v="30"/>
    <x v="2"/>
    <x v="3"/>
    <s v="Xerox 209"/>
    <n v="19.440000000000001"/>
    <n v="3"/>
    <n v="9.33"/>
  </r>
  <r>
    <d v="2014-04-04T00:00:00"/>
    <x v="0"/>
    <x v="2"/>
    <x v="105"/>
    <x v="30"/>
    <x v="2"/>
    <x v="3"/>
    <s v="Xerox 1966"/>
    <n v="12.96"/>
    <n v="2"/>
    <n v="6.35"/>
  </r>
  <r>
    <d v="2014-05-04T00:00:00"/>
    <x v="0"/>
    <x v="10"/>
    <x v="106"/>
    <x v="10"/>
    <x v="2"/>
    <x v="9"/>
    <s v="Fellowes Binding Cases"/>
    <n v="46.8"/>
    <n v="4"/>
    <n v="21.06"/>
  </r>
  <r>
    <d v="2014-05-04T00:00:00"/>
    <x v="0"/>
    <x v="10"/>
    <x v="107"/>
    <x v="25"/>
    <x v="1"/>
    <x v="5"/>
    <s v="DAX Wood Document Frame"/>
    <n v="27.46"/>
    <n v="2"/>
    <n v="9.89"/>
  </r>
  <r>
    <d v="2014-05-04T00:00:00"/>
    <x v="0"/>
    <x v="10"/>
    <x v="108"/>
    <x v="4"/>
    <x v="2"/>
    <x v="11"/>
    <s v="Boston Home &amp; Office Model 2000 Electric Pencil Sharpeners"/>
    <n v="37.840000000000003"/>
    <n v="2"/>
    <n v="2.84"/>
  </r>
  <r>
    <d v="2014-05-04T00:00:00"/>
    <x v="0"/>
    <x v="10"/>
    <x v="108"/>
    <x v="4"/>
    <x v="2"/>
    <x v="4"/>
    <s v="OIC Thumb-Tacks"/>
    <n v="5.47"/>
    <n v="6"/>
    <n v="1.85"/>
  </r>
  <r>
    <d v="2014-05-04T00:00:00"/>
    <x v="0"/>
    <x v="10"/>
    <x v="109"/>
    <x v="1"/>
    <x v="1"/>
    <x v="5"/>
    <s v="Eldon Regeneration Recycled Desk Accessories, Smoke"/>
    <n v="12.18"/>
    <n v="7"/>
    <n v="3.9"/>
  </r>
  <r>
    <d v="2014-05-04T00:00:00"/>
    <x v="0"/>
    <x v="10"/>
    <x v="109"/>
    <x v="1"/>
    <x v="2"/>
    <x v="10"/>
    <s v="Holmes Odor Grabber"/>
    <n v="57.68"/>
    <n v="4"/>
    <n v="19.03"/>
  </r>
  <r>
    <d v="2014-06-04T00:00:00"/>
    <x v="0"/>
    <x v="3"/>
    <x v="110"/>
    <x v="18"/>
    <x v="2"/>
    <x v="3"/>
    <s v="Easy-staple paper"/>
    <n v="16.22"/>
    <n v="2"/>
    <n v="5.88"/>
  </r>
  <r>
    <d v="2014-06-04T00:00:00"/>
    <x v="0"/>
    <x v="3"/>
    <x v="111"/>
    <x v="2"/>
    <x v="1"/>
    <x v="5"/>
    <s v="Seth Thomas 14&quot; Day/Date Wall Clock"/>
    <n v="56.96"/>
    <n v="2"/>
    <n v="21.08"/>
  </r>
  <r>
    <d v="2014-06-04T00:00:00"/>
    <x v="0"/>
    <x v="3"/>
    <x v="111"/>
    <x v="2"/>
    <x v="2"/>
    <x v="10"/>
    <s v="Commercial WindTunnel Clean Air Upright Vacuum, Replacement Belts, Filtration Bags"/>
    <n v="15.56"/>
    <n v="4"/>
    <n v="4.05"/>
  </r>
  <r>
    <d v="2014-06-04T00:00:00"/>
    <x v="0"/>
    <x v="3"/>
    <x v="111"/>
    <x v="2"/>
    <x v="1"/>
    <x v="16"/>
    <s v="O'Sullivan Living Dimensions 5-Shelf Bookcases"/>
    <n v="353.57"/>
    <n v="2"/>
    <n v="-44.2"/>
  </r>
  <r>
    <d v="2014-06-04T00:00:00"/>
    <x v="0"/>
    <x v="3"/>
    <x v="111"/>
    <x v="2"/>
    <x v="1"/>
    <x v="5"/>
    <s v="G.E. Halogen Desk Lamp Bulbs"/>
    <n v="13.96"/>
    <n v="2"/>
    <n v="6.7"/>
  </r>
  <r>
    <d v="2014-07-04T00:00:00"/>
    <x v="0"/>
    <x v="4"/>
    <x v="75"/>
    <x v="15"/>
    <x v="2"/>
    <x v="3"/>
    <s v="Xerox 194"/>
    <n v="177.54"/>
    <n v="4"/>
    <n v="62.14"/>
  </r>
  <r>
    <d v="2014-07-04T00:00:00"/>
    <x v="0"/>
    <x v="4"/>
    <x v="75"/>
    <x v="15"/>
    <x v="2"/>
    <x v="10"/>
    <s v="Fellowes Mighty 8 Compact Surge Protector"/>
    <n v="32.43"/>
    <n v="2"/>
    <n v="3.24"/>
  </r>
  <r>
    <d v="2014-07-04T00:00:00"/>
    <x v="0"/>
    <x v="4"/>
    <x v="91"/>
    <x v="20"/>
    <x v="2"/>
    <x v="3"/>
    <s v="Southworth Structures Collection"/>
    <n v="21.84"/>
    <n v="3"/>
    <n v="10.92"/>
  </r>
  <r>
    <d v="2014-07-04T00:00:00"/>
    <x v="0"/>
    <x v="4"/>
    <x v="91"/>
    <x v="20"/>
    <x v="2"/>
    <x v="9"/>
    <s v="Zipper Ring Binder Pockets"/>
    <n v="15.6"/>
    <n v="5"/>
    <n v="7.64"/>
  </r>
  <r>
    <d v="2014-08-04T00:00:00"/>
    <x v="0"/>
    <x v="5"/>
    <x v="112"/>
    <x v="21"/>
    <x v="2"/>
    <x v="10"/>
    <s v="Hoover WindTunnel Plus Canister Vacuum"/>
    <n v="1089.75"/>
    <n v="3"/>
    <n v="305.13"/>
  </r>
  <r>
    <d v="2014-08-04T00:00:00"/>
    <x v="0"/>
    <x v="5"/>
    <x v="112"/>
    <x v="21"/>
    <x v="2"/>
    <x v="3"/>
    <s v="Xerox 1934"/>
    <n v="447.84"/>
    <n v="8"/>
    <n v="219.44"/>
  </r>
  <r>
    <d v="2014-08-04T00:00:00"/>
    <x v="0"/>
    <x v="5"/>
    <x v="112"/>
    <x v="21"/>
    <x v="2"/>
    <x v="11"/>
    <s v="Newell 329"/>
    <n v="16.399999999999999"/>
    <n v="5"/>
    <n v="4.26"/>
  </r>
  <r>
    <d v="2014-08-04T00:00:00"/>
    <x v="0"/>
    <x v="5"/>
    <x v="112"/>
    <x v="21"/>
    <x v="0"/>
    <x v="2"/>
    <s v="Panasonic KX T7731-B Digital phone"/>
    <n v="399.96"/>
    <n v="5"/>
    <n v="35"/>
  </r>
  <r>
    <d v="2014-08-04T00:00:00"/>
    <x v="0"/>
    <x v="5"/>
    <x v="112"/>
    <x v="21"/>
    <x v="2"/>
    <x v="6"/>
    <s v="Safco Wire Cube Shelving System, For Use as 4 or 5 14&quot; Cubes, Black"/>
    <n v="158.9"/>
    <n v="5"/>
    <n v="7.95"/>
  </r>
  <r>
    <d v="2014-08-04T00:00:00"/>
    <x v="0"/>
    <x v="5"/>
    <x v="112"/>
    <x v="21"/>
    <x v="2"/>
    <x v="9"/>
    <s v="Ibico Standard Transparent Covers"/>
    <n v="13.18"/>
    <n v="1"/>
    <n v="4.78"/>
  </r>
  <r>
    <d v="2014-08-04T00:00:00"/>
    <x v="0"/>
    <x v="5"/>
    <x v="113"/>
    <x v="31"/>
    <x v="2"/>
    <x v="10"/>
    <s v="Eureka The Boss Cordless Rechargeable Stick Vac"/>
    <n v="101.96"/>
    <n v="2"/>
    <n v="27.53"/>
  </r>
  <r>
    <d v="2014-08-04T00:00:00"/>
    <x v="0"/>
    <x v="5"/>
    <x v="113"/>
    <x v="31"/>
    <x v="2"/>
    <x v="3"/>
    <s v="Southworth 25% Cotton Premium Laser Paper and Envelopes"/>
    <n v="259.74"/>
    <n v="13"/>
    <n v="124.68"/>
  </r>
  <r>
    <d v="2014-08-04T00:00:00"/>
    <x v="0"/>
    <x v="5"/>
    <x v="113"/>
    <x v="31"/>
    <x v="0"/>
    <x v="0"/>
    <s v="Maxell 4.7GB DVD-R"/>
    <n v="255.42"/>
    <n v="9"/>
    <n v="104.72"/>
  </r>
  <r>
    <d v="2014-10-04T00:00:00"/>
    <x v="0"/>
    <x v="7"/>
    <x v="114"/>
    <x v="5"/>
    <x v="2"/>
    <x v="8"/>
    <s v="Avery 512"/>
    <n v="14.45"/>
    <n v="5"/>
    <n v="6.79"/>
  </r>
  <r>
    <d v="2014-10-04T00:00:00"/>
    <x v="0"/>
    <x v="7"/>
    <x v="114"/>
    <x v="5"/>
    <x v="2"/>
    <x v="9"/>
    <s v="GBC Recycled Regency Composition Covers"/>
    <n v="95.65"/>
    <n v="2"/>
    <n v="31.09"/>
  </r>
  <r>
    <d v="2014-10-04T00:00:00"/>
    <x v="0"/>
    <x v="7"/>
    <x v="115"/>
    <x v="1"/>
    <x v="2"/>
    <x v="8"/>
    <s v="Avery 519"/>
    <n v="29.24"/>
    <n v="4"/>
    <n v="13.74"/>
  </r>
  <r>
    <d v="2014-10-04T00:00:00"/>
    <x v="0"/>
    <x v="7"/>
    <x v="116"/>
    <x v="2"/>
    <x v="1"/>
    <x v="1"/>
    <s v="Office Star - Contemporary Task Swivel chair with Loop Arms, Charcoal"/>
    <n v="589.41"/>
    <n v="5"/>
    <n v="-6.55"/>
  </r>
  <r>
    <d v="2014-11-04T00:00:00"/>
    <x v="0"/>
    <x v="8"/>
    <x v="117"/>
    <x v="2"/>
    <x v="1"/>
    <x v="1"/>
    <s v="DMI Arturo Collection Mission-style Design Wood Chair"/>
    <n v="135.88"/>
    <n v="1"/>
    <n v="24.16"/>
  </r>
  <r>
    <d v="2014-11-04T00:00:00"/>
    <x v="0"/>
    <x v="8"/>
    <x v="117"/>
    <x v="2"/>
    <x v="0"/>
    <x v="14"/>
    <s v="Canon imageCLASS MF7460 Monochrome Digital Laser Multifunction Copier"/>
    <n v="3991.98"/>
    <n v="2"/>
    <n v="1995.99"/>
  </r>
  <r>
    <d v="2014-11-04T00:00:00"/>
    <x v="0"/>
    <x v="8"/>
    <x v="117"/>
    <x v="2"/>
    <x v="0"/>
    <x v="2"/>
    <s v="Panasonic Kx-TS550"/>
    <n v="275.94"/>
    <n v="6"/>
    <n v="80.02"/>
  </r>
  <r>
    <d v="2014-11-04T00:00:00"/>
    <x v="0"/>
    <x v="8"/>
    <x v="117"/>
    <x v="2"/>
    <x v="0"/>
    <x v="0"/>
    <s v="NETGEAR N750 Dual Band Wi-Fi Gigabit Router"/>
    <n v="360"/>
    <n v="4"/>
    <n v="129.6"/>
  </r>
  <r>
    <d v="2014-11-04T00:00:00"/>
    <x v="0"/>
    <x v="8"/>
    <x v="117"/>
    <x v="2"/>
    <x v="2"/>
    <x v="6"/>
    <s v="Trav-L-File Heavy-Duty Shuttle II, Black"/>
    <n v="43.57"/>
    <n v="1"/>
    <n v="13.07"/>
  </r>
  <r>
    <d v="2014-11-04T00:00:00"/>
    <x v="0"/>
    <x v="8"/>
    <x v="67"/>
    <x v="12"/>
    <x v="2"/>
    <x v="4"/>
    <s v="OIC Bulk Pack Metal Binder Clips"/>
    <n v="8.3800000000000008"/>
    <n v="3"/>
    <n v="2.72"/>
  </r>
  <r>
    <d v="2014-11-04T00:00:00"/>
    <x v="0"/>
    <x v="8"/>
    <x v="67"/>
    <x v="12"/>
    <x v="2"/>
    <x v="10"/>
    <s v="Acco 6 Outlet Guardian Premium Surge Suppressor"/>
    <n v="58.24"/>
    <n v="5"/>
    <n v="5.0999999999999996"/>
  </r>
  <r>
    <d v="2014-11-04T00:00:00"/>
    <x v="0"/>
    <x v="8"/>
    <x v="118"/>
    <x v="5"/>
    <x v="1"/>
    <x v="5"/>
    <s v="Executive Impressions 12&quot; Wall Clock"/>
    <n v="35.340000000000003"/>
    <n v="2"/>
    <n v="13.43"/>
  </r>
  <r>
    <d v="2014-11-04T00:00:00"/>
    <x v="0"/>
    <x v="8"/>
    <x v="119"/>
    <x v="5"/>
    <x v="0"/>
    <x v="2"/>
    <s v="Polycom SoundPoint Pro SE-225 Corded phone"/>
    <n v="666.34"/>
    <n v="7"/>
    <n v="66.63"/>
  </r>
  <r>
    <d v="2014-11-04T00:00:00"/>
    <x v="0"/>
    <x v="8"/>
    <x v="119"/>
    <x v="5"/>
    <x v="1"/>
    <x v="7"/>
    <s v="Bevis Round Conference Table Top, X-Base"/>
    <n v="573.73"/>
    <n v="4"/>
    <n v="-64.540000000000006"/>
  </r>
  <r>
    <d v="2014-11-04T00:00:00"/>
    <x v="0"/>
    <x v="8"/>
    <x v="119"/>
    <x v="5"/>
    <x v="2"/>
    <x v="9"/>
    <s v="Cardinal EasyOpen D-Ring Binders"/>
    <n v="21.94"/>
    <n v="3"/>
    <n v="8.23"/>
  </r>
  <r>
    <d v="2014-11-04T00:00:00"/>
    <x v="0"/>
    <x v="8"/>
    <x v="119"/>
    <x v="5"/>
    <x v="2"/>
    <x v="3"/>
    <s v="Xerox 2000"/>
    <n v="19.440000000000001"/>
    <n v="3"/>
    <n v="9.33"/>
  </r>
  <r>
    <d v="2014-11-04T00:00:00"/>
    <x v="0"/>
    <x v="8"/>
    <x v="119"/>
    <x v="5"/>
    <x v="0"/>
    <x v="14"/>
    <s v="Hewlett-Packard Deskjet D4360 Printer"/>
    <n v="447.97"/>
    <n v="4"/>
    <n v="139.99"/>
  </r>
  <r>
    <d v="2014-11-04T00:00:00"/>
    <x v="0"/>
    <x v="8"/>
    <x v="120"/>
    <x v="2"/>
    <x v="2"/>
    <x v="9"/>
    <s v="Acco Flexible ACCOHIDE Square Ring Data Binder, Dark Blue, 11 1/2&quot; X 14&quot; 7/8&quot;"/>
    <n v="52.06"/>
    <n v="4"/>
    <n v="18.87"/>
  </r>
  <r>
    <d v="2014-11-04T00:00:00"/>
    <x v="0"/>
    <x v="8"/>
    <x v="121"/>
    <x v="5"/>
    <x v="2"/>
    <x v="11"/>
    <s v="Newell 343"/>
    <n v="2.94"/>
    <n v="1"/>
    <n v="0.79"/>
  </r>
  <r>
    <d v="2014-12-04T00:00:00"/>
    <x v="0"/>
    <x v="9"/>
    <x v="122"/>
    <x v="2"/>
    <x v="0"/>
    <x v="2"/>
    <s v="Plantronics Voyager Pro HD - Bluetooth Headset"/>
    <n v="129.97999999999999"/>
    <n v="2"/>
    <n v="62.39"/>
  </r>
  <r>
    <d v="2014-01-05T00:00:00"/>
    <x v="0"/>
    <x v="11"/>
    <x v="123"/>
    <x v="13"/>
    <x v="2"/>
    <x v="11"/>
    <s v="Avery Hi-Liter EverBold Pen Style Fluorescent Highlighters, 4/Pack"/>
    <n v="19.54"/>
    <n v="3"/>
    <n v="4.88"/>
  </r>
  <r>
    <d v="2014-03-05T00:00:00"/>
    <x v="0"/>
    <x v="1"/>
    <x v="124"/>
    <x v="2"/>
    <x v="2"/>
    <x v="11"/>
    <s v="Newell 345"/>
    <n v="59.52"/>
    <n v="3"/>
    <n v="15.48"/>
  </r>
  <r>
    <d v="2014-03-05T00:00:00"/>
    <x v="0"/>
    <x v="1"/>
    <x v="124"/>
    <x v="2"/>
    <x v="0"/>
    <x v="0"/>
    <s v="Logitech Wireless Gaming Headset G930"/>
    <n v="479.97"/>
    <n v="3"/>
    <n v="177.59"/>
  </r>
  <r>
    <d v="2014-03-05T00:00:00"/>
    <x v="0"/>
    <x v="1"/>
    <x v="124"/>
    <x v="2"/>
    <x v="2"/>
    <x v="15"/>
    <s v="Acme Forged Steel Scissors with Black Enamel Handles"/>
    <n v="18.62"/>
    <n v="2"/>
    <n v="5.4"/>
  </r>
  <r>
    <d v="2014-03-05T00:00:00"/>
    <x v="0"/>
    <x v="1"/>
    <x v="124"/>
    <x v="2"/>
    <x v="2"/>
    <x v="9"/>
    <s v="GBC Wire Binding Combs"/>
    <n v="49.63"/>
    <n v="6"/>
    <n v="16.75"/>
  </r>
  <r>
    <d v="2014-03-05T00:00:00"/>
    <x v="0"/>
    <x v="1"/>
    <x v="124"/>
    <x v="2"/>
    <x v="2"/>
    <x v="3"/>
    <s v="Xerox 1891"/>
    <n v="97.82"/>
    <n v="2"/>
    <n v="45.98"/>
  </r>
  <r>
    <d v="2014-04-05T00:00:00"/>
    <x v="0"/>
    <x v="2"/>
    <x v="125"/>
    <x v="2"/>
    <x v="2"/>
    <x v="3"/>
    <s v="Eaton Premium Continuous-Feed Paper, 25% Cotton, Letter Size, White, 1000 Shts/Box"/>
    <n v="55.48"/>
    <n v="1"/>
    <n v="26.63"/>
  </r>
  <r>
    <d v="2014-04-05T00:00:00"/>
    <x v="0"/>
    <x v="2"/>
    <x v="126"/>
    <x v="20"/>
    <x v="2"/>
    <x v="11"/>
    <s v="Crayola Colored Pencils"/>
    <n v="22.96"/>
    <n v="7"/>
    <n v="7.58"/>
  </r>
  <r>
    <d v="2014-04-05T00:00:00"/>
    <x v="0"/>
    <x v="2"/>
    <x v="126"/>
    <x v="20"/>
    <x v="0"/>
    <x v="2"/>
    <s v="AT&amp;T CL82213"/>
    <n v="28.99"/>
    <n v="1"/>
    <n v="8.41"/>
  </r>
  <r>
    <d v="2014-04-05T00:00:00"/>
    <x v="0"/>
    <x v="2"/>
    <x v="126"/>
    <x v="20"/>
    <x v="2"/>
    <x v="3"/>
    <s v="Xerox 1957"/>
    <n v="12.96"/>
    <n v="2"/>
    <n v="6.35"/>
  </r>
  <r>
    <d v="2014-04-05T00:00:00"/>
    <x v="0"/>
    <x v="2"/>
    <x v="126"/>
    <x v="20"/>
    <x v="2"/>
    <x v="11"/>
    <s v="Newell 321"/>
    <n v="22.96"/>
    <n v="7"/>
    <n v="6.66"/>
  </r>
  <r>
    <d v="2014-04-05T00:00:00"/>
    <x v="0"/>
    <x v="2"/>
    <x v="126"/>
    <x v="20"/>
    <x v="2"/>
    <x v="15"/>
    <s v="Martin Yale Chadless Opener Electric Letter Opener"/>
    <n v="4164.05"/>
    <n v="5"/>
    <n v="83.28"/>
  </r>
  <r>
    <d v="2014-04-05T00:00:00"/>
    <x v="0"/>
    <x v="2"/>
    <x v="127"/>
    <x v="3"/>
    <x v="2"/>
    <x v="6"/>
    <s v="Tenex File Box, Personal Filing Tote with Lid, Black"/>
    <n v="49.63"/>
    <n v="4"/>
    <n v="3.72"/>
  </r>
  <r>
    <d v="2014-04-05T00:00:00"/>
    <x v="0"/>
    <x v="2"/>
    <x v="127"/>
    <x v="3"/>
    <x v="2"/>
    <x v="6"/>
    <s v="Adjustable Personal File Tote"/>
    <n v="52.1"/>
    <n v="4"/>
    <n v="3.91"/>
  </r>
  <r>
    <d v="2014-04-05T00:00:00"/>
    <x v="0"/>
    <x v="2"/>
    <x v="128"/>
    <x v="10"/>
    <x v="2"/>
    <x v="11"/>
    <s v="Stanley Contemporary Battery Pencil Sharpeners"/>
    <n v="26.7"/>
    <n v="2"/>
    <n v="7.48"/>
  </r>
  <r>
    <d v="2014-04-05T00:00:00"/>
    <x v="0"/>
    <x v="2"/>
    <x v="128"/>
    <x v="10"/>
    <x v="2"/>
    <x v="9"/>
    <s v="Fellowes Twister Kit, Gray/Clear, 3/pkg"/>
    <n v="40.200000000000003"/>
    <n v="5"/>
    <n v="18.09"/>
  </r>
  <r>
    <d v="2014-04-05T00:00:00"/>
    <x v="0"/>
    <x v="2"/>
    <x v="128"/>
    <x v="10"/>
    <x v="2"/>
    <x v="11"/>
    <s v="Binney &amp; Smith Crayola Metallic Colored Pencils, 8-Color Set"/>
    <n v="13.89"/>
    <n v="3"/>
    <n v="4.58"/>
  </r>
  <r>
    <d v="2014-04-05T00:00:00"/>
    <x v="0"/>
    <x v="2"/>
    <x v="128"/>
    <x v="10"/>
    <x v="2"/>
    <x v="6"/>
    <s v="Space Solutions HD Industrial Steel Shelving."/>
    <n v="689.82"/>
    <n v="6"/>
    <n v="20.69"/>
  </r>
  <r>
    <d v="2014-04-05T00:00:00"/>
    <x v="0"/>
    <x v="2"/>
    <x v="129"/>
    <x v="17"/>
    <x v="2"/>
    <x v="9"/>
    <s v="Ibico Standard Transparent Covers"/>
    <n v="115.36"/>
    <n v="7"/>
    <n v="56.53"/>
  </r>
  <r>
    <d v="2014-05-05T00:00:00"/>
    <x v="0"/>
    <x v="10"/>
    <x v="130"/>
    <x v="17"/>
    <x v="2"/>
    <x v="3"/>
    <s v="Adams &quot;While You Were Out&quot; Message Pads"/>
    <n v="9.42"/>
    <n v="3"/>
    <n v="4.24"/>
  </r>
  <r>
    <d v="2014-05-05T00:00:00"/>
    <x v="0"/>
    <x v="10"/>
    <x v="130"/>
    <x v="17"/>
    <x v="2"/>
    <x v="11"/>
    <s v="Newell 350"/>
    <n v="6.56"/>
    <n v="2"/>
    <n v="1.9"/>
  </r>
  <r>
    <d v="2014-05-05T00:00:00"/>
    <x v="0"/>
    <x v="10"/>
    <x v="130"/>
    <x v="17"/>
    <x v="2"/>
    <x v="3"/>
    <s v="Xerox 1933"/>
    <n v="24.56"/>
    <n v="2"/>
    <n v="11.54"/>
  </r>
  <r>
    <d v="2014-05-05T00:00:00"/>
    <x v="0"/>
    <x v="10"/>
    <x v="131"/>
    <x v="4"/>
    <x v="1"/>
    <x v="1"/>
    <s v="Global Value Mid-Back Manager's Chair, Gray"/>
    <n v="127.87"/>
    <n v="3"/>
    <n v="-9.1300000000000008"/>
  </r>
  <r>
    <d v="2014-05-05T00:00:00"/>
    <x v="0"/>
    <x v="10"/>
    <x v="7"/>
    <x v="3"/>
    <x v="2"/>
    <x v="6"/>
    <s v="Eldon Portable Mobile Manager"/>
    <n v="45.25"/>
    <n v="2"/>
    <n v="3.96"/>
  </r>
  <r>
    <d v="2014-05-05T00:00:00"/>
    <x v="0"/>
    <x v="10"/>
    <x v="132"/>
    <x v="20"/>
    <x v="2"/>
    <x v="9"/>
    <s v="Storex Dura Pro Binders"/>
    <n v="11.88"/>
    <n v="2"/>
    <n v="5.35"/>
  </r>
  <r>
    <d v="2014-05-05T00:00:00"/>
    <x v="0"/>
    <x v="10"/>
    <x v="132"/>
    <x v="20"/>
    <x v="2"/>
    <x v="3"/>
    <s v="Easy-staple paper"/>
    <n v="35.44"/>
    <n v="1"/>
    <n v="16.66"/>
  </r>
  <r>
    <d v="2014-07-05T00:00:00"/>
    <x v="0"/>
    <x v="4"/>
    <x v="133"/>
    <x v="32"/>
    <x v="0"/>
    <x v="0"/>
    <s v="NETGEAR AC1750 Dual Band GigabitÂ Smart WiFi Router"/>
    <n v="479.97"/>
    <n v="3"/>
    <n v="163.19"/>
  </r>
  <r>
    <d v="2014-07-05T00:00:00"/>
    <x v="0"/>
    <x v="4"/>
    <x v="133"/>
    <x v="32"/>
    <x v="2"/>
    <x v="8"/>
    <s v="Avery 516"/>
    <n v="14.62"/>
    <n v="2"/>
    <n v="6.87"/>
  </r>
  <r>
    <d v="2014-07-05T00:00:00"/>
    <x v="0"/>
    <x v="4"/>
    <x v="133"/>
    <x v="32"/>
    <x v="2"/>
    <x v="3"/>
    <s v="Xerox 1995"/>
    <n v="19.440000000000001"/>
    <n v="3"/>
    <n v="9.33"/>
  </r>
  <r>
    <d v="2014-07-05T00:00:00"/>
    <x v="0"/>
    <x v="4"/>
    <x v="134"/>
    <x v="4"/>
    <x v="2"/>
    <x v="6"/>
    <s v="Gould Plastics 18-Pocket Panel Bin, 34w x 5-1/4d x 20-1/2h"/>
    <n v="220.78"/>
    <n v="3"/>
    <n v="-44.16"/>
  </r>
  <r>
    <d v="2014-07-05T00:00:00"/>
    <x v="0"/>
    <x v="4"/>
    <x v="134"/>
    <x v="4"/>
    <x v="2"/>
    <x v="6"/>
    <s v="Fellowes Bankers Box Stor/Drawer Steel Plus"/>
    <n v="281.42"/>
    <n v="11"/>
    <n v="-35.18"/>
  </r>
  <r>
    <d v="2014-07-05T00:00:00"/>
    <x v="0"/>
    <x v="4"/>
    <x v="135"/>
    <x v="5"/>
    <x v="2"/>
    <x v="9"/>
    <s v="Vinyl Sectional Post Binders"/>
    <n v="180.96"/>
    <n v="6"/>
    <n v="67.86"/>
  </r>
  <r>
    <d v="2014-07-05T00:00:00"/>
    <x v="0"/>
    <x v="4"/>
    <x v="136"/>
    <x v="26"/>
    <x v="2"/>
    <x v="11"/>
    <s v="Newell 322"/>
    <n v="4.37"/>
    <n v="3"/>
    <n v="0.38"/>
  </r>
  <r>
    <d v="2014-07-05T00:00:00"/>
    <x v="0"/>
    <x v="4"/>
    <x v="137"/>
    <x v="11"/>
    <x v="1"/>
    <x v="5"/>
    <s v="Advantus Panel Wall Certificate Holder - 8.5x11"/>
    <n v="19.52"/>
    <n v="2"/>
    <n v="5.37"/>
  </r>
  <r>
    <d v="2014-07-05T00:00:00"/>
    <x v="0"/>
    <x v="4"/>
    <x v="137"/>
    <x v="11"/>
    <x v="2"/>
    <x v="9"/>
    <s v="Wilson Jones Four-Pocket Poly Binders"/>
    <n v="9.81"/>
    <n v="5"/>
    <n v="-6.87"/>
  </r>
  <r>
    <d v="2014-07-05T00:00:00"/>
    <x v="0"/>
    <x v="4"/>
    <x v="137"/>
    <x v="11"/>
    <x v="1"/>
    <x v="5"/>
    <s v="Luxo Adjustable Task Clamp Lamp"/>
    <n v="213.22"/>
    <n v="3"/>
    <n v="15.99"/>
  </r>
  <r>
    <d v="2014-08-05T00:00:00"/>
    <x v="0"/>
    <x v="5"/>
    <x v="138"/>
    <x v="5"/>
    <x v="2"/>
    <x v="3"/>
    <s v="Adams Phone Message Book, Professional, 400 Message Capacity, 5 3/6Â” x 11Â”"/>
    <n v="20.94"/>
    <n v="3"/>
    <n v="9.84"/>
  </r>
  <r>
    <d v="2014-08-05T00:00:00"/>
    <x v="0"/>
    <x v="5"/>
    <x v="138"/>
    <x v="5"/>
    <x v="2"/>
    <x v="3"/>
    <s v="Xerox 1913"/>
    <n v="110.96"/>
    <n v="2"/>
    <n v="53.26"/>
  </r>
  <r>
    <d v="2014-08-05T00:00:00"/>
    <x v="0"/>
    <x v="5"/>
    <x v="138"/>
    <x v="5"/>
    <x v="1"/>
    <x v="1"/>
    <s v="Global Value Steno Chair, Gray"/>
    <n v="340.14"/>
    <n v="7"/>
    <n v="21.26"/>
  </r>
  <r>
    <d v="2014-08-05T00:00:00"/>
    <x v="0"/>
    <x v="5"/>
    <x v="139"/>
    <x v="5"/>
    <x v="0"/>
    <x v="0"/>
    <s v="Logitech Desktop MK120 Mouse and keyboard Combo"/>
    <n v="16.36"/>
    <n v="1"/>
    <n v="1.64"/>
  </r>
  <r>
    <d v="2014-08-05T00:00:00"/>
    <x v="0"/>
    <x v="5"/>
    <x v="139"/>
    <x v="5"/>
    <x v="2"/>
    <x v="6"/>
    <s v="Akro Stacking Bins"/>
    <n v="15.78"/>
    <n v="2"/>
    <n v="0.63"/>
  </r>
  <r>
    <d v="2014-08-05T00:00:00"/>
    <x v="0"/>
    <x v="5"/>
    <x v="139"/>
    <x v="5"/>
    <x v="2"/>
    <x v="11"/>
    <s v="Boston KS Multi-Size Manual Pencil Sharpener"/>
    <n v="45.98"/>
    <n v="2"/>
    <n v="12.87"/>
  </r>
  <r>
    <d v="2014-08-05T00:00:00"/>
    <x v="0"/>
    <x v="5"/>
    <x v="140"/>
    <x v="25"/>
    <x v="2"/>
    <x v="10"/>
    <s v="Fellowes Advanced Computer Series Surge Protectors"/>
    <n v="79.47"/>
    <n v="3"/>
    <n v="22.25"/>
  </r>
  <r>
    <d v="2014-08-05T00:00:00"/>
    <x v="0"/>
    <x v="5"/>
    <x v="140"/>
    <x v="25"/>
    <x v="2"/>
    <x v="11"/>
    <s v="Binney &amp; Smith inkTank Erasable Pocket Highlighter, Chisel Tip, Yellow"/>
    <n v="4.5599999999999996"/>
    <n v="2"/>
    <n v="2.0099999999999998"/>
  </r>
  <r>
    <d v="2014-08-05T00:00:00"/>
    <x v="0"/>
    <x v="5"/>
    <x v="140"/>
    <x v="25"/>
    <x v="1"/>
    <x v="1"/>
    <s v="Hon GuestStacker Chair"/>
    <n v="1133.3499999999999"/>
    <n v="5"/>
    <n v="294.67"/>
  </r>
  <r>
    <d v="2014-08-05T00:00:00"/>
    <x v="0"/>
    <x v="5"/>
    <x v="95"/>
    <x v="2"/>
    <x v="0"/>
    <x v="2"/>
    <s v="Plantronics CS 50-USB -Â headsetÂ - Convertible, Monaural"/>
    <n v="135.99"/>
    <n v="1"/>
    <n v="36.72"/>
  </r>
  <r>
    <d v="2014-08-05T00:00:00"/>
    <x v="0"/>
    <x v="5"/>
    <x v="95"/>
    <x v="2"/>
    <x v="2"/>
    <x v="11"/>
    <s v="Binney &amp; Smith inkTank Erasable Pocket Highlighter, Chisel Tip, Yellow"/>
    <n v="15.96"/>
    <n v="7"/>
    <n v="7.02"/>
  </r>
  <r>
    <d v="2014-08-05T00:00:00"/>
    <x v="0"/>
    <x v="5"/>
    <x v="141"/>
    <x v="4"/>
    <x v="1"/>
    <x v="7"/>
    <s v="SAFCO PlanMaster Heigh-Adjustable Drafting Table Base, 43w x 30d x 30-37h, Black"/>
    <n v="489.23"/>
    <n v="2"/>
    <n v="41.93"/>
  </r>
  <r>
    <d v="2014-09-05T00:00:00"/>
    <x v="0"/>
    <x v="6"/>
    <x v="142"/>
    <x v="18"/>
    <x v="2"/>
    <x v="6"/>
    <s v="Economy Rollaway Files"/>
    <n v="264.32"/>
    <n v="2"/>
    <n v="19.82"/>
  </r>
  <r>
    <d v="2014-09-05T00:00:00"/>
    <x v="0"/>
    <x v="6"/>
    <x v="143"/>
    <x v="11"/>
    <x v="1"/>
    <x v="5"/>
    <s v="Telescoping Adjustable Floor Lamp"/>
    <n v="31.98"/>
    <n v="2"/>
    <n v="2"/>
  </r>
  <r>
    <d v="2014-10-05T00:00:00"/>
    <x v="0"/>
    <x v="7"/>
    <x v="144"/>
    <x v="18"/>
    <x v="2"/>
    <x v="10"/>
    <s v="Belkin F5C206VTEL 6 Outlet Surge"/>
    <n v="91.92"/>
    <n v="5"/>
    <n v="11.49"/>
  </r>
  <r>
    <d v="2014-10-05T00:00:00"/>
    <x v="0"/>
    <x v="7"/>
    <x v="145"/>
    <x v="5"/>
    <x v="0"/>
    <x v="0"/>
    <s v="Plantronics Audio 478 Stereo USB Headset"/>
    <n v="99.98"/>
    <n v="2"/>
    <n v="34.99"/>
  </r>
  <r>
    <d v="2014-11-05T00:00:00"/>
    <x v="0"/>
    <x v="8"/>
    <x v="146"/>
    <x v="5"/>
    <x v="1"/>
    <x v="5"/>
    <s v="OIC Stacking Trays"/>
    <n v="20.04"/>
    <n v="6"/>
    <n v="8.82"/>
  </r>
  <r>
    <d v="2014-11-05T00:00:00"/>
    <x v="0"/>
    <x v="8"/>
    <x v="147"/>
    <x v="20"/>
    <x v="0"/>
    <x v="0"/>
    <s v="Maxell 4.7GB DVD-RW 3/Pack"/>
    <n v="47.79"/>
    <n v="3"/>
    <n v="16.25"/>
  </r>
  <r>
    <d v="2014-11-05T00:00:00"/>
    <x v="0"/>
    <x v="8"/>
    <x v="148"/>
    <x v="13"/>
    <x v="1"/>
    <x v="5"/>
    <s v="Tenex Antistatic Computer Chair Mats"/>
    <n v="273.57"/>
    <n v="2"/>
    <n v="-34.200000000000003"/>
  </r>
  <r>
    <d v="2014-11-05T00:00:00"/>
    <x v="0"/>
    <x v="8"/>
    <x v="148"/>
    <x v="13"/>
    <x v="2"/>
    <x v="9"/>
    <s v="Wilson Jones Legal Size Ring Binders"/>
    <n v="13.19"/>
    <n v="2"/>
    <n v="-8.8000000000000007"/>
  </r>
  <r>
    <d v="2014-11-05T00:00:00"/>
    <x v="0"/>
    <x v="8"/>
    <x v="148"/>
    <x v="13"/>
    <x v="2"/>
    <x v="6"/>
    <s v="Tennsco Double-Tier Lockers"/>
    <n v="1080.0999999999999"/>
    <n v="6"/>
    <n v="-94.51"/>
  </r>
  <r>
    <d v="2014-11-05T00:00:00"/>
    <x v="0"/>
    <x v="8"/>
    <x v="148"/>
    <x v="13"/>
    <x v="0"/>
    <x v="0"/>
    <s v="Sony 16GB Class 10 Micro SDHC R40 Memory Card"/>
    <n v="51.56"/>
    <n v="5"/>
    <n v="-6.45"/>
  </r>
  <r>
    <d v="2014-11-05T00:00:00"/>
    <x v="0"/>
    <x v="8"/>
    <x v="148"/>
    <x v="13"/>
    <x v="0"/>
    <x v="0"/>
    <s v="Memorex Micro Travel Drive 32 GB"/>
    <n v="58.42"/>
    <n v="2"/>
    <n v="16.79"/>
  </r>
  <r>
    <d v="2014-11-05T00:00:00"/>
    <x v="0"/>
    <x v="8"/>
    <x v="149"/>
    <x v="20"/>
    <x v="1"/>
    <x v="1"/>
    <s v="Global Stack Chair with Arms, Black"/>
    <n v="149.9"/>
    <n v="5"/>
    <n v="40.47"/>
  </r>
  <r>
    <d v="2014-12-05T00:00:00"/>
    <x v="0"/>
    <x v="9"/>
    <x v="150"/>
    <x v="23"/>
    <x v="2"/>
    <x v="11"/>
    <s v="Hunt BOSTON Model 1606 High-Volume Electric Pencil Sharpener, Beige"/>
    <n v="1113.02"/>
    <n v="8"/>
    <n v="111.3"/>
  </r>
  <r>
    <d v="2014-12-05T00:00:00"/>
    <x v="0"/>
    <x v="9"/>
    <x v="150"/>
    <x v="23"/>
    <x v="0"/>
    <x v="2"/>
    <s v="netTALK DUO VoIP Telephone Service"/>
    <n v="167.97"/>
    <n v="4"/>
    <n v="62.99"/>
  </r>
  <r>
    <d v="2014-12-05T00:00:00"/>
    <x v="0"/>
    <x v="9"/>
    <x v="151"/>
    <x v="3"/>
    <x v="2"/>
    <x v="6"/>
    <s v="Tenex File Box, Personal Filing Tote with Lid, Black"/>
    <n v="24.82"/>
    <n v="2"/>
    <n v="1.86"/>
  </r>
  <r>
    <d v="2014-12-05T00:00:00"/>
    <x v="0"/>
    <x v="9"/>
    <x v="151"/>
    <x v="3"/>
    <x v="0"/>
    <x v="0"/>
    <s v="ImationÂ Secure+ Hardware Encrypted USB 2.0Â Flash Drive; 16GB"/>
    <n v="408.74"/>
    <n v="7"/>
    <n v="76.64"/>
  </r>
  <r>
    <d v="2014-12-05T00:00:00"/>
    <x v="0"/>
    <x v="9"/>
    <x v="152"/>
    <x v="20"/>
    <x v="2"/>
    <x v="6"/>
    <s v="Recycled Eldon Regeneration Jumbo File"/>
    <n v="24.56"/>
    <n v="2"/>
    <n v="6.88"/>
  </r>
  <r>
    <d v="2014-12-05T00:00:00"/>
    <x v="0"/>
    <x v="9"/>
    <x v="153"/>
    <x v="13"/>
    <x v="2"/>
    <x v="13"/>
    <s v="Cameo Buff Policy Envelopes"/>
    <n v="348.49"/>
    <n v="7"/>
    <n v="117.61"/>
  </r>
  <r>
    <d v="2014-12-05T00:00:00"/>
    <x v="0"/>
    <x v="9"/>
    <x v="153"/>
    <x v="13"/>
    <x v="2"/>
    <x v="6"/>
    <s v="Fellowes Bankers Box Recycled Super Stor/Drawer"/>
    <n v="172.74"/>
    <n v="4"/>
    <n v="-30.23"/>
  </r>
  <r>
    <d v="2014-12-05T00:00:00"/>
    <x v="0"/>
    <x v="9"/>
    <x v="29"/>
    <x v="18"/>
    <x v="2"/>
    <x v="3"/>
    <s v="Xerox 1893"/>
    <n v="98.38"/>
    <n v="3"/>
    <n v="35.659999999999997"/>
  </r>
  <r>
    <d v="2014-12-05T00:00:00"/>
    <x v="0"/>
    <x v="9"/>
    <x v="29"/>
    <x v="18"/>
    <x v="2"/>
    <x v="9"/>
    <s v="Large Capacity Hanging Post Binders"/>
    <n v="29.94"/>
    <n v="4"/>
    <n v="-23.95"/>
  </r>
  <r>
    <d v="2014-12-05T00:00:00"/>
    <x v="0"/>
    <x v="9"/>
    <x v="29"/>
    <x v="18"/>
    <x v="2"/>
    <x v="3"/>
    <s v="Black Print Carbonless 8 1/2&quot; x 8 1/4&quot; Rapid Memo Book"/>
    <n v="17.47"/>
    <n v="3"/>
    <n v="5.68"/>
  </r>
  <r>
    <d v="2014-12-05T00:00:00"/>
    <x v="0"/>
    <x v="9"/>
    <x v="29"/>
    <x v="18"/>
    <x v="0"/>
    <x v="2"/>
    <s v="Lunatik TT5L-002 Taktik Strike Impact Protection System for iPhone 5"/>
    <n v="36.74"/>
    <n v="1"/>
    <n v="-9.18"/>
  </r>
  <r>
    <d v="2014-12-05T00:00:00"/>
    <x v="0"/>
    <x v="9"/>
    <x v="29"/>
    <x v="18"/>
    <x v="0"/>
    <x v="2"/>
    <s v="Panasonic KX T7736-B Digital phone"/>
    <n v="179.94"/>
    <n v="2"/>
    <n v="-44.99"/>
  </r>
  <r>
    <d v="2014-12-05T00:00:00"/>
    <x v="0"/>
    <x v="9"/>
    <x v="154"/>
    <x v="5"/>
    <x v="2"/>
    <x v="11"/>
    <s v="Prang Colored Pencils"/>
    <n v="26.46"/>
    <n v="9"/>
    <n v="11.91"/>
  </r>
  <r>
    <d v="2014-12-05T00:00:00"/>
    <x v="0"/>
    <x v="9"/>
    <x v="154"/>
    <x v="5"/>
    <x v="2"/>
    <x v="3"/>
    <s v="Xerox 1933"/>
    <n v="49.12"/>
    <n v="4"/>
    <n v="23.09"/>
  </r>
  <r>
    <d v="2014-12-05T00:00:00"/>
    <x v="0"/>
    <x v="9"/>
    <x v="154"/>
    <x v="5"/>
    <x v="2"/>
    <x v="4"/>
    <s v="Advantus Plastic Paper Clips"/>
    <n v="15"/>
    <n v="3"/>
    <n v="7.2"/>
  </r>
  <r>
    <d v="2014-12-05T00:00:00"/>
    <x v="0"/>
    <x v="9"/>
    <x v="155"/>
    <x v="5"/>
    <x v="2"/>
    <x v="10"/>
    <s v="Fellowes 8 Outlet Superior Workstation Surge Protector"/>
    <n v="250.26"/>
    <n v="6"/>
    <n v="72.58"/>
  </r>
  <r>
    <d v="2014-01-06T00:00:00"/>
    <x v="0"/>
    <x v="11"/>
    <x v="156"/>
    <x v="5"/>
    <x v="2"/>
    <x v="3"/>
    <s v="Xerox 225"/>
    <n v="19.440000000000001"/>
    <n v="3"/>
    <n v="9.33"/>
  </r>
  <r>
    <d v="2014-01-06T00:00:00"/>
    <x v="0"/>
    <x v="11"/>
    <x v="25"/>
    <x v="19"/>
    <x v="2"/>
    <x v="11"/>
    <s v="Dixon Prang Watercolor Pencils, 10-Color Set with Brush"/>
    <n v="12.78"/>
    <n v="3"/>
    <n v="5.24"/>
  </r>
  <r>
    <d v="2014-01-06T00:00:00"/>
    <x v="0"/>
    <x v="11"/>
    <x v="157"/>
    <x v="17"/>
    <x v="1"/>
    <x v="1"/>
    <s v="Global Deluxe High-Back Manager's Chair"/>
    <n v="2573.8200000000002"/>
    <n v="9"/>
    <n v="746.41"/>
  </r>
  <r>
    <d v="2014-01-06T00:00:00"/>
    <x v="0"/>
    <x v="11"/>
    <x v="157"/>
    <x v="17"/>
    <x v="2"/>
    <x v="9"/>
    <s v="Ibico Hi-Tech Manual Binding System"/>
    <n v="609.98"/>
    <n v="2"/>
    <n v="274.49"/>
  </r>
  <r>
    <d v="2014-01-06T00:00:00"/>
    <x v="0"/>
    <x v="11"/>
    <x v="157"/>
    <x v="17"/>
    <x v="2"/>
    <x v="11"/>
    <s v="Rogers Handheld Barrel Pencil Sharpener"/>
    <n v="5.48"/>
    <n v="2"/>
    <n v="1.48"/>
  </r>
  <r>
    <d v="2014-01-06T00:00:00"/>
    <x v="0"/>
    <x v="11"/>
    <x v="157"/>
    <x v="17"/>
    <x v="0"/>
    <x v="2"/>
    <s v="GE 30524EE4"/>
    <n v="391.98"/>
    <n v="2"/>
    <n v="113.67"/>
  </r>
  <r>
    <d v="2014-01-06T00:00:00"/>
    <x v="0"/>
    <x v="11"/>
    <x v="157"/>
    <x v="17"/>
    <x v="0"/>
    <x v="2"/>
    <s v="Wireless Extenders zBoost YX545 SOHO Signal Booster"/>
    <n v="755.96"/>
    <n v="4"/>
    <n v="204.11"/>
  </r>
  <r>
    <d v="2014-01-06T00:00:00"/>
    <x v="0"/>
    <x v="11"/>
    <x v="157"/>
    <x v="17"/>
    <x v="2"/>
    <x v="4"/>
    <s v="Alliance Super-Size Bands, Assorted Sizes"/>
    <n v="31.12"/>
    <n v="4"/>
    <n v="0.31"/>
  </r>
  <r>
    <d v="2014-01-06T00:00:00"/>
    <x v="0"/>
    <x v="11"/>
    <x v="157"/>
    <x v="17"/>
    <x v="2"/>
    <x v="3"/>
    <s v="Southworth 25% Cotton Granite Paper &amp; Envelopes"/>
    <n v="6.54"/>
    <n v="1"/>
    <n v="3.01"/>
  </r>
  <r>
    <d v="2014-02-06T00:00:00"/>
    <x v="0"/>
    <x v="0"/>
    <x v="158"/>
    <x v="20"/>
    <x v="2"/>
    <x v="8"/>
    <s v="Avery 480"/>
    <n v="15"/>
    <n v="4"/>
    <n v="7.2"/>
  </r>
  <r>
    <d v="2014-02-06T00:00:00"/>
    <x v="0"/>
    <x v="0"/>
    <x v="158"/>
    <x v="20"/>
    <x v="0"/>
    <x v="2"/>
    <s v="Aastra 57i VoIP phone"/>
    <n v="161.61000000000001"/>
    <n v="1"/>
    <n v="42.02"/>
  </r>
  <r>
    <d v="2014-02-06T00:00:00"/>
    <x v="0"/>
    <x v="0"/>
    <x v="158"/>
    <x v="20"/>
    <x v="0"/>
    <x v="2"/>
    <s v="AT&amp;T CL82213"/>
    <n v="144.94999999999999"/>
    <n v="5"/>
    <n v="42.04"/>
  </r>
  <r>
    <d v="2014-02-06T00:00:00"/>
    <x v="0"/>
    <x v="0"/>
    <x v="159"/>
    <x v="3"/>
    <x v="2"/>
    <x v="9"/>
    <s v="Avery Flip-Chart Easel Binder, Black"/>
    <n v="8.9499999999999993"/>
    <n v="2"/>
    <n v="-14.77"/>
  </r>
  <r>
    <d v="2014-04-06T00:00:00"/>
    <x v="0"/>
    <x v="2"/>
    <x v="160"/>
    <x v="13"/>
    <x v="2"/>
    <x v="9"/>
    <s v="Large Capacity Hanging Post Binders"/>
    <n v="44.91"/>
    <n v="6"/>
    <n v="-35.93"/>
  </r>
  <r>
    <d v="2014-04-06T00:00:00"/>
    <x v="0"/>
    <x v="2"/>
    <x v="161"/>
    <x v="13"/>
    <x v="2"/>
    <x v="15"/>
    <s v="Martin-Yale Premier Letter Opener"/>
    <n v="10.3"/>
    <n v="1"/>
    <n v="-2.19"/>
  </r>
  <r>
    <d v="2014-04-06T00:00:00"/>
    <x v="0"/>
    <x v="2"/>
    <x v="161"/>
    <x v="13"/>
    <x v="1"/>
    <x v="7"/>
    <s v="KI Adjustable-Height Table"/>
    <n v="154.76"/>
    <n v="3"/>
    <n v="-36.11"/>
  </r>
  <r>
    <d v="2014-04-06T00:00:00"/>
    <x v="0"/>
    <x v="2"/>
    <x v="161"/>
    <x v="13"/>
    <x v="0"/>
    <x v="0"/>
    <s v="ImationÂ Secure+ Hardware Encrypted USB 2.0Â Flash Drive; 16GB"/>
    <n v="116.78"/>
    <n v="2"/>
    <n v="21.9"/>
  </r>
  <r>
    <d v="2014-04-06T00:00:00"/>
    <x v="0"/>
    <x v="2"/>
    <x v="162"/>
    <x v="1"/>
    <x v="1"/>
    <x v="7"/>
    <s v="Chromcraft Bull-Nose Wood Round Conference Table Top, Wood Base"/>
    <n v="653.54999999999995"/>
    <n v="3"/>
    <n v="111.1"/>
  </r>
  <r>
    <d v="2014-04-06T00:00:00"/>
    <x v="0"/>
    <x v="2"/>
    <x v="162"/>
    <x v="1"/>
    <x v="0"/>
    <x v="0"/>
    <s v="Kingston Digital DataTraveler 32GB USB 2.0"/>
    <n v="33.9"/>
    <n v="2"/>
    <n v="2.0299999999999998"/>
  </r>
  <r>
    <d v="2014-04-06T00:00:00"/>
    <x v="0"/>
    <x v="2"/>
    <x v="163"/>
    <x v="5"/>
    <x v="1"/>
    <x v="5"/>
    <s v="Tenex B1-RE Series Chair Mats for Low Pile Carpets"/>
    <n v="91.96"/>
    <n v="2"/>
    <n v="15.63"/>
  </r>
  <r>
    <d v="2014-04-06T00:00:00"/>
    <x v="0"/>
    <x v="2"/>
    <x v="163"/>
    <x v="5"/>
    <x v="1"/>
    <x v="5"/>
    <s v="C-Line Cubicle Keepers Polyproplyene Holder With Velcro Backings"/>
    <n v="33.11"/>
    <n v="7"/>
    <n v="12.91"/>
  </r>
  <r>
    <d v="2014-04-06T00:00:00"/>
    <x v="0"/>
    <x v="2"/>
    <x v="163"/>
    <x v="5"/>
    <x v="2"/>
    <x v="3"/>
    <s v="Xerox 211"/>
    <n v="19.440000000000001"/>
    <n v="3"/>
    <n v="9.33"/>
  </r>
  <r>
    <d v="2014-04-06T00:00:00"/>
    <x v="0"/>
    <x v="2"/>
    <x v="163"/>
    <x v="5"/>
    <x v="2"/>
    <x v="3"/>
    <s v="Xerox 194"/>
    <n v="55.48"/>
    <n v="1"/>
    <n v="26.63"/>
  </r>
  <r>
    <d v="2014-04-06T00:00:00"/>
    <x v="0"/>
    <x v="2"/>
    <x v="164"/>
    <x v="5"/>
    <x v="2"/>
    <x v="11"/>
    <s v="Boston Home &amp; Office Model 2000 Electric Pencil Sharpeners"/>
    <n v="70.95"/>
    <n v="3"/>
    <n v="18.45"/>
  </r>
  <r>
    <d v="2014-04-06T00:00:00"/>
    <x v="0"/>
    <x v="2"/>
    <x v="164"/>
    <x v="5"/>
    <x v="2"/>
    <x v="9"/>
    <s v="Avery Trapezoid Ring Binder, 3&quot; Capacity, Black, 1040 sheets"/>
    <n v="65.569999999999993"/>
    <n v="2"/>
    <n v="23.77"/>
  </r>
  <r>
    <d v="2014-04-06T00:00:00"/>
    <x v="0"/>
    <x v="2"/>
    <x v="164"/>
    <x v="5"/>
    <x v="0"/>
    <x v="0"/>
    <s v="Razer Kraken 7.1 Surround Sound Over Ear USB Gaming Headset"/>
    <n v="299.97000000000003"/>
    <n v="3"/>
    <n v="131.99"/>
  </r>
  <r>
    <d v="2014-05-06T00:00:00"/>
    <x v="0"/>
    <x v="10"/>
    <x v="165"/>
    <x v="5"/>
    <x v="2"/>
    <x v="9"/>
    <s v="Wilson Jones Legal Size Ring Binders"/>
    <n v="140.74"/>
    <n v="8"/>
    <n v="52.78"/>
  </r>
  <r>
    <d v="2014-05-06T00:00:00"/>
    <x v="0"/>
    <x v="10"/>
    <x v="166"/>
    <x v="5"/>
    <x v="2"/>
    <x v="8"/>
    <s v="Staple-on labels"/>
    <n v="5.78"/>
    <n v="2"/>
    <n v="2.72"/>
  </r>
  <r>
    <d v="2014-05-06T00:00:00"/>
    <x v="0"/>
    <x v="10"/>
    <x v="166"/>
    <x v="5"/>
    <x v="2"/>
    <x v="11"/>
    <s v="Model L Table or Wall-Mount Pencil Sharpener"/>
    <n v="107.94"/>
    <n v="6"/>
    <n v="30.22"/>
  </r>
  <r>
    <d v="2014-06-06T00:00:00"/>
    <x v="0"/>
    <x v="3"/>
    <x v="55"/>
    <x v="2"/>
    <x v="2"/>
    <x v="11"/>
    <s v="Sanford Liquid Accent Highlighters"/>
    <n v="13.36"/>
    <n v="2"/>
    <n v="4.9400000000000004"/>
  </r>
  <r>
    <d v="2014-06-06T00:00:00"/>
    <x v="0"/>
    <x v="3"/>
    <x v="167"/>
    <x v="2"/>
    <x v="2"/>
    <x v="9"/>
    <s v="Wilson Jones Century Plastic Molded Ring Binders"/>
    <n v="149.54"/>
    <n v="9"/>
    <n v="50.47"/>
  </r>
  <r>
    <d v="2014-06-06T00:00:00"/>
    <x v="0"/>
    <x v="3"/>
    <x v="167"/>
    <x v="2"/>
    <x v="2"/>
    <x v="15"/>
    <s v="Acme Office Executive Series Stainless Steel Trimmers"/>
    <n v="17.14"/>
    <n v="2"/>
    <n v="4.46"/>
  </r>
  <r>
    <d v="2014-06-06T00:00:00"/>
    <x v="0"/>
    <x v="3"/>
    <x v="167"/>
    <x v="2"/>
    <x v="1"/>
    <x v="7"/>
    <s v="Chromcraft Bull-Nose Wood 48&quot; x 96&quot; Rectangular Conference Tables"/>
    <n v="991.76"/>
    <n v="3"/>
    <n v="-347.12"/>
  </r>
  <r>
    <d v="2014-06-06T00:00:00"/>
    <x v="0"/>
    <x v="3"/>
    <x v="168"/>
    <x v="3"/>
    <x v="2"/>
    <x v="9"/>
    <s v="Avery Trapezoid Ring Binder, 3&quot; Capacity, Black, 1040 sheets"/>
    <n v="24.59"/>
    <n v="3"/>
    <n v="-38.11"/>
  </r>
  <r>
    <d v="2014-06-06T00:00:00"/>
    <x v="0"/>
    <x v="3"/>
    <x v="168"/>
    <x v="3"/>
    <x v="2"/>
    <x v="13"/>
    <s v="#10- 4 1/8&quot; x 9 1/2&quot; Recycled Envelopes"/>
    <n v="13.98"/>
    <n v="2"/>
    <n v="4.72"/>
  </r>
  <r>
    <d v="2014-06-06T00:00:00"/>
    <x v="0"/>
    <x v="3"/>
    <x v="169"/>
    <x v="4"/>
    <x v="2"/>
    <x v="8"/>
    <s v="Round Specialty Laser Printer Labels"/>
    <n v="100.24"/>
    <n v="10"/>
    <n v="33.83"/>
  </r>
  <r>
    <d v="2014-06-06T00:00:00"/>
    <x v="0"/>
    <x v="3"/>
    <x v="46"/>
    <x v="11"/>
    <x v="2"/>
    <x v="9"/>
    <s v="Presstex Flexible Ring Binders"/>
    <n v="1.37"/>
    <n v="1"/>
    <n v="-0.91"/>
  </r>
  <r>
    <d v="2014-06-06T00:00:00"/>
    <x v="0"/>
    <x v="3"/>
    <x v="46"/>
    <x v="11"/>
    <x v="2"/>
    <x v="3"/>
    <s v="Xerox 1944"/>
    <n v="62.02"/>
    <n v="2"/>
    <n v="22.48"/>
  </r>
  <r>
    <d v="2014-07-06T00:00:00"/>
    <x v="0"/>
    <x v="4"/>
    <x v="170"/>
    <x v="2"/>
    <x v="0"/>
    <x v="12"/>
    <s v="Canon Imageclass D680 Copier / Fax"/>
    <n v="559.99"/>
    <n v="1"/>
    <n v="175"/>
  </r>
  <r>
    <d v="2014-07-06T00:00:00"/>
    <x v="0"/>
    <x v="4"/>
    <x v="171"/>
    <x v="5"/>
    <x v="1"/>
    <x v="1"/>
    <s v="Global Comet Stacking Armless Chair"/>
    <n v="478.48"/>
    <n v="2"/>
    <n v="47.85"/>
  </r>
  <r>
    <d v="2014-08-06T00:00:00"/>
    <x v="0"/>
    <x v="5"/>
    <x v="172"/>
    <x v="29"/>
    <x v="0"/>
    <x v="0"/>
    <s v="Maxell 74 Minute CD-R Spindle, 50/Pack"/>
    <n v="62.91"/>
    <n v="3"/>
    <n v="22.65"/>
  </r>
  <r>
    <d v="2014-08-06T00:00:00"/>
    <x v="0"/>
    <x v="5"/>
    <x v="173"/>
    <x v="2"/>
    <x v="0"/>
    <x v="0"/>
    <s v="Logitech G700s Rechargeable Gaming Mouse"/>
    <n v="199.98"/>
    <n v="2"/>
    <n v="83.99"/>
  </r>
  <r>
    <d v="2014-09-06T00:00:00"/>
    <x v="0"/>
    <x v="6"/>
    <x v="174"/>
    <x v="5"/>
    <x v="1"/>
    <x v="5"/>
    <s v="Eldon Expressions Wood and Plastic Desk Accessories, Cherry Wood"/>
    <n v="41.88"/>
    <n v="6"/>
    <n v="12.15"/>
  </r>
  <r>
    <d v="2014-09-06T00:00:00"/>
    <x v="0"/>
    <x v="6"/>
    <x v="174"/>
    <x v="5"/>
    <x v="2"/>
    <x v="8"/>
    <s v="Avery 516"/>
    <n v="58.48"/>
    <n v="8"/>
    <n v="27.49"/>
  </r>
  <r>
    <d v="2014-10-06T00:00:00"/>
    <x v="0"/>
    <x v="7"/>
    <x v="175"/>
    <x v="5"/>
    <x v="0"/>
    <x v="0"/>
    <s v="ImationÂ USB 2.0 SwivelÂ Flash DriveÂ USBÂ flash driveÂ - 4 GB - Pink"/>
    <n v="9.09"/>
    <n v="3"/>
    <n v="1.91"/>
  </r>
  <r>
    <d v="2014-10-06T00:00:00"/>
    <x v="0"/>
    <x v="7"/>
    <x v="176"/>
    <x v="27"/>
    <x v="2"/>
    <x v="9"/>
    <s v="GBC VeloBinder Strips"/>
    <n v="15.36"/>
    <n v="2"/>
    <n v="7.68"/>
  </r>
  <r>
    <d v="2014-10-06T00:00:00"/>
    <x v="0"/>
    <x v="7"/>
    <x v="115"/>
    <x v="13"/>
    <x v="2"/>
    <x v="6"/>
    <s v="Tennsco Lockers, Gray"/>
    <n v="83.92"/>
    <n v="5"/>
    <n v="-13.64"/>
  </r>
  <r>
    <d v="2014-10-06T00:00:00"/>
    <x v="0"/>
    <x v="7"/>
    <x v="174"/>
    <x v="33"/>
    <x v="2"/>
    <x v="6"/>
    <s v="Fellowes Staxonsteel Drawer Files"/>
    <n v="386.34"/>
    <n v="2"/>
    <n v="54.09"/>
  </r>
  <r>
    <d v="2014-11-06T00:00:00"/>
    <x v="0"/>
    <x v="8"/>
    <x v="177"/>
    <x v="19"/>
    <x v="2"/>
    <x v="3"/>
    <s v="Array Parchment Paper, Assorted Colors"/>
    <n v="43.68"/>
    <n v="6"/>
    <n v="20.97"/>
  </r>
  <r>
    <d v="2014-12-06T00:00:00"/>
    <x v="0"/>
    <x v="9"/>
    <x v="178"/>
    <x v="4"/>
    <x v="1"/>
    <x v="5"/>
    <s v="12-1/2 Diameter Round Wall Clock"/>
    <n v="23.98"/>
    <n v="3"/>
    <n v="-14.39"/>
  </r>
  <r>
    <d v="2014-12-06T00:00:00"/>
    <x v="0"/>
    <x v="9"/>
    <x v="179"/>
    <x v="16"/>
    <x v="2"/>
    <x v="6"/>
    <s v="File Shuttle I and Handi-File"/>
    <n v="53.42"/>
    <n v="3"/>
    <n v="4.67"/>
  </r>
  <r>
    <d v="2014-12-06T00:00:00"/>
    <x v="0"/>
    <x v="9"/>
    <x v="179"/>
    <x v="16"/>
    <x v="1"/>
    <x v="7"/>
    <s v="Chromcraft Bull-Nose Wood 48&quot; x 96&quot; Rectangular Conference Tables"/>
    <n v="275.49"/>
    <n v="1"/>
    <n v="-170.8"/>
  </r>
  <r>
    <d v="2014-12-06T00:00:00"/>
    <x v="0"/>
    <x v="9"/>
    <x v="82"/>
    <x v="3"/>
    <x v="2"/>
    <x v="10"/>
    <s v="Bionaire 99.97% HEPA Air Cleaner"/>
    <n v="14.02"/>
    <n v="4"/>
    <n v="-31.54"/>
  </r>
  <r>
    <d v="2014-12-06T00:00:00"/>
    <x v="0"/>
    <x v="9"/>
    <x v="82"/>
    <x v="3"/>
    <x v="1"/>
    <x v="7"/>
    <s v="KI Adjustable-Height Table"/>
    <n v="214.95"/>
    <n v="5"/>
    <n v="-120.37"/>
  </r>
  <r>
    <d v="2014-12-06T00:00:00"/>
    <x v="0"/>
    <x v="9"/>
    <x v="82"/>
    <x v="3"/>
    <x v="0"/>
    <x v="2"/>
    <s v="Shocksock Galaxy S4 Armband"/>
    <n v="35.04"/>
    <n v="4"/>
    <n v="-7.01"/>
  </r>
  <r>
    <d v="2014-12-06T00:00:00"/>
    <x v="0"/>
    <x v="9"/>
    <x v="82"/>
    <x v="3"/>
    <x v="1"/>
    <x v="5"/>
    <s v="Nu-Dell Float Frame 11 x 14 1/2"/>
    <n v="10.78"/>
    <n v="3"/>
    <n v="-4.8499999999999996"/>
  </r>
  <r>
    <d v="2014-12-06T00:00:00"/>
    <x v="0"/>
    <x v="9"/>
    <x v="82"/>
    <x v="3"/>
    <x v="2"/>
    <x v="9"/>
    <s v="Ibico Covers for Plastic or Wire Binding Elements"/>
    <n v="4.5999999999999996"/>
    <n v="2"/>
    <n v="-8.0500000000000007"/>
  </r>
  <r>
    <d v="2014-12-06T00:00:00"/>
    <x v="0"/>
    <x v="9"/>
    <x v="82"/>
    <x v="3"/>
    <x v="2"/>
    <x v="6"/>
    <s v="Rogers Deluxe File Chest"/>
    <n v="35.17"/>
    <n v="2"/>
    <n v="-8.35"/>
  </r>
  <r>
    <d v="2014-12-06T00:00:00"/>
    <x v="0"/>
    <x v="9"/>
    <x v="180"/>
    <x v="5"/>
    <x v="2"/>
    <x v="6"/>
    <s v="Standard Rollaway File with Lock"/>
    <n v="1261.33"/>
    <n v="7"/>
    <n v="327.95"/>
  </r>
  <r>
    <d v="2014-12-06T00:00:00"/>
    <x v="0"/>
    <x v="9"/>
    <x v="149"/>
    <x v="26"/>
    <x v="2"/>
    <x v="3"/>
    <s v="Xerox 1909"/>
    <n v="42.21"/>
    <n v="2"/>
    <n v="13.72"/>
  </r>
  <r>
    <d v="2014-01-07T00:00:00"/>
    <x v="0"/>
    <x v="11"/>
    <x v="181"/>
    <x v="4"/>
    <x v="1"/>
    <x v="5"/>
    <s v="Howard Miller 14-1/2&quot; Diameter Chrome Round Wall Clock"/>
    <n v="76.73"/>
    <n v="3"/>
    <n v="-53.71"/>
  </r>
  <r>
    <d v="2014-01-07T00:00:00"/>
    <x v="0"/>
    <x v="11"/>
    <x v="181"/>
    <x v="4"/>
    <x v="2"/>
    <x v="9"/>
    <s v="Acco Four Pocket Poly Ring Binder with Label Holder, Smoke, 1&quot;"/>
    <n v="10.43"/>
    <n v="7"/>
    <n v="-18.25"/>
  </r>
  <r>
    <d v="2014-02-07T00:00:00"/>
    <x v="0"/>
    <x v="0"/>
    <x v="182"/>
    <x v="8"/>
    <x v="0"/>
    <x v="0"/>
    <s v="Maxell DVD-RAM Discs"/>
    <n v="115.36"/>
    <n v="7"/>
    <n v="49.6"/>
  </r>
  <r>
    <d v="2014-02-07T00:00:00"/>
    <x v="0"/>
    <x v="0"/>
    <x v="183"/>
    <x v="2"/>
    <x v="2"/>
    <x v="6"/>
    <s v="Acco Perma 4000 Stacking Storage Drawers"/>
    <n v="64.959999999999994"/>
    <n v="4"/>
    <n v="9.74"/>
  </r>
  <r>
    <d v="2014-03-07T00:00:00"/>
    <x v="0"/>
    <x v="1"/>
    <x v="184"/>
    <x v="1"/>
    <x v="1"/>
    <x v="1"/>
    <s v="Global Push Button Manager's Chair, Indigo"/>
    <n v="48.71"/>
    <n v="1"/>
    <n v="5.48"/>
  </r>
  <r>
    <d v="2014-03-07T00:00:00"/>
    <x v="0"/>
    <x v="1"/>
    <x v="184"/>
    <x v="1"/>
    <x v="2"/>
    <x v="11"/>
    <s v="Newell 330"/>
    <n v="17.940000000000001"/>
    <n v="3"/>
    <n v="4.66"/>
  </r>
  <r>
    <d v="2014-03-07T00:00:00"/>
    <x v="0"/>
    <x v="1"/>
    <x v="184"/>
    <x v="1"/>
    <x v="2"/>
    <x v="6"/>
    <s v="Carina 42&quot;Hx23 3/4&quot;W Media Storage Unit"/>
    <n v="242.94"/>
    <n v="3"/>
    <n v="4.8600000000000003"/>
  </r>
  <r>
    <d v="2014-03-07T00:00:00"/>
    <x v="0"/>
    <x v="1"/>
    <x v="185"/>
    <x v="1"/>
    <x v="2"/>
    <x v="9"/>
    <s v="Catalog Binders with Expanding Posts"/>
    <n v="107.65"/>
    <n v="2"/>
    <n v="33.64"/>
  </r>
  <r>
    <d v="2014-03-07T00:00:00"/>
    <x v="0"/>
    <x v="1"/>
    <x v="186"/>
    <x v="1"/>
    <x v="2"/>
    <x v="11"/>
    <s v="Newell Chalk Holder"/>
    <n v="20.65"/>
    <n v="5"/>
    <n v="9.5"/>
  </r>
  <r>
    <d v="2014-03-07T00:00:00"/>
    <x v="0"/>
    <x v="1"/>
    <x v="186"/>
    <x v="1"/>
    <x v="2"/>
    <x v="6"/>
    <s v="Contico 72&quot;H Heavy-Duty Storage System"/>
    <n v="204.9"/>
    <n v="5"/>
    <n v="0"/>
  </r>
  <r>
    <d v="2014-03-07T00:00:00"/>
    <x v="0"/>
    <x v="1"/>
    <x v="186"/>
    <x v="1"/>
    <x v="1"/>
    <x v="1"/>
    <s v="Office Star - Task Chair with Contemporary Loop Arms"/>
    <n v="436.7"/>
    <n v="6"/>
    <n v="21.84"/>
  </r>
  <r>
    <d v="2014-03-07T00:00:00"/>
    <x v="0"/>
    <x v="1"/>
    <x v="186"/>
    <x v="1"/>
    <x v="1"/>
    <x v="1"/>
    <s v="Global Leather and Oak Executive Chair, Black"/>
    <n v="481.57"/>
    <n v="2"/>
    <n v="54.18"/>
  </r>
  <r>
    <d v="2014-04-07T00:00:00"/>
    <x v="0"/>
    <x v="2"/>
    <x v="187"/>
    <x v="34"/>
    <x v="1"/>
    <x v="5"/>
    <s v="Stacking Tray, Side-Loading, Legal, Smoke"/>
    <n v="8.9600000000000009"/>
    <n v="2"/>
    <n v="2.78"/>
  </r>
  <r>
    <d v="2014-04-07T00:00:00"/>
    <x v="0"/>
    <x v="2"/>
    <x v="180"/>
    <x v="29"/>
    <x v="0"/>
    <x v="2"/>
    <s v="AT&amp;T TR1909W"/>
    <n v="629.95000000000005"/>
    <n v="5"/>
    <n v="163.79"/>
  </r>
  <r>
    <d v="2014-04-07T00:00:00"/>
    <x v="0"/>
    <x v="2"/>
    <x v="180"/>
    <x v="29"/>
    <x v="2"/>
    <x v="3"/>
    <s v="Xerox 1945"/>
    <n v="122.97"/>
    <n v="3"/>
    <n v="60.26"/>
  </r>
  <r>
    <d v="2014-04-07T00:00:00"/>
    <x v="0"/>
    <x v="2"/>
    <x v="188"/>
    <x v="19"/>
    <x v="2"/>
    <x v="3"/>
    <s v="Xerox 226"/>
    <n v="58.32"/>
    <n v="9"/>
    <n v="27.99"/>
  </r>
  <r>
    <d v="2014-04-07T00:00:00"/>
    <x v="0"/>
    <x v="2"/>
    <x v="188"/>
    <x v="19"/>
    <x v="0"/>
    <x v="2"/>
    <s v="RCA Visys Integrated PBX 8-Line Router"/>
    <n v="200.97"/>
    <n v="3"/>
    <n v="50.24"/>
  </r>
  <r>
    <d v="2014-05-07T00:00:00"/>
    <x v="0"/>
    <x v="10"/>
    <x v="189"/>
    <x v="6"/>
    <x v="2"/>
    <x v="9"/>
    <s v="Acco PRESSTEX Data Binder with Storage Hooks, Dark Blue, 14 7/8&quot; X 11&quot;"/>
    <n v="16.14"/>
    <n v="3"/>
    <n v="7.91"/>
  </r>
  <r>
    <d v="2014-05-07T00:00:00"/>
    <x v="0"/>
    <x v="10"/>
    <x v="189"/>
    <x v="6"/>
    <x v="1"/>
    <x v="7"/>
    <s v="Balt Split Level Computer Training Table"/>
    <n v="194.25"/>
    <n v="2"/>
    <n v="-38.85"/>
  </r>
  <r>
    <d v="2014-05-07T00:00:00"/>
    <x v="0"/>
    <x v="10"/>
    <x v="189"/>
    <x v="6"/>
    <x v="2"/>
    <x v="11"/>
    <s v="Newell 335"/>
    <n v="8.64"/>
    <n v="3"/>
    <n v="2.5099999999999998"/>
  </r>
  <r>
    <d v="2014-05-07T00:00:00"/>
    <x v="0"/>
    <x v="10"/>
    <x v="189"/>
    <x v="6"/>
    <x v="1"/>
    <x v="1"/>
    <s v="Lifetime Advantage Folding Chairs, 4/Carton"/>
    <n v="872.32"/>
    <n v="4"/>
    <n v="244.25"/>
  </r>
  <r>
    <d v="2014-06-07T00:00:00"/>
    <x v="0"/>
    <x v="3"/>
    <x v="190"/>
    <x v="3"/>
    <x v="2"/>
    <x v="9"/>
    <s v="Wilson Jones Century Plastic Molded Ring Binders"/>
    <n v="12.46"/>
    <n v="3"/>
    <n v="-20.56"/>
  </r>
  <r>
    <d v="2014-06-07T00:00:00"/>
    <x v="0"/>
    <x v="3"/>
    <x v="191"/>
    <x v="3"/>
    <x v="1"/>
    <x v="7"/>
    <s v="Bevis Round Conference Table Top, X-Base"/>
    <n v="268.94"/>
    <n v="3"/>
    <n v="-209.77"/>
  </r>
  <r>
    <d v="2014-07-07T00:00:00"/>
    <x v="0"/>
    <x v="4"/>
    <x v="192"/>
    <x v="13"/>
    <x v="1"/>
    <x v="1"/>
    <s v="Global High-Back Leather Tilter, Burgundy"/>
    <n v="172.19"/>
    <n v="2"/>
    <n v="-46.74"/>
  </r>
  <r>
    <d v="2014-07-07T00:00:00"/>
    <x v="0"/>
    <x v="4"/>
    <x v="192"/>
    <x v="13"/>
    <x v="1"/>
    <x v="5"/>
    <s v="Howard Miller 11-1/2&quot; Diameter Grantwood Wall Clock"/>
    <n v="69.010000000000005"/>
    <n v="2"/>
    <n v="12.08"/>
  </r>
  <r>
    <d v="2014-09-07T00:00:00"/>
    <x v="0"/>
    <x v="6"/>
    <x v="193"/>
    <x v="13"/>
    <x v="2"/>
    <x v="6"/>
    <s v="Carina 42&quot;Hx23 3/4&quot;W Media Storage Unit"/>
    <n v="64.78"/>
    <n v="1"/>
    <n v="-14.58"/>
  </r>
  <r>
    <d v="2014-09-07T00:00:00"/>
    <x v="0"/>
    <x v="6"/>
    <x v="193"/>
    <x v="13"/>
    <x v="0"/>
    <x v="2"/>
    <s v="invisibleSHIELD by ZAGG Smudge-Free Screen Protector"/>
    <n v="32.380000000000003"/>
    <n v="3"/>
    <n v="4.32"/>
  </r>
  <r>
    <d v="2014-09-07T00:00:00"/>
    <x v="0"/>
    <x v="6"/>
    <x v="193"/>
    <x v="13"/>
    <x v="1"/>
    <x v="5"/>
    <s v="DAX Natural Wood-Tone Poster Frame"/>
    <n v="42.37"/>
    <n v="2"/>
    <n v="8.4700000000000006"/>
  </r>
  <r>
    <d v="2014-09-07T00:00:00"/>
    <x v="0"/>
    <x v="6"/>
    <x v="193"/>
    <x v="13"/>
    <x v="0"/>
    <x v="14"/>
    <s v="StarTech.com 10/100 VDSL2 Ethernet Extender Kit"/>
    <n v="399.54"/>
    <n v="4"/>
    <n v="-559.36"/>
  </r>
  <r>
    <d v="2014-09-07T00:00:00"/>
    <x v="0"/>
    <x v="6"/>
    <x v="70"/>
    <x v="28"/>
    <x v="1"/>
    <x v="5"/>
    <s v="Executive Impressions 13&quot; Clairmont Wall Clock"/>
    <n v="57.69"/>
    <n v="3"/>
    <n v="23.65"/>
  </r>
  <r>
    <d v="2014-09-07T00:00:00"/>
    <x v="0"/>
    <x v="6"/>
    <x v="70"/>
    <x v="28"/>
    <x v="2"/>
    <x v="9"/>
    <s v="GBC Laser Imprintable Binding System Covers, Desert Sand"/>
    <n v="42.81"/>
    <n v="3"/>
    <n v="20.12"/>
  </r>
  <r>
    <d v="2014-09-07T00:00:00"/>
    <x v="0"/>
    <x v="6"/>
    <x v="70"/>
    <x v="28"/>
    <x v="2"/>
    <x v="3"/>
    <s v="Xerox 2000"/>
    <n v="12.96"/>
    <n v="2"/>
    <n v="6.22"/>
  </r>
  <r>
    <d v="2014-09-07T00:00:00"/>
    <x v="0"/>
    <x v="6"/>
    <x v="70"/>
    <x v="28"/>
    <x v="1"/>
    <x v="5"/>
    <s v="3M Polarizing Task Lamp with Clamp Arm, Light Gray"/>
    <n v="821.88"/>
    <n v="6"/>
    <n v="213.69"/>
  </r>
  <r>
    <d v="2014-09-07T00:00:00"/>
    <x v="0"/>
    <x v="6"/>
    <x v="70"/>
    <x v="28"/>
    <x v="0"/>
    <x v="2"/>
    <s v="Plantronics CordlessÂ Phone HeadsetÂ with In-line Volume - M214C"/>
    <n v="104.85"/>
    <n v="3"/>
    <n v="28.31"/>
  </r>
  <r>
    <d v="2014-09-07T00:00:00"/>
    <x v="0"/>
    <x v="6"/>
    <x v="194"/>
    <x v="2"/>
    <x v="0"/>
    <x v="2"/>
    <s v="AT&amp;T EL51110 DECT"/>
    <n v="377.97"/>
    <n v="3"/>
    <n v="109.61"/>
  </r>
  <r>
    <d v="2014-09-07T00:00:00"/>
    <x v="0"/>
    <x v="6"/>
    <x v="120"/>
    <x v="4"/>
    <x v="0"/>
    <x v="2"/>
    <s v="Panasonic KX TS3282B Corded phone"/>
    <n v="196.78"/>
    <n v="3"/>
    <n v="14.76"/>
  </r>
  <r>
    <d v="2014-09-07T00:00:00"/>
    <x v="0"/>
    <x v="6"/>
    <x v="120"/>
    <x v="4"/>
    <x v="2"/>
    <x v="9"/>
    <s v="Angle-D Binders with Locking Rings, Label Holders"/>
    <n v="2.92"/>
    <n v="2"/>
    <n v="-4.82"/>
  </r>
  <r>
    <d v="2014-09-07T00:00:00"/>
    <x v="0"/>
    <x v="6"/>
    <x v="120"/>
    <x v="4"/>
    <x v="1"/>
    <x v="7"/>
    <s v="Riverside Furniture Oval Coffee Table, Oval End Table, End Table with Drawer"/>
    <n v="200.8"/>
    <n v="1"/>
    <n v="-22.95"/>
  </r>
  <r>
    <d v="2014-09-07T00:00:00"/>
    <x v="0"/>
    <x v="6"/>
    <x v="120"/>
    <x v="4"/>
    <x v="0"/>
    <x v="0"/>
    <s v="Belkin Standard 104 key USB Keyboard"/>
    <n v="46.69"/>
    <n v="4"/>
    <n v="-2.92"/>
  </r>
  <r>
    <d v="2014-09-07T00:00:00"/>
    <x v="0"/>
    <x v="6"/>
    <x v="120"/>
    <x v="4"/>
    <x v="2"/>
    <x v="11"/>
    <s v="Dixon Ticonderoga Core-Lock Colored Pencils"/>
    <n v="21.86"/>
    <n v="3"/>
    <n v="3.55"/>
  </r>
  <r>
    <d v="2014-09-07T00:00:00"/>
    <x v="0"/>
    <x v="6"/>
    <x v="195"/>
    <x v="28"/>
    <x v="1"/>
    <x v="7"/>
    <s v="KI Adjustable-Height Table"/>
    <n v="429.9"/>
    <n v="5"/>
    <n v="111.77"/>
  </r>
  <r>
    <d v="2014-09-07T00:00:00"/>
    <x v="0"/>
    <x v="6"/>
    <x v="195"/>
    <x v="28"/>
    <x v="2"/>
    <x v="9"/>
    <s v="Avery Recycled Flexi-View Covers for Binding Systems"/>
    <n v="32.06"/>
    <n v="2"/>
    <n v="15.39"/>
  </r>
  <r>
    <d v="2014-09-07T00:00:00"/>
    <x v="0"/>
    <x v="6"/>
    <x v="195"/>
    <x v="28"/>
    <x v="1"/>
    <x v="1"/>
    <s v="Padded Folding Chairs, Black, 4/Carton"/>
    <n v="161.96"/>
    <n v="2"/>
    <n v="45.35"/>
  </r>
  <r>
    <d v="2014-09-07T00:00:00"/>
    <x v="0"/>
    <x v="6"/>
    <x v="195"/>
    <x v="28"/>
    <x v="2"/>
    <x v="6"/>
    <s v="Akro-Mils 12-Gallon Tote"/>
    <n v="19.86"/>
    <n v="2"/>
    <n v="5.76"/>
  </r>
  <r>
    <d v="2014-09-07T00:00:00"/>
    <x v="0"/>
    <x v="6"/>
    <x v="196"/>
    <x v="5"/>
    <x v="2"/>
    <x v="15"/>
    <s v="Acme Design Line 8&quot; Stainless Steel Bent Scissors w/Champagne Handles, 3-1/8&quot; Cut"/>
    <n v="27.36"/>
    <n v="4"/>
    <n v="7.39"/>
  </r>
  <r>
    <d v="2014-09-07T00:00:00"/>
    <x v="0"/>
    <x v="6"/>
    <x v="196"/>
    <x v="5"/>
    <x v="2"/>
    <x v="3"/>
    <s v="Message Book, Wirebound, Four 5 1/2&quot; X 4&quot; Forms/Pg., 200 Dupl. Sets/Book"/>
    <n v="20.56"/>
    <n v="2"/>
    <n v="9.66"/>
  </r>
  <r>
    <d v="2014-09-07T00:00:00"/>
    <x v="0"/>
    <x v="6"/>
    <x v="196"/>
    <x v="5"/>
    <x v="2"/>
    <x v="9"/>
    <s v="Avery Legal 4-Ring Binder"/>
    <n v="83.92"/>
    <n v="5"/>
    <n v="31.47"/>
  </r>
  <r>
    <d v="2014-09-07T00:00:00"/>
    <x v="0"/>
    <x v="6"/>
    <x v="197"/>
    <x v="3"/>
    <x v="2"/>
    <x v="4"/>
    <s v="Acco Hot Clips Clips to Go"/>
    <n v="13.16"/>
    <n v="5"/>
    <n v="4.1100000000000003"/>
  </r>
  <r>
    <d v="2014-09-07T00:00:00"/>
    <x v="0"/>
    <x v="6"/>
    <x v="197"/>
    <x v="3"/>
    <x v="2"/>
    <x v="9"/>
    <s v="Avery Heavy-Duty EZD View Binder with Locking Rings"/>
    <n v="3.83"/>
    <n v="3"/>
    <n v="-6.51"/>
  </r>
  <r>
    <d v="2014-09-07T00:00:00"/>
    <x v="0"/>
    <x v="6"/>
    <x v="197"/>
    <x v="3"/>
    <x v="2"/>
    <x v="9"/>
    <s v="Ibico Hi-Tech Manual Binding System"/>
    <n v="304.99"/>
    <n v="5"/>
    <n v="-533.73"/>
  </r>
  <r>
    <d v="2014-10-07T00:00:00"/>
    <x v="0"/>
    <x v="7"/>
    <x v="85"/>
    <x v="13"/>
    <x v="1"/>
    <x v="5"/>
    <s v="Seth Thomas 16&quot; Steel Case Clock"/>
    <n v="129.91999999999999"/>
    <n v="5"/>
    <n v="21.11"/>
  </r>
  <r>
    <d v="2014-10-07T00:00:00"/>
    <x v="0"/>
    <x v="7"/>
    <x v="127"/>
    <x v="4"/>
    <x v="2"/>
    <x v="6"/>
    <s v="Fellowes Personal Hanging Folder Files, Navy"/>
    <n v="107.44"/>
    <n v="10"/>
    <n v="10.74"/>
  </r>
  <r>
    <d v="2014-11-07T00:00:00"/>
    <x v="0"/>
    <x v="8"/>
    <x v="198"/>
    <x v="4"/>
    <x v="2"/>
    <x v="9"/>
    <s v="Satellite Sectional Post Binders"/>
    <n v="26.05"/>
    <n v="3"/>
    <n v="-44.28"/>
  </r>
  <r>
    <d v="2014-11-07T00:00:00"/>
    <x v="0"/>
    <x v="8"/>
    <x v="198"/>
    <x v="4"/>
    <x v="2"/>
    <x v="13"/>
    <s v="Staple envelope"/>
    <n v="74.349999999999994"/>
    <n v="3"/>
    <n v="26.95"/>
  </r>
  <r>
    <d v="2014-11-07T00:00:00"/>
    <x v="0"/>
    <x v="8"/>
    <x v="19"/>
    <x v="5"/>
    <x v="2"/>
    <x v="9"/>
    <s v="Wilson Jones Legal Size Ring Binders"/>
    <n v="123.14"/>
    <n v="7"/>
    <n v="46.18"/>
  </r>
  <r>
    <d v="2014-11-07T00:00:00"/>
    <x v="0"/>
    <x v="8"/>
    <x v="78"/>
    <x v="4"/>
    <x v="1"/>
    <x v="1"/>
    <s v="Hon Deluxe Fabric Upholstered Stacking Chairs, Squared Back"/>
    <n v="683.14"/>
    <n v="4"/>
    <n v="0"/>
  </r>
  <r>
    <d v="2014-11-07T00:00:00"/>
    <x v="0"/>
    <x v="8"/>
    <x v="78"/>
    <x v="4"/>
    <x v="2"/>
    <x v="9"/>
    <s v="Avery Triangle Shaped Sheet Lifters, Black, 2/Pack"/>
    <n v="1.48"/>
    <n v="3"/>
    <n v="-2.21"/>
  </r>
  <r>
    <d v="2014-11-07T00:00:00"/>
    <x v="0"/>
    <x v="8"/>
    <x v="78"/>
    <x v="4"/>
    <x v="2"/>
    <x v="15"/>
    <s v="Acme Stainless Steel Office Snips"/>
    <n v="40.71"/>
    <n v="7"/>
    <n v="3.56"/>
  </r>
  <r>
    <d v="2014-11-07T00:00:00"/>
    <x v="0"/>
    <x v="8"/>
    <x v="199"/>
    <x v="0"/>
    <x v="2"/>
    <x v="10"/>
    <s v="Belkin 8 Outlet Surge Protector"/>
    <n v="245.88"/>
    <n v="6"/>
    <n v="68.849999999999994"/>
  </r>
  <r>
    <d v="2014-11-07T00:00:00"/>
    <x v="0"/>
    <x v="8"/>
    <x v="199"/>
    <x v="0"/>
    <x v="2"/>
    <x v="6"/>
    <s v="Portable Personal File Box"/>
    <n v="36.630000000000003"/>
    <n v="3"/>
    <n v="9.89"/>
  </r>
  <r>
    <d v="2014-11-07T00:00:00"/>
    <x v="0"/>
    <x v="8"/>
    <x v="199"/>
    <x v="0"/>
    <x v="2"/>
    <x v="6"/>
    <s v="X-Rack File for Hanging Folders"/>
    <n v="22.58"/>
    <n v="2"/>
    <n v="5.87"/>
  </r>
  <r>
    <d v="2014-11-07T00:00:00"/>
    <x v="0"/>
    <x v="8"/>
    <x v="199"/>
    <x v="0"/>
    <x v="2"/>
    <x v="9"/>
    <s v="ACCOHIDE 3-Ring Binder, Blue, 1&quot;"/>
    <n v="12.39"/>
    <n v="3"/>
    <n v="5.82"/>
  </r>
  <r>
    <d v="2014-11-07T00:00:00"/>
    <x v="0"/>
    <x v="8"/>
    <x v="190"/>
    <x v="2"/>
    <x v="2"/>
    <x v="4"/>
    <s v="Binder Clips by OIC"/>
    <n v="5.92"/>
    <n v="4"/>
    <n v="2.84"/>
  </r>
  <r>
    <d v="2014-11-07T00:00:00"/>
    <x v="0"/>
    <x v="8"/>
    <x v="190"/>
    <x v="2"/>
    <x v="2"/>
    <x v="3"/>
    <s v="Riverleaf Stik-Withit Designer Note Cubes"/>
    <n v="30.18"/>
    <n v="3"/>
    <n v="13.88"/>
  </r>
  <r>
    <d v="2014-11-07T00:00:00"/>
    <x v="0"/>
    <x v="8"/>
    <x v="200"/>
    <x v="16"/>
    <x v="2"/>
    <x v="3"/>
    <s v="Xerox 1995"/>
    <n v="25.92"/>
    <n v="5"/>
    <n v="9.07"/>
  </r>
  <r>
    <d v="2014-11-07T00:00:00"/>
    <x v="0"/>
    <x v="8"/>
    <x v="200"/>
    <x v="16"/>
    <x v="2"/>
    <x v="11"/>
    <s v="Panasonic KP-150 Electric Pencil Sharpener"/>
    <n v="120.77"/>
    <n v="4"/>
    <n v="9.06"/>
  </r>
  <r>
    <d v="2014-12-07T00:00:00"/>
    <x v="0"/>
    <x v="9"/>
    <x v="58"/>
    <x v="20"/>
    <x v="2"/>
    <x v="3"/>
    <s v="Xerox 1909"/>
    <n v="105.52"/>
    <n v="4"/>
    <n v="48.54"/>
  </r>
  <r>
    <d v="2014-12-07T00:00:00"/>
    <x v="0"/>
    <x v="9"/>
    <x v="201"/>
    <x v="5"/>
    <x v="2"/>
    <x v="11"/>
    <s v="Newell 32"/>
    <n v="8.64"/>
    <n v="3"/>
    <n v="2.42"/>
  </r>
  <r>
    <d v="2014-12-07T00:00:00"/>
    <x v="0"/>
    <x v="9"/>
    <x v="16"/>
    <x v="1"/>
    <x v="2"/>
    <x v="6"/>
    <s v="Advantus Rolling Drawer Organizers"/>
    <n v="269.36"/>
    <n v="7"/>
    <n v="70.03"/>
  </r>
  <r>
    <d v="2014-12-07T00:00:00"/>
    <x v="0"/>
    <x v="9"/>
    <x v="202"/>
    <x v="5"/>
    <x v="2"/>
    <x v="3"/>
    <s v="Green Bar Computer Printout Paper"/>
    <n v="164.88"/>
    <n v="3"/>
    <n v="80.790000000000006"/>
  </r>
  <r>
    <d v="2014-02-08T00:00:00"/>
    <x v="0"/>
    <x v="0"/>
    <x v="117"/>
    <x v="14"/>
    <x v="1"/>
    <x v="5"/>
    <s v="Master Caster Door Stop, Large Brown"/>
    <n v="14.56"/>
    <n v="2"/>
    <n v="5.53"/>
  </r>
  <r>
    <d v="2014-04-08T00:00:00"/>
    <x v="0"/>
    <x v="2"/>
    <x v="203"/>
    <x v="23"/>
    <x v="2"/>
    <x v="4"/>
    <s v="Binder Clips by OIC"/>
    <n v="2.37"/>
    <n v="2"/>
    <n v="0.83"/>
  </r>
  <r>
    <d v="2014-04-08T00:00:00"/>
    <x v="0"/>
    <x v="2"/>
    <x v="203"/>
    <x v="23"/>
    <x v="2"/>
    <x v="3"/>
    <s v="Things To Do Today Spiral Book"/>
    <n v="19.010000000000002"/>
    <n v="3"/>
    <n v="6.89"/>
  </r>
  <r>
    <d v="2014-04-08T00:00:00"/>
    <x v="0"/>
    <x v="2"/>
    <x v="204"/>
    <x v="34"/>
    <x v="1"/>
    <x v="7"/>
    <s v="SAFCO PlanMaster Boards, 60w x 37-1/2d, White Melamine"/>
    <n v="1215.92"/>
    <n v="8"/>
    <n v="316.14"/>
  </r>
  <r>
    <d v="2014-04-08T00:00:00"/>
    <x v="0"/>
    <x v="2"/>
    <x v="205"/>
    <x v="23"/>
    <x v="2"/>
    <x v="4"/>
    <s v="Alliance Super-Size Bands, Assorted Sizes"/>
    <n v="49.79"/>
    <n v="8"/>
    <n v="-11.83"/>
  </r>
  <r>
    <d v="2014-04-08T00:00:00"/>
    <x v="0"/>
    <x v="2"/>
    <x v="117"/>
    <x v="5"/>
    <x v="1"/>
    <x v="7"/>
    <s v="Bevis 36 x 72 Conference Tables"/>
    <n v="99.59"/>
    <n v="1"/>
    <n v="2.4900000000000002"/>
  </r>
  <r>
    <d v="2014-04-08T00:00:00"/>
    <x v="0"/>
    <x v="2"/>
    <x v="117"/>
    <x v="5"/>
    <x v="0"/>
    <x v="0"/>
    <s v="Logitech Wireless Headset h800"/>
    <n v="399.96"/>
    <n v="4"/>
    <n v="139.99"/>
  </r>
  <r>
    <d v="2014-04-08T00:00:00"/>
    <x v="0"/>
    <x v="2"/>
    <x v="206"/>
    <x v="18"/>
    <x v="1"/>
    <x v="7"/>
    <s v="Riverside Furniture Stanwyck Manor Table Series"/>
    <n v="172.11"/>
    <n v="1"/>
    <n v="-94.66"/>
  </r>
  <r>
    <d v="2014-05-08T00:00:00"/>
    <x v="0"/>
    <x v="10"/>
    <x v="207"/>
    <x v="13"/>
    <x v="0"/>
    <x v="12"/>
    <s v="Hewlett Packard LaserJet 3310 Copier"/>
    <n v="1799.97"/>
    <n v="5"/>
    <n v="240"/>
  </r>
  <r>
    <d v="2014-06-08T00:00:00"/>
    <x v="0"/>
    <x v="3"/>
    <x v="208"/>
    <x v="1"/>
    <x v="1"/>
    <x v="1"/>
    <s v="Hon Deluxe Fabric Upholstered Stacking Chairs, Squared Back"/>
    <n v="585.54999999999995"/>
    <n v="3"/>
    <n v="73.19"/>
  </r>
  <r>
    <d v="2014-06-08T00:00:00"/>
    <x v="0"/>
    <x v="3"/>
    <x v="75"/>
    <x v="26"/>
    <x v="1"/>
    <x v="1"/>
    <s v="Situations Contoured Folding Chairs, 4/Set"/>
    <n v="170.35"/>
    <n v="3"/>
    <n v="10.65"/>
  </r>
  <r>
    <d v="2014-06-08T00:00:00"/>
    <x v="0"/>
    <x v="3"/>
    <x v="209"/>
    <x v="2"/>
    <x v="2"/>
    <x v="9"/>
    <s v="Green Canvas Binder for 8-1/2&quot; x 14&quot; Sheets"/>
    <n v="68.48"/>
    <n v="2"/>
    <n v="25.68"/>
  </r>
  <r>
    <d v="2014-06-08T00:00:00"/>
    <x v="0"/>
    <x v="3"/>
    <x v="209"/>
    <x v="2"/>
    <x v="2"/>
    <x v="6"/>
    <s v="Tennsco Snap-Together Open Shelving Units, Starter Sets and Add-On Units"/>
    <n v="1676.88"/>
    <n v="6"/>
    <n v="83.84"/>
  </r>
  <r>
    <d v="2014-07-08T00:00:00"/>
    <x v="0"/>
    <x v="4"/>
    <x v="210"/>
    <x v="2"/>
    <x v="1"/>
    <x v="1"/>
    <s v="Situations Contoured Folding Chairs, 4/Set"/>
    <n v="63.88"/>
    <n v="1"/>
    <n v="10.65"/>
  </r>
  <r>
    <d v="2014-07-08T00:00:00"/>
    <x v="0"/>
    <x v="4"/>
    <x v="211"/>
    <x v="5"/>
    <x v="1"/>
    <x v="7"/>
    <s v="Hon 2111 Invitation Series Corner Table"/>
    <n v="502.49"/>
    <n v="3"/>
    <n v="-87.94"/>
  </r>
  <r>
    <d v="2014-07-08T00:00:00"/>
    <x v="0"/>
    <x v="4"/>
    <x v="211"/>
    <x v="5"/>
    <x v="2"/>
    <x v="9"/>
    <s v="Wilson Jones Ledger-Size, Piano-Hinge Binder, 2&quot;, Blue"/>
    <n v="196.7"/>
    <n v="6"/>
    <n v="68.849999999999994"/>
  </r>
  <r>
    <d v="2014-08-08T00:00:00"/>
    <x v="0"/>
    <x v="5"/>
    <x v="212"/>
    <x v="5"/>
    <x v="2"/>
    <x v="10"/>
    <s v="Fellowes Superior 10 Outlet Split Surge Protector"/>
    <n v="76.12"/>
    <n v="2"/>
    <n v="22.07"/>
  </r>
  <r>
    <d v="2014-08-08T00:00:00"/>
    <x v="0"/>
    <x v="5"/>
    <x v="212"/>
    <x v="5"/>
    <x v="0"/>
    <x v="12"/>
    <s v="Sharp AL-1530CS Digital Copier"/>
    <n v="1199.98"/>
    <n v="3"/>
    <n v="434.99"/>
  </r>
  <r>
    <d v="2014-08-08T00:00:00"/>
    <x v="0"/>
    <x v="5"/>
    <x v="212"/>
    <x v="5"/>
    <x v="0"/>
    <x v="2"/>
    <s v="AT&amp;T 1070 Corded Phone"/>
    <n v="445.96"/>
    <n v="5"/>
    <n v="55.75"/>
  </r>
  <r>
    <d v="2014-08-08T00:00:00"/>
    <x v="0"/>
    <x v="5"/>
    <x v="212"/>
    <x v="5"/>
    <x v="1"/>
    <x v="5"/>
    <s v="Dana Halogen Swing-Arm Architect Lamp"/>
    <n v="327.76"/>
    <n v="8"/>
    <n v="91.77"/>
  </r>
  <r>
    <d v="2014-08-08T00:00:00"/>
    <x v="0"/>
    <x v="5"/>
    <x v="213"/>
    <x v="23"/>
    <x v="1"/>
    <x v="5"/>
    <s v="Eldon Delta Triangular Chair Mat, 52&quot; x 58&quot;, Clear"/>
    <n v="121.38"/>
    <n v="4"/>
    <n v="-3.03"/>
  </r>
  <r>
    <d v="2014-08-08T00:00:00"/>
    <x v="0"/>
    <x v="5"/>
    <x v="213"/>
    <x v="23"/>
    <x v="0"/>
    <x v="0"/>
    <s v="SanDisk Ultra 64 GB MicroSDHC Class 10 Memory Card"/>
    <n v="95.98"/>
    <n v="3"/>
    <n v="-10.8"/>
  </r>
  <r>
    <d v="2014-08-08T00:00:00"/>
    <x v="0"/>
    <x v="5"/>
    <x v="214"/>
    <x v="5"/>
    <x v="2"/>
    <x v="6"/>
    <s v="Advantus Rolling Drawer Organizers"/>
    <n v="423.28"/>
    <n v="11"/>
    <n v="110.05"/>
  </r>
  <r>
    <d v="2014-08-08T00:00:00"/>
    <x v="0"/>
    <x v="5"/>
    <x v="215"/>
    <x v="10"/>
    <x v="0"/>
    <x v="12"/>
    <s v="Sharp 1540cs Digital Laser Copier"/>
    <n v="549.99"/>
    <n v="1"/>
    <n v="275"/>
  </r>
  <r>
    <d v="2014-08-08T00:00:00"/>
    <x v="0"/>
    <x v="5"/>
    <x v="215"/>
    <x v="10"/>
    <x v="2"/>
    <x v="10"/>
    <s v="Acco Smartsocket Table Surge Protector, 6 Color-Coded Adapter Outlets"/>
    <n v="167.54"/>
    <n v="3"/>
    <n v="37.229999999999997"/>
  </r>
  <r>
    <d v="2014-08-08T00:00:00"/>
    <x v="0"/>
    <x v="5"/>
    <x v="215"/>
    <x v="10"/>
    <x v="2"/>
    <x v="13"/>
    <s v="Globe Weis Peel &amp; Seel First Class Envelopes"/>
    <n v="38.340000000000003"/>
    <n v="3"/>
    <n v="17.25"/>
  </r>
  <r>
    <d v="2014-08-08T00:00:00"/>
    <x v="0"/>
    <x v="5"/>
    <x v="215"/>
    <x v="10"/>
    <x v="1"/>
    <x v="5"/>
    <s v="Nu-Dell Float Frame 11 x 14 1/2"/>
    <n v="53.88"/>
    <n v="6"/>
    <n v="22.63"/>
  </r>
  <r>
    <d v="2014-08-08T00:00:00"/>
    <x v="0"/>
    <x v="5"/>
    <x v="215"/>
    <x v="10"/>
    <x v="0"/>
    <x v="2"/>
    <s v="Motorola Droid Maxx"/>
    <n v="299.98"/>
    <n v="2"/>
    <n v="83.99"/>
  </r>
  <r>
    <d v="2014-08-08T00:00:00"/>
    <x v="0"/>
    <x v="5"/>
    <x v="216"/>
    <x v="11"/>
    <x v="1"/>
    <x v="16"/>
    <s v="O'Sullivan 2-Shelf Heavy-Duty Bookcases"/>
    <n v="155.46"/>
    <n v="4"/>
    <n v="-7.77"/>
  </r>
  <r>
    <d v="2014-09-08T00:00:00"/>
    <x v="0"/>
    <x v="6"/>
    <x v="217"/>
    <x v="4"/>
    <x v="2"/>
    <x v="11"/>
    <s v="BIC Brite Liner Highlighters"/>
    <n v="9.94"/>
    <n v="3"/>
    <n v="2.73"/>
  </r>
  <r>
    <d v="2014-09-08T00:00:00"/>
    <x v="0"/>
    <x v="6"/>
    <x v="217"/>
    <x v="4"/>
    <x v="0"/>
    <x v="14"/>
    <s v="Lexmark MX611dhe Monochrome Laser Printer"/>
    <n v="8159.95"/>
    <n v="8"/>
    <n v="-1359.99"/>
  </r>
  <r>
    <d v="2014-09-08T00:00:00"/>
    <x v="0"/>
    <x v="6"/>
    <x v="217"/>
    <x v="4"/>
    <x v="2"/>
    <x v="6"/>
    <s v="Space Solutions HD Industrial Steel Shelving."/>
    <n v="275.93"/>
    <n v="3"/>
    <n v="-58.63"/>
  </r>
  <r>
    <d v="2014-09-08T00:00:00"/>
    <x v="0"/>
    <x v="6"/>
    <x v="217"/>
    <x v="4"/>
    <x v="1"/>
    <x v="1"/>
    <s v="SAFCO Arco Folding Chair"/>
    <n v="1740.06"/>
    <n v="9"/>
    <n v="-24.86"/>
  </r>
  <r>
    <d v="2014-09-08T00:00:00"/>
    <x v="0"/>
    <x v="6"/>
    <x v="217"/>
    <x v="4"/>
    <x v="2"/>
    <x v="11"/>
    <s v="Sanford Liquid Accent Highlighters"/>
    <n v="32.06"/>
    <n v="6"/>
    <n v="6.81"/>
  </r>
  <r>
    <d v="2014-09-08T00:00:00"/>
    <x v="0"/>
    <x v="6"/>
    <x v="217"/>
    <x v="4"/>
    <x v="2"/>
    <x v="10"/>
    <s v="Kensington 7 Outlet MasterPiece Power Center"/>
    <n v="177.98"/>
    <n v="5"/>
    <n v="-453.85"/>
  </r>
  <r>
    <d v="2014-09-08T00:00:00"/>
    <x v="0"/>
    <x v="6"/>
    <x v="217"/>
    <x v="4"/>
    <x v="0"/>
    <x v="2"/>
    <s v="JBL Micro Wireless Portable Bluetooth Speaker"/>
    <n v="143.97999999999999"/>
    <n v="3"/>
    <n v="9"/>
  </r>
  <r>
    <d v="2014-09-08T00:00:00"/>
    <x v="0"/>
    <x v="6"/>
    <x v="141"/>
    <x v="5"/>
    <x v="0"/>
    <x v="0"/>
    <s v="Logitech Wireless Touch Keyboard K400"/>
    <n v="49.98"/>
    <n v="2"/>
    <n v="8.5"/>
  </r>
  <r>
    <d v="2014-09-08T00:00:00"/>
    <x v="0"/>
    <x v="6"/>
    <x v="218"/>
    <x v="4"/>
    <x v="2"/>
    <x v="9"/>
    <s v="GBC ProClick Punch Binding System"/>
    <n v="51.18"/>
    <n v="4"/>
    <n v="-79.34"/>
  </r>
  <r>
    <d v="2014-09-08T00:00:00"/>
    <x v="0"/>
    <x v="6"/>
    <x v="219"/>
    <x v="19"/>
    <x v="0"/>
    <x v="0"/>
    <s v="Memorex Froggy Flash Drive 4 GB"/>
    <n v="32.97"/>
    <n v="3"/>
    <n v="12.86"/>
  </r>
  <r>
    <d v="2014-09-08T00:00:00"/>
    <x v="0"/>
    <x v="6"/>
    <x v="219"/>
    <x v="19"/>
    <x v="0"/>
    <x v="0"/>
    <s v="Maxell 74 Minute CD-R Spindle, 50/Pack"/>
    <n v="83.88"/>
    <n v="4"/>
    <n v="30.2"/>
  </r>
  <r>
    <d v="2014-09-08T00:00:00"/>
    <x v="0"/>
    <x v="6"/>
    <x v="135"/>
    <x v="5"/>
    <x v="2"/>
    <x v="10"/>
    <s v="Holmes Replacement Filter for HEPA Air Cleaner, Medium Room"/>
    <n v="56.65"/>
    <n v="5"/>
    <n v="24.36"/>
  </r>
  <r>
    <d v="2014-09-08T00:00:00"/>
    <x v="0"/>
    <x v="6"/>
    <x v="135"/>
    <x v="5"/>
    <x v="2"/>
    <x v="6"/>
    <s v="Pizazz Global Quick File"/>
    <n v="14.97"/>
    <n v="1"/>
    <n v="4.1900000000000004"/>
  </r>
  <r>
    <d v="2014-09-08T00:00:00"/>
    <x v="0"/>
    <x v="6"/>
    <x v="135"/>
    <x v="5"/>
    <x v="2"/>
    <x v="4"/>
    <s v="Ideal Clamps"/>
    <n v="4.0199999999999996"/>
    <n v="2"/>
    <n v="1.97"/>
  </r>
  <r>
    <d v="2014-09-08T00:00:00"/>
    <x v="0"/>
    <x v="6"/>
    <x v="220"/>
    <x v="20"/>
    <x v="2"/>
    <x v="4"/>
    <s v="Advantus Plastic Paper Clips"/>
    <n v="45"/>
    <n v="9"/>
    <n v="21.6"/>
  </r>
  <r>
    <d v="2014-09-08T00:00:00"/>
    <x v="0"/>
    <x v="6"/>
    <x v="220"/>
    <x v="20"/>
    <x v="0"/>
    <x v="14"/>
    <s v="Epson WorkForce WF-2530 All-in-One Printer, Copier Scanner"/>
    <n v="209.97"/>
    <n v="3"/>
    <n v="90.29"/>
  </r>
  <r>
    <d v="2014-09-08T00:00:00"/>
    <x v="0"/>
    <x v="6"/>
    <x v="221"/>
    <x v="2"/>
    <x v="2"/>
    <x v="10"/>
    <s v="Black &amp; Decker Filter for Double Action Dustbuster Cordless Vac BLDV7210"/>
    <n v="16.78"/>
    <n v="2"/>
    <n v="4.2"/>
  </r>
  <r>
    <d v="2014-09-08T00:00:00"/>
    <x v="0"/>
    <x v="6"/>
    <x v="222"/>
    <x v="1"/>
    <x v="2"/>
    <x v="11"/>
    <s v="Prang Colored Pencils"/>
    <n v="5.88"/>
    <n v="2"/>
    <n v="2.65"/>
  </r>
  <r>
    <d v="2014-09-08T00:00:00"/>
    <x v="0"/>
    <x v="6"/>
    <x v="222"/>
    <x v="1"/>
    <x v="1"/>
    <x v="1"/>
    <s v="Hon Deluxe Fabric Upholstered Stacking Chairs, Rounded Back"/>
    <n v="975.92"/>
    <n v="5"/>
    <n v="121.99"/>
  </r>
  <r>
    <d v="2014-09-08T00:00:00"/>
    <x v="0"/>
    <x v="6"/>
    <x v="222"/>
    <x v="1"/>
    <x v="2"/>
    <x v="11"/>
    <s v="Hunt PowerHouse Electric Pencil Sharpener, Blue"/>
    <n v="303.83999999999997"/>
    <n v="8"/>
    <n v="91.15"/>
  </r>
  <r>
    <d v="2014-09-08T00:00:00"/>
    <x v="0"/>
    <x v="6"/>
    <x v="222"/>
    <x v="1"/>
    <x v="2"/>
    <x v="6"/>
    <s v="Carina Double Wide Media Storage Towers in Natural &amp; Black"/>
    <n v="485.88"/>
    <n v="6"/>
    <n v="19.440000000000001"/>
  </r>
  <r>
    <d v="2014-09-08T00:00:00"/>
    <x v="0"/>
    <x v="6"/>
    <x v="223"/>
    <x v="4"/>
    <x v="2"/>
    <x v="3"/>
    <s v="Geographics Note Cards, Blank, White, 8 1/2&quot; x 11&quot;"/>
    <n v="17.899999999999999"/>
    <n v="2"/>
    <n v="6.27"/>
  </r>
  <r>
    <d v="2014-09-08T00:00:00"/>
    <x v="0"/>
    <x v="6"/>
    <x v="223"/>
    <x v="4"/>
    <x v="1"/>
    <x v="1"/>
    <s v="SAFCO Arco Folding Chair"/>
    <n v="966.7"/>
    <n v="5"/>
    <n v="-13.81"/>
  </r>
  <r>
    <d v="2014-09-08T00:00:00"/>
    <x v="0"/>
    <x v="6"/>
    <x v="223"/>
    <x v="4"/>
    <x v="2"/>
    <x v="3"/>
    <s v="Snap-A-Way Black Print Carbonless Ruled Speed Letter, Triplicate"/>
    <n v="182.11"/>
    <n v="6"/>
    <n v="61.46"/>
  </r>
  <r>
    <d v="2014-09-08T00:00:00"/>
    <x v="0"/>
    <x v="6"/>
    <x v="224"/>
    <x v="2"/>
    <x v="1"/>
    <x v="1"/>
    <s v="Global Super Steno Chair"/>
    <n v="172.76"/>
    <n v="2"/>
    <n v="13.44"/>
  </r>
  <r>
    <d v="2014-09-08T00:00:00"/>
    <x v="0"/>
    <x v="6"/>
    <x v="224"/>
    <x v="2"/>
    <x v="2"/>
    <x v="11"/>
    <s v="Nontoxic Chalk"/>
    <n v="3.52"/>
    <n v="2"/>
    <n v="1.69"/>
  </r>
  <r>
    <d v="2014-09-08T00:00:00"/>
    <x v="0"/>
    <x v="6"/>
    <x v="225"/>
    <x v="5"/>
    <x v="2"/>
    <x v="9"/>
    <s v="Acco PRESSTEX Data Binder with Storage Hooks, Light Blue, 9 1/2&quot; X 11&quot;"/>
    <n v="8.61"/>
    <n v="2"/>
    <n v="3.01"/>
  </r>
  <r>
    <d v="2014-10-08T00:00:00"/>
    <x v="0"/>
    <x v="7"/>
    <x v="226"/>
    <x v="12"/>
    <x v="0"/>
    <x v="0"/>
    <s v="Maxell 74 Minute CDR, 10/Pack"/>
    <n v="23.47"/>
    <n v="3"/>
    <n v="4.99"/>
  </r>
  <r>
    <d v="2014-10-08T00:00:00"/>
    <x v="0"/>
    <x v="7"/>
    <x v="227"/>
    <x v="2"/>
    <x v="2"/>
    <x v="3"/>
    <s v="Xerox 197"/>
    <n v="123.92"/>
    <n v="4"/>
    <n v="55.76"/>
  </r>
  <r>
    <d v="2014-11-08T00:00:00"/>
    <x v="0"/>
    <x v="8"/>
    <x v="131"/>
    <x v="5"/>
    <x v="0"/>
    <x v="2"/>
    <s v="Toshiba IPT2010-SD IPÂ Telephone"/>
    <n v="333.58"/>
    <n v="3"/>
    <n v="25.02"/>
  </r>
  <r>
    <d v="2014-12-08T00:00:00"/>
    <x v="0"/>
    <x v="9"/>
    <x v="228"/>
    <x v="4"/>
    <x v="2"/>
    <x v="6"/>
    <s v="Companion Letter/Legal File, Black"/>
    <n v="60.42"/>
    <n v="2"/>
    <n v="6.04"/>
  </r>
  <r>
    <d v="2014-12-08T00:00:00"/>
    <x v="0"/>
    <x v="9"/>
    <x v="229"/>
    <x v="16"/>
    <x v="2"/>
    <x v="8"/>
    <s v="Avery 499"/>
    <n v="27.89"/>
    <n v="7"/>
    <n v="9.06"/>
  </r>
  <r>
    <d v="2014-12-08T00:00:00"/>
    <x v="0"/>
    <x v="9"/>
    <x v="229"/>
    <x v="16"/>
    <x v="2"/>
    <x v="9"/>
    <s v="Acco PRESSTEX Data Binder with Storage Hooks, Dark Blue, 9 1/2&quot; X 11&quot;"/>
    <n v="6.46"/>
    <n v="4"/>
    <n v="-4.5199999999999996"/>
  </r>
  <r>
    <d v="2014-12-08T00:00:00"/>
    <x v="0"/>
    <x v="9"/>
    <x v="229"/>
    <x v="16"/>
    <x v="0"/>
    <x v="2"/>
    <s v="Samsung HM1900 Bluetooth Headset"/>
    <n v="52.68"/>
    <n v="3"/>
    <n v="19.760000000000002"/>
  </r>
  <r>
    <d v="2014-12-08T00:00:00"/>
    <x v="0"/>
    <x v="9"/>
    <x v="229"/>
    <x v="16"/>
    <x v="2"/>
    <x v="15"/>
    <s v="Acco Side-Punched Conventional Columnar Pads"/>
    <n v="13.88"/>
    <n v="5"/>
    <n v="-2.6"/>
  </r>
  <r>
    <d v="2014-12-08T00:00:00"/>
    <x v="0"/>
    <x v="9"/>
    <x v="229"/>
    <x v="16"/>
    <x v="0"/>
    <x v="0"/>
    <s v="SanDisk Ultra 16 GB MicroSDHC Class 10 Memory Card"/>
    <n v="103.92"/>
    <n v="10"/>
    <n v="-18.190000000000001"/>
  </r>
  <r>
    <d v="2014-12-08T00:00:00"/>
    <x v="0"/>
    <x v="9"/>
    <x v="229"/>
    <x v="16"/>
    <x v="2"/>
    <x v="8"/>
    <s v="Avery 492"/>
    <n v="11.52"/>
    <n v="5"/>
    <n v="3.74"/>
  </r>
  <r>
    <d v="2014-12-08T00:00:00"/>
    <x v="0"/>
    <x v="9"/>
    <x v="229"/>
    <x v="16"/>
    <x v="2"/>
    <x v="3"/>
    <s v="Xerox 232"/>
    <n v="10.37"/>
    <n v="2"/>
    <n v="3.63"/>
  </r>
  <r>
    <d v="2014-12-08T00:00:00"/>
    <x v="0"/>
    <x v="9"/>
    <x v="229"/>
    <x v="16"/>
    <x v="2"/>
    <x v="6"/>
    <s v="Adjustable Personal File Tote"/>
    <n v="39.07"/>
    <n v="3"/>
    <n v="2.93"/>
  </r>
  <r>
    <d v="2014-12-08T00:00:00"/>
    <x v="0"/>
    <x v="9"/>
    <x v="230"/>
    <x v="1"/>
    <x v="2"/>
    <x v="3"/>
    <s v="Xerox 1964"/>
    <n v="45.68"/>
    <n v="2"/>
    <n v="21.01"/>
  </r>
  <r>
    <d v="2014-12-08T00:00:00"/>
    <x v="0"/>
    <x v="9"/>
    <x v="230"/>
    <x v="1"/>
    <x v="1"/>
    <x v="1"/>
    <s v="DMI Arturo Collection Mission-style Design Wood Chair"/>
    <n v="603.91999999999996"/>
    <n v="5"/>
    <n v="45.29"/>
  </r>
  <r>
    <d v="2014-12-08T00:00:00"/>
    <x v="0"/>
    <x v="9"/>
    <x v="231"/>
    <x v="5"/>
    <x v="1"/>
    <x v="5"/>
    <s v="Luxo Economy Swing Arm Lamp"/>
    <n v="39.880000000000003"/>
    <n v="2"/>
    <n v="11.17"/>
  </r>
  <r>
    <d v="2014-12-08T00:00:00"/>
    <x v="0"/>
    <x v="9"/>
    <x v="231"/>
    <x v="5"/>
    <x v="1"/>
    <x v="5"/>
    <s v="DAX Natural Wood-Tone Poster Frame"/>
    <n v="79.44"/>
    <n v="3"/>
    <n v="28.6"/>
  </r>
  <r>
    <d v="2014-01-09T00:00:00"/>
    <x v="0"/>
    <x v="11"/>
    <x v="232"/>
    <x v="4"/>
    <x v="2"/>
    <x v="11"/>
    <s v="Newell 312"/>
    <n v="9.34"/>
    <n v="2"/>
    <n v="1.17"/>
  </r>
  <r>
    <d v="2014-01-09T00:00:00"/>
    <x v="0"/>
    <x v="11"/>
    <x v="232"/>
    <x v="4"/>
    <x v="0"/>
    <x v="0"/>
    <s v="Memorex Micro Travel Drive 8 GB"/>
    <n v="31.2"/>
    <n v="3"/>
    <n v="9.75"/>
  </r>
  <r>
    <d v="2014-05-09T00:00:00"/>
    <x v="0"/>
    <x v="10"/>
    <x v="233"/>
    <x v="5"/>
    <x v="0"/>
    <x v="0"/>
    <s v="Kingston Digital DataTraveler 32GB USB 2.0"/>
    <n v="67.8"/>
    <n v="4"/>
    <n v="4.07"/>
  </r>
  <r>
    <d v="2014-05-09T00:00:00"/>
    <x v="0"/>
    <x v="10"/>
    <x v="233"/>
    <x v="5"/>
    <x v="0"/>
    <x v="0"/>
    <s v="Sony Micro Vault Click 16 GB USB 2.0 Flash Drive"/>
    <n v="167.97"/>
    <n v="3"/>
    <n v="40.31"/>
  </r>
  <r>
    <d v="2014-05-09T00:00:00"/>
    <x v="0"/>
    <x v="10"/>
    <x v="193"/>
    <x v="17"/>
    <x v="2"/>
    <x v="6"/>
    <s v="Fellowes Super Stor/Drawer"/>
    <n v="83.25"/>
    <n v="3"/>
    <n v="14.99"/>
  </r>
  <r>
    <d v="2014-05-09T00:00:00"/>
    <x v="0"/>
    <x v="10"/>
    <x v="193"/>
    <x v="17"/>
    <x v="2"/>
    <x v="8"/>
    <s v="Avery 518"/>
    <n v="9.4499999999999993"/>
    <n v="3"/>
    <n v="4.54"/>
  </r>
  <r>
    <d v="2014-05-09T00:00:00"/>
    <x v="0"/>
    <x v="10"/>
    <x v="193"/>
    <x v="17"/>
    <x v="2"/>
    <x v="8"/>
    <s v="Avery 506"/>
    <n v="20.65"/>
    <n v="5"/>
    <n v="9.5"/>
  </r>
  <r>
    <d v="2014-05-09T00:00:00"/>
    <x v="0"/>
    <x v="10"/>
    <x v="193"/>
    <x v="17"/>
    <x v="2"/>
    <x v="3"/>
    <s v="Weyerhaeuser First Choice Laser/Copy Paper (20Lb. and 88 Bright)"/>
    <n v="45.36"/>
    <n v="7"/>
    <n v="21.77"/>
  </r>
  <r>
    <d v="2014-06-09T00:00:00"/>
    <x v="0"/>
    <x v="3"/>
    <x v="234"/>
    <x v="5"/>
    <x v="1"/>
    <x v="5"/>
    <s v="Eldon Expressions Wood and Plastic Desk Accessories, Cherry Wood"/>
    <n v="48.86"/>
    <n v="7"/>
    <n v="14.17"/>
  </r>
  <r>
    <d v="2014-06-09T00:00:00"/>
    <x v="0"/>
    <x v="3"/>
    <x v="234"/>
    <x v="5"/>
    <x v="2"/>
    <x v="11"/>
    <s v="Newell 322"/>
    <n v="7.28"/>
    <n v="4"/>
    <n v="1.97"/>
  </r>
  <r>
    <d v="2014-06-09T00:00:00"/>
    <x v="0"/>
    <x v="3"/>
    <x v="234"/>
    <x v="5"/>
    <x v="0"/>
    <x v="2"/>
    <s v="Mitel 5320 IP Phone VoIP phone"/>
    <n v="907.15"/>
    <n v="6"/>
    <n v="90.72"/>
  </r>
  <r>
    <d v="2014-06-09T00:00:00"/>
    <x v="0"/>
    <x v="3"/>
    <x v="234"/>
    <x v="5"/>
    <x v="2"/>
    <x v="9"/>
    <s v="DXL Angle-View Binders with Locking Rings by Samsill"/>
    <n v="18.5"/>
    <n v="3"/>
    <n v="5.78"/>
  </r>
  <r>
    <d v="2014-06-09T00:00:00"/>
    <x v="0"/>
    <x v="3"/>
    <x v="234"/>
    <x v="5"/>
    <x v="2"/>
    <x v="10"/>
    <s v="Belkin F5C206VTEL 6 Outlet Surge"/>
    <n v="114.9"/>
    <n v="5"/>
    <n v="34.47"/>
  </r>
  <r>
    <d v="2014-06-09T00:00:00"/>
    <x v="0"/>
    <x v="3"/>
    <x v="234"/>
    <x v="5"/>
    <x v="1"/>
    <x v="7"/>
    <s v="Chromcraft Rectangular Conference Tables"/>
    <n v="1706.18"/>
    <n v="9"/>
    <n v="85.31"/>
  </r>
  <r>
    <d v="2014-06-09T00:00:00"/>
    <x v="0"/>
    <x v="3"/>
    <x v="234"/>
    <x v="5"/>
    <x v="0"/>
    <x v="2"/>
    <s v="Konftel 250 ConferenceÂ phoneÂ - Charcoal black"/>
    <n v="911.42"/>
    <n v="4"/>
    <n v="68.36"/>
  </r>
  <r>
    <d v="2014-06-09T00:00:00"/>
    <x v="0"/>
    <x v="3"/>
    <x v="235"/>
    <x v="4"/>
    <x v="0"/>
    <x v="2"/>
    <s v="Square Credit Card Reader"/>
    <n v="7.99"/>
    <n v="1"/>
    <n v="0.6"/>
  </r>
  <r>
    <d v="2014-06-09T00:00:00"/>
    <x v="0"/>
    <x v="3"/>
    <x v="235"/>
    <x v="4"/>
    <x v="0"/>
    <x v="0"/>
    <s v="Logitech M510 Wireless Mouse"/>
    <n v="63.98"/>
    <n v="2"/>
    <n v="10.4"/>
  </r>
  <r>
    <d v="2014-06-09T00:00:00"/>
    <x v="0"/>
    <x v="3"/>
    <x v="235"/>
    <x v="4"/>
    <x v="2"/>
    <x v="11"/>
    <s v="Boston 1645 Deluxe Heavier-Duty Electric Pencil Sharpener"/>
    <n v="70.37"/>
    <n v="2"/>
    <n v="6.16"/>
  </r>
  <r>
    <d v="2014-06-09T00:00:00"/>
    <x v="0"/>
    <x v="3"/>
    <x v="236"/>
    <x v="5"/>
    <x v="2"/>
    <x v="15"/>
    <s v="Staple remover"/>
    <n v="7.36"/>
    <n v="2"/>
    <n v="0.15"/>
  </r>
  <r>
    <d v="2014-06-09T00:00:00"/>
    <x v="0"/>
    <x v="3"/>
    <x v="236"/>
    <x v="5"/>
    <x v="2"/>
    <x v="11"/>
    <s v="Deluxe Chalkboard Eraser Cleaner"/>
    <n v="23.1"/>
    <n v="2"/>
    <n v="10.63"/>
  </r>
  <r>
    <d v="2014-06-09T00:00:00"/>
    <x v="0"/>
    <x v="3"/>
    <x v="237"/>
    <x v="20"/>
    <x v="1"/>
    <x v="7"/>
    <s v="Bevis 44 x 96 Conference Tables"/>
    <n v="1441.3"/>
    <n v="7"/>
    <n v="245.02"/>
  </r>
  <r>
    <d v="2014-06-09T00:00:00"/>
    <x v="0"/>
    <x v="3"/>
    <x v="238"/>
    <x v="14"/>
    <x v="2"/>
    <x v="11"/>
    <s v="DIXON Oriole Pencils"/>
    <n v="18.059999999999999"/>
    <n v="7"/>
    <n v="4.7"/>
  </r>
  <r>
    <d v="2014-06-09T00:00:00"/>
    <x v="0"/>
    <x v="3"/>
    <x v="238"/>
    <x v="14"/>
    <x v="2"/>
    <x v="3"/>
    <s v="Xerox 1909"/>
    <n v="79.14"/>
    <n v="3"/>
    <n v="36.4"/>
  </r>
  <r>
    <d v="2014-06-09T00:00:00"/>
    <x v="0"/>
    <x v="3"/>
    <x v="238"/>
    <x v="14"/>
    <x v="1"/>
    <x v="5"/>
    <s v="Executive Impressions 13-1/2&quot; Indoor/Outdoor Wall Clock"/>
    <n v="37.4"/>
    <n v="2"/>
    <n v="14.21"/>
  </r>
  <r>
    <d v="2014-07-09T00:00:00"/>
    <x v="0"/>
    <x v="4"/>
    <x v="239"/>
    <x v="4"/>
    <x v="2"/>
    <x v="3"/>
    <s v="Eureka Recycled Copy Paper 8 1/2&quot; x 11&quot;, Ream"/>
    <n v="10.37"/>
    <n v="2"/>
    <n v="3.63"/>
  </r>
  <r>
    <d v="2014-07-09T00:00:00"/>
    <x v="0"/>
    <x v="4"/>
    <x v="239"/>
    <x v="4"/>
    <x v="2"/>
    <x v="3"/>
    <s v="Xerox 1895"/>
    <n v="14.35"/>
    <n v="3"/>
    <n v="4.49"/>
  </r>
  <r>
    <d v="2014-07-09T00:00:00"/>
    <x v="0"/>
    <x v="4"/>
    <x v="83"/>
    <x v="5"/>
    <x v="2"/>
    <x v="8"/>
    <s v="Avery 49"/>
    <n v="2.88"/>
    <n v="1"/>
    <n v="1.41"/>
  </r>
  <r>
    <d v="2014-07-09T00:00:00"/>
    <x v="0"/>
    <x v="4"/>
    <x v="83"/>
    <x v="5"/>
    <x v="2"/>
    <x v="9"/>
    <s v="Wilson Jones Leather-Like Binders with DublLock Round Rings"/>
    <n v="41.9"/>
    <n v="6"/>
    <n v="14.14"/>
  </r>
  <r>
    <d v="2014-07-09T00:00:00"/>
    <x v="0"/>
    <x v="4"/>
    <x v="83"/>
    <x v="5"/>
    <x v="2"/>
    <x v="6"/>
    <s v="Perma STOR-ALL Hanging File Box, 13 1/8&quot;W x 12 1/4&quot;D x 10 1/2&quot;H"/>
    <n v="23.92"/>
    <n v="4"/>
    <n v="4.07"/>
  </r>
  <r>
    <d v="2014-07-09T00:00:00"/>
    <x v="0"/>
    <x v="4"/>
    <x v="240"/>
    <x v="5"/>
    <x v="2"/>
    <x v="9"/>
    <s v="Avery Hidden Tab Dividers for Binding Systems"/>
    <n v="14.3"/>
    <n v="6"/>
    <n v="4.6500000000000004"/>
  </r>
  <r>
    <d v="2014-07-09T00:00:00"/>
    <x v="0"/>
    <x v="4"/>
    <x v="240"/>
    <x v="5"/>
    <x v="1"/>
    <x v="16"/>
    <s v="Bush Heritage Pine Collection 5-Shelf Bookcase, Albany Pine Finish, *Special Order"/>
    <n v="119.83"/>
    <n v="1"/>
    <n v="7.05"/>
  </r>
  <r>
    <d v="2014-07-09T00:00:00"/>
    <x v="0"/>
    <x v="4"/>
    <x v="240"/>
    <x v="5"/>
    <x v="2"/>
    <x v="11"/>
    <s v="Prang Drawing Pencil Set"/>
    <n v="5.56"/>
    <n v="2"/>
    <n v="2.2200000000000002"/>
  </r>
  <r>
    <d v="2014-07-09T00:00:00"/>
    <x v="0"/>
    <x v="4"/>
    <x v="240"/>
    <x v="5"/>
    <x v="2"/>
    <x v="3"/>
    <s v="Xerox 1967"/>
    <n v="32.4"/>
    <n v="5"/>
    <n v="15.55"/>
  </r>
  <r>
    <d v="2014-08-09T00:00:00"/>
    <x v="0"/>
    <x v="5"/>
    <x v="53"/>
    <x v="11"/>
    <x v="0"/>
    <x v="2"/>
    <s v="AT&amp;T 1070 Corded Phone"/>
    <n v="178.38"/>
    <n v="2"/>
    <n v="22.3"/>
  </r>
  <r>
    <d v="2014-08-09T00:00:00"/>
    <x v="0"/>
    <x v="5"/>
    <x v="53"/>
    <x v="11"/>
    <x v="2"/>
    <x v="3"/>
    <s v="Xerox 21"/>
    <n v="15.55"/>
    <n v="3"/>
    <n v="5.44"/>
  </r>
  <r>
    <d v="2014-08-09T00:00:00"/>
    <x v="0"/>
    <x v="5"/>
    <x v="241"/>
    <x v="5"/>
    <x v="2"/>
    <x v="8"/>
    <s v="Avery 494"/>
    <n v="20.88"/>
    <n v="8"/>
    <n v="9.6"/>
  </r>
  <r>
    <d v="2014-08-09T00:00:00"/>
    <x v="0"/>
    <x v="5"/>
    <x v="242"/>
    <x v="1"/>
    <x v="0"/>
    <x v="2"/>
    <s v="Cisco Unified IP Phone 7945G VoIP phone"/>
    <n v="1091.17"/>
    <n v="4"/>
    <n v="68.2"/>
  </r>
  <r>
    <d v="2014-08-09T00:00:00"/>
    <x v="0"/>
    <x v="5"/>
    <x v="242"/>
    <x v="1"/>
    <x v="0"/>
    <x v="2"/>
    <s v="Jawbone MINI JAMBOX Wireless Bluetooth Speaker"/>
    <n v="219.17"/>
    <n v="2"/>
    <n v="-43.83"/>
  </r>
  <r>
    <d v="2014-08-09T00:00:00"/>
    <x v="0"/>
    <x v="5"/>
    <x v="243"/>
    <x v="1"/>
    <x v="2"/>
    <x v="9"/>
    <s v="Ibico Ibimaster 300 Manual Binding System"/>
    <n v="2060.7399999999998"/>
    <n v="7"/>
    <n v="643.98"/>
  </r>
  <r>
    <d v="2014-08-09T00:00:00"/>
    <x v="0"/>
    <x v="5"/>
    <x v="244"/>
    <x v="5"/>
    <x v="2"/>
    <x v="3"/>
    <s v="Great White Multi-Use Recycled Paper (20Lb. and 84 Bright)"/>
    <n v="5.98"/>
    <n v="1"/>
    <n v="2.69"/>
  </r>
  <r>
    <d v="2014-08-09T00:00:00"/>
    <x v="0"/>
    <x v="5"/>
    <x v="57"/>
    <x v="23"/>
    <x v="2"/>
    <x v="4"/>
    <s v="Super Bands, 12/Pack"/>
    <n v="4.46"/>
    <n v="3"/>
    <n v="-0.95"/>
  </r>
  <r>
    <d v="2014-08-09T00:00:00"/>
    <x v="0"/>
    <x v="5"/>
    <x v="57"/>
    <x v="23"/>
    <x v="2"/>
    <x v="9"/>
    <s v="Avery Hole Reinforcements"/>
    <n v="9.35"/>
    <n v="5"/>
    <n v="-6.54"/>
  </r>
  <r>
    <d v="2014-09-09T00:00:00"/>
    <x v="0"/>
    <x v="6"/>
    <x v="199"/>
    <x v="10"/>
    <x v="2"/>
    <x v="8"/>
    <s v="Alphabetical Labels for Top Tab Filing"/>
    <n v="103.6"/>
    <n v="7"/>
    <n v="51.8"/>
  </r>
  <r>
    <d v="2014-09-09T00:00:00"/>
    <x v="0"/>
    <x v="6"/>
    <x v="245"/>
    <x v="6"/>
    <x v="2"/>
    <x v="3"/>
    <s v="Xerox 1913"/>
    <n v="166.44"/>
    <n v="3"/>
    <n v="79.89"/>
  </r>
  <r>
    <d v="2014-09-09T00:00:00"/>
    <x v="0"/>
    <x v="6"/>
    <x v="245"/>
    <x v="6"/>
    <x v="1"/>
    <x v="1"/>
    <s v="Global Italian Leather Office Chair"/>
    <n v="785.88"/>
    <n v="6"/>
    <n v="212.19"/>
  </r>
  <r>
    <d v="2014-09-09T00:00:00"/>
    <x v="0"/>
    <x v="6"/>
    <x v="245"/>
    <x v="6"/>
    <x v="2"/>
    <x v="3"/>
    <s v="Advantus Motivational Note Cards"/>
    <n v="26.2"/>
    <n v="2"/>
    <n v="12.84"/>
  </r>
  <r>
    <d v="2014-09-09T00:00:00"/>
    <x v="0"/>
    <x v="6"/>
    <x v="245"/>
    <x v="6"/>
    <x v="2"/>
    <x v="6"/>
    <s v="Tennsco 6- and 18-Compartment Lockers"/>
    <n v="1325.85"/>
    <n v="5"/>
    <n v="238.65"/>
  </r>
  <r>
    <d v="2014-09-09T00:00:00"/>
    <x v="0"/>
    <x v="6"/>
    <x v="246"/>
    <x v="13"/>
    <x v="2"/>
    <x v="3"/>
    <s v="Xerox 210"/>
    <n v="15.55"/>
    <n v="3"/>
    <n v="5.44"/>
  </r>
  <r>
    <d v="2014-09-09T00:00:00"/>
    <x v="0"/>
    <x v="6"/>
    <x v="246"/>
    <x v="13"/>
    <x v="0"/>
    <x v="0"/>
    <s v="Rosewill 107 Normal Keys USB Wired Standard Keyboard"/>
    <n v="64.7"/>
    <n v="6"/>
    <n v="-4.8499999999999996"/>
  </r>
  <r>
    <d v="2014-09-09T00:00:00"/>
    <x v="0"/>
    <x v="6"/>
    <x v="246"/>
    <x v="13"/>
    <x v="1"/>
    <x v="5"/>
    <s v="Master Caster Door Stop, Large Neon Orange"/>
    <n v="17.47"/>
    <n v="3"/>
    <n v="5.0199999999999996"/>
  </r>
  <r>
    <d v="2014-09-09T00:00:00"/>
    <x v="0"/>
    <x v="6"/>
    <x v="246"/>
    <x v="13"/>
    <x v="0"/>
    <x v="2"/>
    <s v="Polycom SoundPoint IP 450 VoIP phone"/>
    <n v="135.52000000000001"/>
    <n v="1"/>
    <n v="-31.62"/>
  </r>
  <r>
    <d v="2014-09-09T00:00:00"/>
    <x v="0"/>
    <x v="6"/>
    <x v="27"/>
    <x v="12"/>
    <x v="0"/>
    <x v="14"/>
    <s v="3D Systems Cube Printer, 2nd Generation, White"/>
    <n v="1299.99"/>
    <n v="2"/>
    <n v="-572"/>
  </r>
  <r>
    <d v="2014-09-09T00:00:00"/>
    <x v="0"/>
    <x v="6"/>
    <x v="247"/>
    <x v="18"/>
    <x v="1"/>
    <x v="5"/>
    <s v="Nu-Dell Executive Frame"/>
    <n v="60.67"/>
    <n v="6"/>
    <n v="12.89"/>
  </r>
  <r>
    <d v="2014-09-09T00:00:00"/>
    <x v="0"/>
    <x v="6"/>
    <x v="247"/>
    <x v="18"/>
    <x v="2"/>
    <x v="11"/>
    <s v="Newell 320"/>
    <n v="30.82"/>
    <n v="9"/>
    <n v="2.7"/>
  </r>
  <r>
    <d v="2014-09-09T00:00:00"/>
    <x v="0"/>
    <x v="6"/>
    <x v="116"/>
    <x v="3"/>
    <x v="2"/>
    <x v="3"/>
    <s v="Ampad Poly Cover Wirebound Steno Book, 6&quot; x 9&quot; Assorted Colors, Gregg Ruled"/>
    <n v="10.9"/>
    <n v="3"/>
    <n v="3.41"/>
  </r>
  <r>
    <d v="2014-10-09T00:00:00"/>
    <x v="0"/>
    <x v="7"/>
    <x v="190"/>
    <x v="12"/>
    <x v="2"/>
    <x v="3"/>
    <s v="Eaton Premium Continuous-Feed Paper, 25% Cotton, Letter Size, White, 1000 Shts/Box"/>
    <n v="88.77"/>
    <n v="2"/>
    <n v="31.07"/>
  </r>
  <r>
    <d v="2014-10-09T00:00:00"/>
    <x v="0"/>
    <x v="7"/>
    <x v="248"/>
    <x v="5"/>
    <x v="2"/>
    <x v="11"/>
    <s v="Boston Heavy-Duty Trimline Electric Pencil Sharpeners"/>
    <n v="144.6"/>
    <n v="3"/>
    <n v="41.93"/>
  </r>
  <r>
    <d v="2014-10-09T00:00:00"/>
    <x v="0"/>
    <x v="7"/>
    <x v="248"/>
    <x v="5"/>
    <x v="0"/>
    <x v="2"/>
    <s v="iOttie HLCRIO102 Car Mount"/>
    <n v="15.99"/>
    <n v="1"/>
    <n v="-3"/>
  </r>
  <r>
    <d v="2014-11-09T00:00:00"/>
    <x v="0"/>
    <x v="8"/>
    <x v="249"/>
    <x v="5"/>
    <x v="2"/>
    <x v="6"/>
    <s v="SAFCO Boltless Steel Shelving"/>
    <n v="340.92"/>
    <n v="3"/>
    <n v="3.41"/>
  </r>
  <r>
    <d v="2014-11-09T00:00:00"/>
    <x v="0"/>
    <x v="8"/>
    <x v="249"/>
    <x v="5"/>
    <x v="1"/>
    <x v="16"/>
    <s v="Sauder Mission Library with Doors, Fruitwood Finish"/>
    <n v="222.67"/>
    <n v="2"/>
    <n v="10.48"/>
  </r>
  <r>
    <d v="2014-11-09T00:00:00"/>
    <x v="0"/>
    <x v="8"/>
    <x v="249"/>
    <x v="5"/>
    <x v="0"/>
    <x v="2"/>
    <s v="Samsung Galaxy Note 3"/>
    <n v="703.97"/>
    <n v="4"/>
    <n v="88"/>
  </r>
  <r>
    <d v="2014-11-09T00:00:00"/>
    <x v="0"/>
    <x v="8"/>
    <x v="249"/>
    <x v="5"/>
    <x v="2"/>
    <x v="6"/>
    <s v="Decoflex Hanging Personal Folder File, Blue"/>
    <n v="92.52"/>
    <n v="6"/>
    <n v="24.98"/>
  </r>
  <r>
    <d v="2014-11-09T00:00:00"/>
    <x v="0"/>
    <x v="8"/>
    <x v="249"/>
    <x v="5"/>
    <x v="2"/>
    <x v="3"/>
    <s v="Recycled Desk Saver Line &quot;While You Were Out&quot; Book, 5 1/2&quot; X 4&quot;"/>
    <n v="62.65"/>
    <n v="7"/>
    <n v="28.82"/>
  </r>
  <r>
    <d v="2014-11-09T00:00:00"/>
    <x v="0"/>
    <x v="8"/>
    <x v="249"/>
    <x v="5"/>
    <x v="2"/>
    <x v="3"/>
    <s v="Xerox 1912"/>
    <n v="94.85"/>
    <n v="5"/>
    <n v="45.53"/>
  </r>
  <r>
    <d v="2014-11-09T00:00:00"/>
    <x v="0"/>
    <x v="8"/>
    <x v="250"/>
    <x v="2"/>
    <x v="1"/>
    <x v="5"/>
    <s v="Eldon 200 Class Desk Accessories, Black"/>
    <n v="56.52"/>
    <n v="9"/>
    <n v="21.48"/>
  </r>
  <r>
    <d v="2014-12-09T00:00:00"/>
    <x v="0"/>
    <x v="9"/>
    <x v="182"/>
    <x v="5"/>
    <x v="2"/>
    <x v="3"/>
    <s v="Xerox 1987"/>
    <n v="34.68"/>
    <n v="6"/>
    <n v="16.989999999999998"/>
  </r>
  <r>
    <d v="2014-12-09T00:00:00"/>
    <x v="0"/>
    <x v="9"/>
    <x v="251"/>
    <x v="23"/>
    <x v="2"/>
    <x v="6"/>
    <s v="Acco Perma 3000 Stacking Storage Drawers"/>
    <n v="100.7"/>
    <n v="6"/>
    <n v="-1.26"/>
  </r>
  <r>
    <d v="2014-12-09T00:00:00"/>
    <x v="0"/>
    <x v="9"/>
    <x v="174"/>
    <x v="4"/>
    <x v="2"/>
    <x v="3"/>
    <s v="Xerox 195"/>
    <n v="10.69"/>
    <n v="2"/>
    <n v="3.74"/>
  </r>
  <r>
    <d v="2014-12-09T00:00:00"/>
    <x v="0"/>
    <x v="9"/>
    <x v="174"/>
    <x v="4"/>
    <x v="2"/>
    <x v="6"/>
    <s v="Recycled Data-Pak for Archival Bound Computer Printouts, 12-1/2 x 12-1/2 x 16"/>
    <n v="237.1"/>
    <n v="3"/>
    <n v="20.75"/>
  </r>
  <r>
    <d v="2014-12-09T00:00:00"/>
    <x v="0"/>
    <x v="9"/>
    <x v="238"/>
    <x v="3"/>
    <x v="2"/>
    <x v="3"/>
    <s v="Astroparche Fine Business Paper"/>
    <n v="8.4499999999999993"/>
    <n v="2"/>
    <n v="2.96"/>
  </r>
  <r>
    <d v="2014-12-09T00:00:00"/>
    <x v="0"/>
    <x v="9"/>
    <x v="238"/>
    <x v="3"/>
    <x v="2"/>
    <x v="10"/>
    <s v="Tripp Lite TLP810NET Broadband Surge for Modem/Fax"/>
    <n v="20.39"/>
    <n v="2"/>
    <n v="-53.01"/>
  </r>
  <r>
    <d v="2014-12-09T00:00:00"/>
    <x v="0"/>
    <x v="9"/>
    <x v="201"/>
    <x v="13"/>
    <x v="2"/>
    <x v="13"/>
    <s v="Globe Weis Peel &amp; Seel First Class Envelopes"/>
    <n v="30.67"/>
    <n v="3"/>
    <n v="9.59"/>
  </r>
  <r>
    <d v="2014-12-09T00:00:00"/>
    <x v="0"/>
    <x v="9"/>
    <x v="201"/>
    <x v="13"/>
    <x v="0"/>
    <x v="12"/>
    <s v="Canon PC940 Copier"/>
    <n v="1079.98"/>
    <n v="4"/>
    <n v="126"/>
  </r>
  <r>
    <d v="2014-01-10T00:00:00"/>
    <x v="0"/>
    <x v="11"/>
    <x v="252"/>
    <x v="20"/>
    <x v="2"/>
    <x v="8"/>
    <s v="Avery 482"/>
    <n v="2.89"/>
    <n v="1"/>
    <n v="1.36"/>
  </r>
  <r>
    <d v="2014-01-10T00:00:00"/>
    <x v="0"/>
    <x v="11"/>
    <x v="252"/>
    <x v="20"/>
    <x v="1"/>
    <x v="5"/>
    <s v="Howard Miller 11-1/2&quot; Diameter Ridgewood Wall Clock"/>
    <n v="51.94"/>
    <n v="1"/>
    <n v="21.3"/>
  </r>
  <r>
    <d v="2014-03-10T00:00:00"/>
    <x v="0"/>
    <x v="1"/>
    <x v="253"/>
    <x v="10"/>
    <x v="2"/>
    <x v="3"/>
    <s v="Geographics Note Cards, Blank, White, 8 1/2&quot; x 11&quot;"/>
    <n v="22.38"/>
    <n v="2"/>
    <n v="10.74"/>
  </r>
  <r>
    <d v="2014-03-10T00:00:00"/>
    <x v="0"/>
    <x v="1"/>
    <x v="207"/>
    <x v="15"/>
    <x v="2"/>
    <x v="6"/>
    <s v="Tennsco 6- and 18-Compartment Lockers"/>
    <n v="636.41"/>
    <n v="3"/>
    <n v="-15.91"/>
  </r>
  <r>
    <d v="2014-03-10T00:00:00"/>
    <x v="0"/>
    <x v="1"/>
    <x v="207"/>
    <x v="15"/>
    <x v="2"/>
    <x v="11"/>
    <s v="BOSTON Ranger #55 Pencil Sharpener, Black"/>
    <n v="83.17"/>
    <n v="4"/>
    <n v="9.36"/>
  </r>
  <r>
    <d v="2014-05-10T00:00:00"/>
    <x v="0"/>
    <x v="10"/>
    <x v="254"/>
    <x v="1"/>
    <x v="2"/>
    <x v="13"/>
    <s v="Strathmore #10 Envelopes, Ultimate White"/>
    <n v="158.13"/>
    <n v="3"/>
    <n v="77.48"/>
  </r>
  <r>
    <d v="2014-05-10T00:00:00"/>
    <x v="0"/>
    <x v="10"/>
    <x v="254"/>
    <x v="1"/>
    <x v="0"/>
    <x v="2"/>
    <s v="LF Elite 3D Dazzle Designer Hard Case Cover, Lf Stylus Pen and Wiper For Apple Iphone 5c Mini Lite"/>
    <n v="43.6"/>
    <n v="5"/>
    <n v="4.3600000000000003"/>
  </r>
  <r>
    <d v="2014-05-10T00:00:00"/>
    <x v="0"/>
    <x v="10"/>
    <x v="255"/>
    <x v="13"/>
    <x v="1"/>
    <x v="16"/>
    <s v="Bestar Classic Bookcase"/>
    <n v="349.97"/>
    <n v="7"/>
    <n v="-216.98"/>
  </r>
  <r>
    <d v="2014-05-10T00:00:00"/>
    <x v="0"/>
    <x v="10"/>
    <x v="255"/>
    <x v="13"/>
    <x v="2"/>
    <x v="11"/>
    <s v="DIXON Ticonderoga Erasable Checking Pencils"/>
    <n v="22.32"/>
    <n v="5"/>
    <n v="5.3"/>
  </r>
  <r>
    <d v="2014-05-10T00:00:00"/>
    <x v="0"/>
    <x v="10"/>
    <x v="256"/>
    <x v="5"/>
    <x v="2"/>
    <x v="3"/>
    <s v="Southworth 25% Cotton Premium Laser Paper and Envelopes"/>
    <n v="39.96"/>
    <n v="2"/>
    <n v="19.18"/>
  </r>
  <r>
    <d v="2014-05-10T00:00:00"/>
    <x v="0"/>
    <x v="10"/>
    <x v="256"/>
    <x v="5"/>
    <x v="0"/>
    <x v="2"/>
    <s v="Wilson Electronics DB Pro Signal Booster"/>
    <n v="1432"/>
    <n v="5"/>
    <n v="125.3"/>
  </r>
  <r>
    <d v="2014-05-10T00:00:00"/>
    <x v="0"/>
    <x v="10"/>
    <x v="256"/>
    <x v="5"/>
    <x v="2"/>
    <x v="15"/>
    <s v="Acme Design Stainless Steel Bent Scissors"/>
    <n v="41.04"/>
    <n v="6"/>
    <n v="11.08"/>
  </r>
  <r>
    <d v="2014-05-10T00:00:00"/>
    <x v="0"/>
    <x v="10"/>
    <x v="256"/>
    <x v="5"/>
    <x v="1"/>
    <x v="1"/>
    <s v="Hon Pagoda Stacking Chairs"/>
    <n v="256.77999999999997"/>
    <n v="1"/>
    <n v="32.1"/>
  </r>
  <r>
    <d v="2014-06-10T00:00:00"/>
    <x v="0"/>
    <x v="3"/>
    <x v="257"/>
    <x v="10"/>
    <x v="2"/>
    <x v="8"/>
    <s v="Dot Matrix Printer Tape Reel Labels, White, 5000/Box"/>
    <n v="491.55"/>
    <n v="5"/>
    <n v="240.86"/>
  </r>
  <r>
    <d v="2014-09-10T00:00:00"/>
    <x v="0"/>
    <x v="6"/>
    <x v="258"/>
    <x v="20"/>
    <x v="2"/>
    <x v="9"/>
    <s v="Tuff Stuff Recycled Round Ring Binders"/>
    <n v="9.64"/>
    <n v="2"/>
    <n v="4.72"/>
  </r>
  <r>
    <d v="2014-09-10T00:00:00"/>
    <x v="0"/>
    <x v="6"/>
    <x v="50"/>
    <x v="16"/>
    <x v="2"/>
    <x v="13"/>
    <s v="Peel &amp; Seel Envelopes"/>
    <n v="21.73"/>
    <n v="7"/>
    <n v="7.6"/>
  </r>
  <r>
    <d v="2014-09-10T00:00:00"/>
    <x v="0"/>
    <x v="6"/>
    <x v="50"/>
    <x v="16"/>
    <x v="1"/>
    <x v="1"/>
    <s v="GuestStacker Chair with Chrome Finish Legs"/>
    <n v="1487.04"/>
    <n v="5"/>
    <n v="148.69999999999999"/>
  </r>
  <r>
    <d v="2014-09-10T00:00:00"/>
    <x v="0"/>
    <x v="6"/>
    <x v="259"/>
    <x v="8"/>
    <x v="2"/>
    <x v="10"/>
    <s v="Kensington 6 Outlet Guardian Standard Surge Protector"/>
    <n v="81.92"/>
    <n v="4"/>
    <n v="22.12"/>
  </r>
  <r>
    <d v="2014-09-10T00:00:00"/>
    <x v="0"/>
    <x v="6"/>
    <x v="259"/>
    <x v="8"/>
    <x v="1"/>
    <x v="5"/>
    <s v="Dana Fluorescent Magnifying Lamp, White, 36&quot;"/>
    <n v="254.9"/>
    <n v="5"/>
    <n v="76.47"/>
  </r>
  <r>
    <d v="2014-10-10T00:00:00"/>
    <x v="0"/>
    <x v="7"/>
    <x v="260"/>
    <x v="5"/>
    <x v="1"/>
    <x v="1"/>
    <s v="Global Deluxe Stacking Chair, Gray"/>
    <n v="122.35"/>
    <n v="3"/>
    <n v="13.76"/>
  </r>
  <r>
    <d v="2014-10-10T00:00:00"/>
    <x v="0"/>
    <x v="7"/>
    <x v="260"/>
    <x v="5"/>
    <x v="2"/>
    <x v="13"/>
    <s v="#10- 4 1/8&quot; x 9 1/2&quot; Security-Tint Envelopes"/>
    <n v="15.28"/>
    <n v="2"/>
    <n v="7.49"/>
  </r>
  <r>
    <d v="2014-10-10T00:00:00"/>
    <x v="0"/>
    <x v="7"/>
    <x v="161"/>
    <x v="23"/>
    <x v="1"/>
    <x v="5"/>
    <s v="Westinghouse Clip-On Gooseneck Lamps"/>
    <n v="46.87"/>
    <n v="7"/>
    <n v="3.52"/>
  </r>
  <r>
    <d v="2014-10-10T00:00:00"/>
    <x v="0"/>
    <x v="7"/>
    <x v="186"/>
    <x v="4"/>
    <x v="0"/>
    <x v="2"/>
    <s v="Motorola Droid Maxx"/>
    <n v="719.95"/>
    <n v="6"/>
    <n v="72"/>
  </r>
  <r>
    <d v="2014-10-10T00:00:00"/>
    <x v="0"/>
    <x v="7"/>
    <x v="186"/>
    <x v="4"/>
    <x v="0"/>
    <x v="2"/>
    <s v="Cisco 8x8 Inc. 6753i IP Business Phone System"/>
    <n v="755.94"/>
    <n v="7"/>
    <n v="66.150000000000006"/>
  </r>
  <r>
    <d v="2014-10-10T00:00:00"/>
    <x v="0"/>
    <x v="7"/>
    <x v="186"/>
    <x v="4"/>
    <x v="2"/>
    <x v="9"/>
    <s v="GBC Personal VeloBind Strips"/>
    <n v="11.98"/>
    <n v="5"/>
    <n v="-19.170000000000002"/>
  </r>
  <r>
    <d v="2014-10-10T00:00:00"/>
    <x v="0"/>
    <x v="7"/>
    <x v="186"/>
    <x v="4"/>
    <x v="2"/>
    <x v="9"/>
    <s v="Avery Non-Stick Binders"/>
    <n v="0.9"/>
    <n v="1"/>
    <n v="-1.57"/>
  </r>
  <r>
    <d v="2014-10-10T00:00:00"/>
    <x v="0"/>
    <x v="7"/>
    <x v="261"/>
    <x v="18"/>
    <x v="0"/>
    <x v="14"/>
    <s v="Hewlett-Packard Deskjet F4180 All-in-One Color Ink-jet - Printer / copier / scanner"/>
    <n v="101.99"/>
    <n v="2"/>
    <n v="-71.400000000000006"/>
  </r>
  <r>
    <d v="2014-10-10T00:00:00"/>
    <x v="0"/>
    <x v="7"/>
    <x v="261"/>
    <x v="18"/>
    <x v="2"/>
    <x v="9"/>
    <s v="Premier Elliptical Ring Binder, Black"/>
    <n v="18.260000000000002"/>
    <n v="2"/>
    <n v="-13.39"/>
  </r>
  <r>
    <d v="2014-10-10T00:00:00"/>
    <x v="0"/>
    <x v="7"/>
    <x v="262"/>
    <x v="35"/>
    <x v="2"/>
    <x v="11"/>
    <s v="Dixon Ticonderoga Core-Lock Colored Pencils, 48-Color Set"/>
    <n v="255.85"/>
    <n v="7"/>
    <n v="112.57"/>
  </r>
  <r>
    <d v="2014-11-10T00:00:00"/>
    <x v="0"/>
    <x v="8"/>
    <x v="128"/>
    <x v="5"/>
    <x v="0"/>
    <x v="2"/>
    <s v="Jabra SPEAK 410"/>
    <n v="601.54"/>
    <n v="8"/>
    <n v="60.15"/>
  </r>
  <r>
    <d v="2014-11-10T00:00:00"/>
    <x v="0"/>
    <x v="8"/>
    <x v="128"/>
    <x v="5"/>
    <x v="0"/>
    <x v="0"/>
    <s v="Memorex Froggy Flash Drive 4 GB"/>
    <n v="10.99"/>
    <n v="1"/>
    <n v="4.29"/>
  </r>
  <r>
    <d v="2014-11-10T00:00:00"/>
    <x v="0"/>
    <x v="8"/>
    <x v="128"/>
    <x v="5"/>
    <x v="1"/>
    <x v="5"/>
    <s v="Luxo Economy Swing Arm Lamp"/>
    <n v="39.880000000000003"/>
    <n v="2"/>
    <n v="11.17"/>
  </r>
  <r>
    <d v="2014-11-10T00:00:00"/>
    <x v="0"/>
    <x v="8"/>
    <x v="128"/>
    <x v="5"/>
    <x v="2"/>
    <x v="3"/>
    <s v="Southworth 100% RÃ©sumÃ© Paper, 24lb."/>
    <n v="62.24"/>
    <n v="8"/>
    <n v="28.01"/>
  </r>
  <r>
    <d v="2014-11-10T00:00:00"/>
    <x v="0"/>
    <x v="8"/>
    <x v="128"/>
    <x v="5"/>
    <x v="1"/>
    <x v="5"/>
    <s v="Eldon Expressions Punched Metal &amp; Wood Desk Accessories, Pewter &amp; Cherry"/>
    <n v="53.2"/>
    <n v="5"/>
    <n v="14.9"/>
  </r>
  <r>
    <d v="2014-11-10T00:00:00"/>
    <x v="0"/>
    <x v="8"/>
    <x v="128"/>
    <x v="5"/>
    <x v="2"/>
    <x v="8"/>
    <s v="Avery White Multi-Purpose Labels"/>
    <n v="39.840000000000003"/>
    <n v="8"/>
    <n v="18.329999999999998"/>
  </r>
  <r>
    <d v="2014-11-10T00:00:00"/>
    <x v="0"/>
    <x v="8"/>
    <x v="41"/>
    <x v="10"/>
    <x v="2"/>
    <x v="11"/>
    <s v="Avery Hi-Liter Comfort Grip Fluorescent Highlighter, Yellow Ink"/>
    <n v="3.9"/>
    <n v="2"/>
    <n v="1.52"/>
  </r>
  <r>
    <d v="2014-11-10T00:00:00"/>
    <x v="0"/>
    <x v="8"/>
    <x v="41"/>
    <x v="10"/>
    <x v="2"/>
    <x v="3"/>
    <s v="Xerox 199"/>
    <n v="12.84"/>
    <n v="3"/>
    <n v="5.78"/>
  </r>
  <r>
    <d v="2014-11-10T00:00:00"/>
    <x v="0"/>
    <x v="8"/>
    <x v="41"/>
    <x v="10"/>
    <x v="2"/>
    <x v="3"/>
    <s v="Xerox 4200 Series MultiUse Premium Copy Paper (20Lb. and 84 Bright)"/>
    <n v="15.84"/>
    <n v="3"/>
    <n v="7.13"/>
  </r>
  <r>
    <d v="2014-11-10T00:00:00"/>
    <x v="0"/>
    <x v="8"/>
    <x v="41"/>
    <x v="10"/>
    <x v="1"/>
    <x v="1"/>
    <s v="Hon Every-Day Series Multi-Task Chairs"/>
    <n v="563.94000000000005"/>
    <n v="3"/>
    <n v="112.79"/>
  </r>
  <r>
    <d v="2014-11-10T00:00:00"/>
    <x v="0"/>
    <x v="8"/>
    <x v="41"/>
    <x v="10"/>
    <x v="2"/>
    <x v="6"/>
    <s v="Acco Perma 3000 Stacking Storage Drawers"/>
    <n v="62.94"/>
    <n v="3"/>
    <n v="11.96"/>
  </r>
  <r>
    <d v="2014-11-10T00:00:00"/>
    <x v="0"/>
    <x v="8"/>
    <x v="41"/>
    <x v="10"/>
    <x v="2"/>
    <x v="6"/>
    <s v="Hot File 7-Pocket, Floor Stand"/>
    <n v="535.41"/>
    <n v="3"/>
    <n v="160.62"/>
  </r>
  <r>
    <d v="2014-12-10T00:00:00"/>
    <x v="0"/>
    <x v="9"/>
    <x v="263"/>
    <x v="2"/>
    <x v="2"/>
    <x v="3"/>
    <s v="Adams Write n' Stick Phone Message Book, 11&quot; X 5 1/4&quot;, 200 Messages"/>
    <n v="11.36"/>
    <n v="2"/>
    <n v="5.23"/>
  </r>
  <r>
    <d v="2014-12-10T00:00:00"/>
    <x v="0"/>
    <x v="9"/>
    <x v="263"/>
    <x v="2"/>
    <x v="2"/>
    <x v="9"/>
    <s v="Poly Designer Cover &amp; Back"/>
    <n v="106.34"/>
    <n v="7"/>
    <n v="37.22"/>
  </r>
  <r>
    <d v="2014-12-10T00:00:00"/>
    <x v="0"/>
    <x v="9"/>
    <x v="264"/>
    <x v="36"/>
    <x v="1"/>
    <x v="1"/>
    <s v="Office Star - Contemporary Swivel Chair with Padded Adjustable Arms and Flex Back"/>
    <n v="338.35"/>
    <n v="3"/>
    <n v="4.2300000000000004"/>
  </r>
  <r>
    <d v="2014-12-10T00:00:00"/>
    <x v="0"/>
    <x v="9"/>
    <x v="264"/>
    <x v="36"/>
    <x v="2"/>
    <x v="3"/>
    <s v="Xerox 1931"/>
    <n v="25.92"/>
    <n v="4"/>
    <n v="12.44"/>
  </r>
  <r>
    <d v="2014-12-10T00:00:00"/>
    <x v="0"/>
    <x v="9"/>
    <x v="264"/>
    <x v="36"/>
    <x v="2"/>
    <x v="3"/>
    <s v="Xerox Color Copier Paper, 11&quot; x 17&quot;, Ream"/>
    <n v="91.36"/>
    <n v="4"/>
    <n v="42.03"/>
  </r>
  <r>
    <d v="2014-01-11T00:00:00"/>
    <x v="0"/>
    <x v="11"/>
    <x v="265"/>
    <x v="37"/>
    <x v="1"/>
    <x v="5"/>
    <s v="DAX Value U-Channel Document Frames, Easel Back"/>
    <n v="9.94"/>
    <n v="2"/>
    <n v="3.08"/>
  </r>
  <r>
    <d v="2014-02-11T00:00:00"/>
    <x v="0"/>
    <x v="0"/>
    <x v="266"/>
    <x v="20"/>
    <x v="0"/>
    <x v="0"/>
    <s v="Enermax Aurora Lite Keyboard"/>
    <n v="234.45"/>
    <n v="3"/>
    <n v="103.16"/>
  </r>
  <r>
    <d v="2014-02-11T00:00:00"/>
    <x v="0"/>
    <x v="0"/>
    <x v="266"/>
    <x v="20"/>
    <x v="1"/>
    <x v="7"/>
    <s v="Hon 2111 Invitation Series Corner Table"/>
    <n v="1256.22"/>
    <n v="6"/>
    <n v="75.37"/>
  </r>
  <r>
    <d v="2014-02-11T00:00:00"/>
    <x v="0"/>
    <x v="0"/>
    <x v="266"/>
    <x v="20"/>
    <x v="2"/>
    <x v="9"/>
    <s v="Wilson Jones Leather-Like Binders with DublLock Round Rings"/>
    <n v="17.46"/>
    <n v="2"/>
    <n v="8.2100000000000009"/>
  </r>
  <r>
    <d v="2014-02-11T00:00:00"/>
    <x v="0"/>
    <x v="0"/>
    <x v="267"/>
    <x v="22"/>
    <x v="1"/>
    <x v="1"/>
    <s v="Global Value Mid-Back Manager's Chair, Gray"/>
    <n v="60.89"/>
    <n v="1"/>
    <n v="15.22"/>
  </r>
  <r>
    <d v="2014-02-11T00:00:00"/>
    <x v="0"/>
    <x v="0"/>
    <x v="267"/>
    <x v="22"/>
    <x v="2"/>
    <x v="8"/>
    <s v="Avery 483"/>
    <n v="14.94"/>
    <n v="3"/>
    <n v="6.87"/>
  </r>
  <r>
    <d v="2014-02-11T00:00:00"/>
    <x v="0"/>
    <x v="0"/>
    <x v="267"/>
    <x v="22"/>
    <x v="2"/>
    <x v="9"/>
    <s v="Wilson Jones Turn Tabs Binder Tool for Ring Binders"/>
    <n v="9.64"/>
    <n v="2"/>
    <n v="4.43"/>
  </r>
  <r>
    <d v="2014-02-11T00:00:00"/>
    <x v="0"/>
    <x v="0"/>
    <x v="267"/>
    <x v="22"/>
    <x v="1"/>
    <x v="5"/>
    <s v="Rubbermaid ClusterMat Chairmats, Mat Size- 66&quot; x 60&quot;, Lip 20&quot; x 11&quot; -90 Degree Angle"/>
    <n v="332.94"/>
    <n v="3"/>
    <n v="53.27"/>
  </r>
  <r>
    <d v="2014-02-11T00:00:00"/>
    <x v="0"/>
    <x v="0"/>
    <x v="267"/>
    <x v="22"/>
    <x v="2"/>
    <x v="9"/>
    <s v="VariCap6 Expandable Binder"/>
    <n v="51.9"/>
    <n v="3"/>
    <n v="24.39"/>
  </r>
  <r>
    <d v="2014-02-11T00:00:00"/>
    <x v="0"/>
    <x v="0"/>
    <x v="267"/>
    <x v="22"/>
    <x v="2"/>
    <x v="6"/>
    <s v="Fellowes Neat Ideas Storage Cubes"/>
    <n v="64.959999999999994"/>
    <n v="2"/>
    <n v="2.6"/>
  </r>
  <r>
    <d v="2014-03-11T00:00:00"/>
    <x v="0"/>
    <x v="1"/>
    <x v="268"/>
    <x v="18"/>
    <x v="1"/>
    <x v="5"/>
    <s v="Eldon Wave Desk Accessories"/>
    <n v="8.32"/>
    <n v="5"/>
    <n v="2.29"/>
  </r>
  <r>
    <d v="2014-03-11T00:00:00"/>
    <x v="0"/>
    <x v="1"/>
    <x v="268"/>
    <x v="18"/>
    <x v="2"/>
    <x v="4"/>
    <s v="Stockwell Push Pins"/>
    <n v="10.46"/>
    <n v="6"/>
    <n v="1.7"/>
  </r>
  <r>
    <d v="2014-03-11T00:00:00"/>
    <x v="0"/>
    <x v="1"/>
    <x v="269"/>
    <x v="2"/>
    <x v="2"/>
    <x v="3"/>
    <s v="Southworth 100% RÃ©sumÃ© Paper, 24lb."/>
    <n v="108.92"/>
    <n v="14"/>
    <n v="49.01"/>
  </r>
  <r>
    <d v="2014-03-11T00:00:00"/>
    <x v="0"/>
    <x v="1"/>
    <x v="270"/>
    <x v="17"/>
    <x v="2"/>
    <x v="10"/>
    <s v="Fellowes Premier Superior Surge Suppressor, 10-Outlet, With Phone and Remote"/>
    <n v="146.76"/>
    <n v="3"/>
    <n v="38.159999999999997"/>
  </r>
  <r>
    <d v="2014-03-11T00:00:00"/>
    <x v="0"/>
    <x v="1"/>
    <x v="270"/>
    <x v="17"/>
    <x v="0"/>
    <x v="0"/>
    <s v="Maxell DVD-RAM Discs"/>
    <n v="32.96"/>
    <n v="2"/>
    <n v="14.17"/>
  </r>
  <r>
    <d v="2014-03-11T00:00:00"/>
    <x v="0"/>
    <x v="1"/>
    <x v="270"/>
    <x v="17"/>
    <x v="0"/>
    <x v="2"/>
    <s v="Panasonic KX-TG9471B"/>
    <n v="587.97"/>
    <n v="3"/>
    <n v="164.63"/>
  </r>
  <r>
    <d v="2014-03-11T00:00:00"/>
    <x v="0"/>
    <x v="1"/>
    <x v="270"/>
    <x v="17"/>
    <x v="2"/>
    <x v="3"/>
    <s v="Xerox 198"/>
    <n v="14.94"/>
    <n v="3"/>
    <n v="7.02"/>
  </r>
  <r>
    <d v="2014-03-11T00:00:00"/>
    <x v="0"/>
    <x v="1"/>
    <x v="261"/>
    <x v="5"/>
    <x v="2"/>
    <x v="11"/>
    <s v="Economy #2 Pencils"/>
    <n v="7.98"/>
    <n v="3"/>
    <n v="2.0699999999999998"/>
  </r>
  <r>
    <d v="2014-04-11T00:00:00"/>
    <x v="0"/>
    <x v="2"/>
    <x v="271"/>
    <x v="11"/>
    <x v="2"/>
    <x v="4"/>
    <s v="Acco Banker's Clasps, 5 3/4&quot;-Long"/>
    <n v="6.91"/>
    <n v="3"/>
    <n v="2.33"/>
  </r>
  <r>
    <d v="2014-04-11T00:00:00"/>
    <x v="0"/>
    <x v="2"/>
    <x v="271"/>
    <x v="11"/>
    <x v="0"/>
    <x v="0"/>
    <s v="Logitech Wireless Gaming Headset G930"/>
    <n v="383.98"/>
    <n v="3"/>
    <n v="81.59"/>
  </r>
  <r>
    <d v="2014-04-11T00:00:00"/>
    <x v="0"/>
    <x v="2"/>
    <x v="271"/>
    <x v="11"/>
    <x v="2"/>
    <x v="3"/>
    <s v="Xerox 224"/>
    <n v="10.37"/>
    <n v="2"/>
    <n v="3.63"/>
  </r>
  <r>
    <d v="2014-04-11T00:00:00"/>
    <x v="0"/>
    <x v="2"/>
    <x v="271"/>
    <x v="11"/>
    <x v="0"/>
    <x v="0"/>
    <s v="Logitech Wireless Anywhere Mouse MX for PC and Mac"/>
    <n v="335.94"/>
    <n v="7"/>
    <n v="41.99"/>
  </r>
  <r>
    <d v="2014-04-11T00:00:00"/>
    <x v="0"/>
    <x v="2"/>
    <x v="272"/>
    <x v="36"/>
    <x v="2"/>
    <x v="9"/>
    <s v="GBC Personal VeloBind Strips"/>
    <n v="9.58"/>
    <n v="1"/>
    <n v="3.35"/>
  </r>
  <r>
    <d v="2014-04-11T00:00:00"/>
    <x v="0"/>
    <x v="2"/>
    <x v="273"/>
    <x v="4"/>
    <x v="0"/>
    <x v="2"/>
    <s v="Jawbone JAMBOX Wireless Bluetooth Speaker"/>
    <n v="758.35"/>
    <n v="6"/>
    <n v="265.42"/>
  </r>
  <r>
    <d v="2014-04-11T00:00:00"/>
    <x v="0"/>
    <x v="2"/>
    <x v="274"/>
    <x v="38"/>
    <x v="2"/>
    <x v="6"/>
    <s v="Eldon Simplefile Box Office"/>
    <n v="87.08"/>
    <n v="7"/>
    <n v="24.38"/>
  </r>
  <r>
    <d v="2014-04-11T00:00:00"/>
    <x v="0"/>
    <x v="2"/>
    <x v="274"/>
    <x v="38"/>
    <x v="0"/>
    <x v="2"/>
    <s v="AT&amp;T SB67148 SynJ"/>
    <n v="105.58"/>
    <n v="2"/>
    <n v="9.24"/>
  </r>
  <r>
    <d v="2014-04-11T00:00:00"/>
    <x v="0"/>
    <x v="2"/>
    <x v="274"/>
    <x v="38"/>
    <x v="0"/>
    <x v="0"/>
    <s v="Memorex Mini Travel Drive 64 GB USB 2.0 Flash Drive"/>
    <n v="217.44"/>
    <n v="6"/>
    <n v="91.32"/>
  </r>
  <r>
    <d v="2014-05-11T00:00:00"/>
    <x v="0"/>
    <x v="10"/>
    <x v="275"/>
    <x v="4"/>
    <x v="0"/>
    <x v="0"/>
    <s v="SanDisk Cruzer 64 GB USB Flash Drive"/>
    <n v="58.11"/>
    <n v="2"/>
    <n v="7.26"/>
  </r>
  <r>
    <d v="2014-05-11T00:00:00"/>
    <x v="0"/>
    <x v="10"/>
    <x v="275"/>
    <x v="4"/>
    <x v="0"/>
    <x v="2"/>
    <s v="Xblue XB-1670-86 X16 SmallÂ Office TelephoneÂ - Titanium"/>
    <n v="100.79"/>
    <n v="1"/>
    <n v="6.3"/>
  </r>
  <r>
    <d v="2014-05-11T00:00:00"/>
    <x v="0"/>
    <x v="10"/>
    <x v="275"/>
    <x v="4"/>
    <x v="1"/>
    <x v="5"/>
    <s v="Deflect-o EconoMat Studded, No Bevel Mat for Low Pile Carpeting"/>
    <n v="66.11"/>
    <n v="4"/>
    <n v="-84.29"/>
  </r>
  <r>
    <d v="2014-05-11T00:00:00"/>
    <x v="0"/>
    <x v="10"/>
    <x v="276"/>
    <x v="4"/>
    <x v="0"/>
    <x v="0"/>
    <s v="Logitech ClearChat Comfort/USB Headset H390"/>
    <n v="46.86"/>
    <n v="2"/>
    <n v="7.62"/>
  </r>
  <r>
    <d v="2014-05-11T00:00:00"/>
    <x v="0"/>
    <x v="10"/>
    <x v="277"/>
    <x v="2"/>
    <x v="2"/>
    <x v="10"/>
    <s v="Staple holder"/>
    <n v="35.909999999999997"/>
    <n v="3"/>
    <n v="9.6999999999999993"/>
  </r>
  <r>
    <d v="2014-05-11T00:00:00"/>
    <x v="0"/>
    <x v="10"/>
    <x v="278"/>
    <x v="4"/>
    <x v="1"/>
    <x v="1"/>
    <s v="Hon Multipurpose Stacking Arm Chairs"/>
    <n v="1212.96"/>
    <n v="8"/>
    <n v="-69.31"/>
  </r>
  <r>
    <d v="2014-05-11T00:00:00"/>
    <x v="0"/>
    <x v="10"/>
    <x v="279"/>
    <x v="3"/>
    <x v="2"/>
    <x v="3"/>
    <s v="Black Print Carbonless 8 1/2&quot; x 8 1/4&quot; Rapid Memo Book"/>
    <n v="17.47"/>
    <n v="3"/>
    <n v="5.68"/>
  </r>
  <r>
    <d v="2014-05-11T00:00:00"/>
    <x v="0"/>
    <x v="10"/>
    <x v="279"/>
    <x v="3"/>
    <x v="2"/>
    <x v="9"/>
    <s v="Avery Arch Ring Binders"/>
    <n v="104.58"/>
    <n v="9"/>
    <n v="-172.56"/>
  </r>
  <r>
    <d v="2014-07-11T00:00:00"/>
    <x v="0"/>
    <x v="4"/>
    <x v="280"/>
    <x v="8"/>
    <x v="2"/>
    <x v="3"/>
    <s v="Easy-staple paper"/>
    <n v="177.2"/>
    <n v="5"/>
    <n v="83.28"/>
  </r>
  <r>
    <d v="2014-07-11T00:00:00"/>
    <x v="0"/>
    <x v="4"/>
    <x v="280"/>
    <x v="8"/>
    <x v="0"/>
    <x v="2"/>
    <s v="Cisco SPA508G"/>
    <n v="197.97"/>
    <n v="3"/>
    <n v="57.41"/>
  </r>
  <r>
    <d v="2014-07-11T00:00:00"/>
    <x v="0"/>
    <x v="4"/>
    <x v="280"/>
    <x v="8"/>
    <x v="1"/>
    <x v="1"/>
    <s v="Global Commerce Series High-Back Swivel/Tilt Chairs"/>
    <n v="854.94"/>
    <n v="3"/>
    <n v="213.74"/>
  </r>
  <r>
    <d v="2014-07-11T00:00:00"/>
    <x v="0"/>
    <x v="4"/>
    <x v="280"/>
    <x v="8"/>
    <x v="1"/>
    <x v="5"/>
    <s v="9-3/4 Diameter Round Wall Clock"/>
    <n v="124.11"/>
    <n v="9"/>
    <n v="52.13"/>
  </r>
  <r>
    <d v="2014-07-11T00:00:00"/>
    <x v="0"/>
    <x v="4"/>
    <x v="280"/>
    <x v="8"/>
    <x v="2"/>
    <x v="8"/>
    <s v="Avery 514"/>
    <n v="14.4"/>
    <n v="5"/>
    <n v="7.06"/>
  </r>
  <r>
    <d v="2014-07-11T00:00:00"/>
    <x v="0"/>
    <x v="4"/>
    <x v="281"/>
    <x v="4"/>
    <x v="0"/>
    <x v="2"/>
    <s v="Polycom VVX 310 VoIP phone"/>
    <n v="575.97"/>
    <n v="4"/>
    <n v="43.2"/>
  </r>
  <r>
    <d v="2014-07-11T00:00:00"/>
    <x v="0"/>
    <x v="4"/>
    <x v="281"/>
    <x v="4"/>
    <x v="2"/>
    <x v="3"/>
    <s v="Xerox 200"/>
    <n v="10.37"/>
    <n v="2"/>
    <n v="3.63"/>
  </r>
  <r>
    <d v="2014-07-11T00:00:00"/>
    <x v="0"/>
    <x v="4"/>
    <x v="282"/>
    <x v="2"/>
    <x v="2"/>
    <x v="3"/>
    <s v="Xerox 1881"/>
    <n v="49.12"/>
    <n v="4"/>
    <n v="23.09"/>
  </r>
  <r>
    <d v="2014-07-11T00:00:00"/>
    <x v="0"/>
    <x v="4"/>
    <x v="282"/>
    <x v="2"/>
    <x v="2"/>
    <x v="9"/>
    <s v="Newell 3-Hole Punched Plastic Slotted Magazine Holders for Binders"/>
    <n v="18.28"/>
    <n v="5"/>
    <n v="6.4"/>
  </r>
  <r>
    <d v="2014-07-11T00:00:00"/>
    <x v="0"/>
    <x v="4"/>
    <x v="283"/>
    <x v="2"/>
    <x v="0"/>
    <x v="2"/>
    <s v="Cisco SPA112 2 Port Phone Adapter"/>
    <n v="164.85"/>
    <n v="3"/>
    <n v="47.81"/>
  </r>
  <r>
    <d v="2014-08-11T00:00:00"/>
    <x v="0"/>
    <x v="5"/>
    <x v="256"/>
    <x v="1"/>
    <x v="1"/>
    <x v="5"/>
    <s v="Eldon Image Series Desk Accessories, Ebony"/>
    <n v="12.35"/>
    <n v="1"/>
    <n v="5.43"/>
  </r>
  <r>
    <d v="2014-08-11T00:00:00"/>
    <x v="0"/>
    <x v="5"/>
    <x v="256"/>
    <x v="1"/>
    <x v="2"/>
    <x v="11"/>
    <s v="Sanford 52201 APSCO Electric Pencil Sharpener"/>
    <n v="40.97"/>
    <n v="1"/>
    <n v="10.65"/>
  </r>
  <r>
    <d v="2014-08-11T00:00:00"/>
    <x v="0"/>
    <x v="5"/>
    <x v="256"/>
    <x v="1"/>
    <x v="2"/>
    <x v="4"/>
    <s v="Vinyl Coated Wire Paper Clips in Organizer Box, 800/Box"/>
    <n v="22.96"/>
    <n v="2"/>
    <n v="10.79"/>
  </r>
  <r>
    <d v="2014-08-11T00:00:00"/>
    <x v="0"/>
    <x v="5"/>
    <x v="284"/>
    <x v="2"/>
    <x v="2"/>
    <x v="6"/>
    <s v="Tennsco Single-Tier Lockers"/>
    <n v="375.34"/>
    <n v="1"/>
    <n v="18.77"/>
  </r>
  <r>
    <d v="2014-09-11T00:00:00"/>
    <x v="0"/>
    <x v="6"/>
    <x v="285"/>
    <x v="5"/>
    <x v="1"/>
    <x v="5"/>
    <s v="Deflect-o DuraMat Lighweight, Studded, Beveled Mat for Low Pile Carpeting"/>
    <n v="127.95"/>
    <n v="3"/>
    <n v="21.75"/>
  </r>
  <r>
    <d v="2014-10-11T00:00:00"/>
    <x v="0"/>
    <x v="7"/>
    <x v="286"/>
    <x v="13"/>
    <x v="2"/>
    <x v="6"/>
    <s v="Fellowes High-Stak Drawer Files"/>
    <n v="281.89999999999998"/>
    <n v="2"/>
    <n v="10.57"/>
  </r>
  <r>
    <d v="2014-10-11T00:00:00"/>
    <x v="0"/>
    <x v="7"/>
    <x v="286"/>
    <x v="13"/>
    <x v="2"/>
    <x v="13"/>
    <s v="Airmail Envelopes"/>
    <n v="201.43"/>
    <n v="3"/>
    <n v="67.98"/>
  </r>
  <r>
    <d v="2014-10-11T00:00:00"/>
    <x v="0"/>
    <x v="7"/>
    <x v="287"/>
    <x v="1"/>
    <x v="1"/>
    <x v="5"/>
    <s v="DAX Cubicle Frames - 8x10"/>
    <n v="63.47"/>
    <n v="11"/>
    <n v="19.04"/>
  </r>
  <r>
    <d v="2014-10-11T00:00:00"/>
    <x v="0"/>
    <x v="7"/>
    <x v="287"/>
    <x v="1"/>
    <x v="0"/>
    <x v="0"/>
    <s v="WD My Passport Ultra 1TB Portable External Hard Drive"/>
    <n v="345"/>
    <n v="5"/>
    <n v="58.65"/>
  </r>
  <r>
    <d v="2014-10-11T00:00:00"/>
    <x v="0"/>
    <x v="7"/>
    <x v="288"/>
    <x v="5"/>
    <x v="2"/>
    <x v="6"/>
    <s v="Iris Project Case"/>
    <n v="31.92"/>
    <n v="4"/>
    <n v="8.3000000000000007"/>
  </r>
  <r>
    <d v="2014-10-11T00:00:00"/>
    <x v="0"/>
    <x v="7"/>
    <x v="288"/>
    <x v="5"/>
    <x v="1"/>
    <x v="1"/>
    <s v="Global Enterprise Series Seating High-Back Swivel/Tilt Chairs"/>
    <n v="433.57"/>
    <n v="2"/>
    <n v="-65.040000000000006"/>
  </r>
  <r>
    <d v="2014-10-11T00:00:00"/>
    <x v="0"/>
    <x v="7"/>
    <x v="289"/>
    <x v="9"/>
    <x v="2"/>
    <x v="8"/>
    <s v="Self-Adhesive Address Labels for Typewriters by Universal"/>
    <n v="7.31"/>
    <n v="1"/>
    <n v="3.44"/>
  </r>
  <r>
    <d v="2014-10-11T00:00:00"/>
    <x v="0"/>
    <x v="7"/>
    <x v="289"/>
    <x v="9"/>
    <x v="1"/>
    <x v="5"/>
    <s v="Eldon Pizzaz Desk Accessories"/>
    <n v="8.92"/>
    <n v="4"/>
    <n v="3.92"/>
  </r>
  <r>
    <d v="2014-10-11T00:00:00"/>
    <x v="0"/>
    <x v="7"/>
    <x v="290"/>
    <x v="5"/>
    <x v="2"/>
    <x v="13"/>
    <s v="#10- 4 1/8&quot; x 9 1/2&quot; Security-Tint Envelopes"/>
    <n v="7.64"/>
    <n v="1"/>
    <n v="3.74"/>
  </r>
  <r>
    <d v="2014-11-11T00:00:00"/>
    <x v="0"/>
    <x v="8"/>
    <x v="291"/>
    <x v="0"/>
    <x v="2"/>
    <x v="6"/>
    <s v="Stur-D-Stor Shelving, Vertical 5-Shelf: 72&quot;H x 36&quot;W x 18 1/2&quot;D"/>
    <n v="665.88"/>
    <n v="6"/>
    <n v="13.32"/>
  </r>
  <r>
    <d v="2014-11-11T00:00:00"/>
    <x v="0"/>
    <x v="8"/>
    <x v="292"/>
    <x v="15"/>
    <x v="2"/>
    <x v="11"/>
    <s v="BIC Brite Liner Grip Highlighters, Assorted, 5/Pack"/>
    <n v="3.39"/>
    <n v="1"/>
    <n v="0.81"/>
  </r>
  <r>
    <d v="2014-11-11T00:00:00"/>
    <x v="0"/>
    <x v="8"/>
    <x v="292"/>
    <x v="15"/>
    <x v="0"/>
    <x v="2"/>
    <s v="Samsung Galaxy S III - 16GB - pebble blue (T-Mobile)"/>
    <n v="559.98"/>
    <n v="2"/>
    <n v="56"/>
  </r>
  <r>
    <d v="2014-11-11T00:00:00"/>
    <x v="0"/>
    <x v="8"/>
    <x v="292"/>
    <x v="15"/>
    <x v="1"/>
    <x v="1"/>
    <s v="Global Airflow Leather Mesh Back Chair, Black"/>
    <n v="603.91999999999996"/>
    <n v="5"/>
    <n v="75.489999999999995"/>
  </r>
  <r>
    <d v="2014-11-11T00:00:00"/>
    <x v="0"/>
    <x v="8"/>
    <x v="293"/>
    <x v="4"/>
    <x v="2"/>
    <x v="9"/>
    <s v="GBC DocuBind TL300 Electric Binding System"/>
    <n v="896.99"/>
    <n v="5"/>
    <n v="-1480.03"/>
  </r>
  <r>
    <d v="2014-11-11T00:00:00"/>
    <x v="0"/>
    <x v="8"/>
    <x v="293"/>
    <x v="4"/>
    <x v="2"/>
    <x v="9"/>
    <s v="Universal Recycled Hanging Pressboard Report Binders, Letter Size"/>
    <n v="1.23"/>
    <n v="1"/>
    <n v="-1.97"/>
  </r>
  <r>
    <d v="2014-11-11T00:00:00"/>
    <x v="0"/>
    <x v="8"/>
    <x v="293"/>
    <x v="4"/>
    <x v="2"/>
    <x v="11"/>
    <s v="Boston Electric Pencil Sharpener, Model 1818, Charcoal Black"/>
    <n v="67.56"/>
    <n v="3"/>
    <n v="6.76"/>
  </r>
  <r>
    <d v="2014-11-11T00:00:00"/>
    <x v="0"/>
    <x v="8"/>
    <x v="293"/>
    <x v="4"/>
    <x v="2"/>
    <x v="3"/>
    <s v="Wirebound Message Book, 4 per Page"/>
    <n v="21.72"/>
    <n v="5"/>
    <n v="7.87"/>
  </r>
  <r>
    <d v="2014-11-11T00:00:00"/>
    <x v="0"/>
    <x v="8"/>
    <x v="293"/>
    <x v="4"/>
    <x v="2"/>
    <x v="3"/>
    <s v="Xerox 1893"/>
    <n v="262.33999999999997"/>
    <n v="8"/>
    <n v="95.1"/>
  </r>
  <r>
    <d v="2014-11-11T00:00:00"/>
    <x v="0"/>
    <x v="8"/>
    <x v="293"/>
    <x v="4"/>
    <x v="0"/>
    <x v="2"/>
    <s v="Geemarc AmpliPOWER60"/>
    <n v="148.47999999999999"/>
    <n v="2"/>
    <n v="16.7"/>
  </r>
  <r>
    <d v="2014-11-11T00:00:00"/>
    <x v="0"/>
    <x v="8"/>
    <x v="293"/>
    <x v="4"/>
    <x v="0"/>
    <x v="2"/>
    <s v="Classic Ivory AntiqueÂ TelephoneÂ ZL1810"/>
    <n v="241.18"/>
    <n v="3"/>
    <n v="15.07"/>
  </r>
  <r>
    <d v="2014-11-11T00:00:00"/>
    <x v="0"/>
    <x v="8"/>
    <x v="294"/>
    <x v="5"/>
    <x v="2"/>
    <x v="11"/>
    <s v="50 Colored Long Pencils"/>
    <n v="30.48"/>
    <n v="3"/>
    <n v="7.92"/>
  </r>
  <r>
    <d v="2014-11-11T00:00:00"/>
    <x v="0"/>
    <x v="8"/>
    <x v="294"/>
    <x v="5"/>
    <x v="1"/>
    <x v="1"/>
    <s v="Hon Olson Stacker Stools"/>
    <n v="112.65"/>
    <n v="1"/>
    <n v="11.26"/>
  </r>
  <r>
    <d v="2014-11-11T00:00:00"/>
    <x v="0"/>
    <x v="8"/>
    <x v="295"/>
    <x v="13"/>
    <x v="1"/>
    <x v="5"/>
    <s v="GE 4 Foot Flourescent Tube, 40 Watt"/>
    <n v="23.97"/>
    <n v="2"/>
    <n v="7.79"/>
  </r>
  <r>
    <d v="2014-11-11T00:00:00"/>
    <x v="0"/>
    <x v="8"/>
    <x v="295"/>
    <x v="13"/>
    <x v="1"/>
    <x v="16"/>
    <s v="Atlantic Metals Mobile 3-Shelf Bookcases, Custom Colors"/>
    <n v="521.96"/>
    <n v="4"/>
    <n v="-250.54"/>
  </r>
  <r>
    <d v="2014-11-11T00:00:00"/>
    <x v="0"/>
    <x v="8"/>
    <x v="215"/>
    <x v="5"/>
    <x v="0"/>
    <x v="2"/>
    <s v="Mophie Juice Pack Helium for iPhone"/>
    <n v="575.92999999999995"/>
    <n v="9"/>
    <n v="57.59"/>
  </r>
  <r>
    <d v="2014-11-11T00:00:00"/>
    <x v="0"/>
    <x v="8"/>
    <x v="215"/>
    <x v="5"/>
    <x v="2"/>
    <x v="10"/>
    <s v="Commercial WindTunnel Clean Air Upright Vacuum, Replacement Belts, Filtration Bags"/>
    <n v="7.78"/>
    <n v="2"/>
    <n v="2.02"/>
  </r>
  <r>
    <d v="2014-11-11T00:00:00"/>
    <x v="0"/>
    <x v="8"/>
    <x v="215"/>
    <x v="5"/>
    <x v="2"/>
    <x v="3"/>
    <s v="Xerox 1979"/>
    <n v="123.92"/>
    <n v="4"/>
    <n v="55.76"/>
  </r>
  <r>
    <d v="2014-11-11T00:00:00"/>
    <x v="0"/>
    <x v="8"/>
    <x v="104"/>
    <x v="1"/>
    <x v="2"/>
    <x v="10"/>
    <s v="Belkin F5C206VTEL 6 Outlet Surge"/>
    <n v="22.98"/>
    <n v="1"/>
    <n v="6.89"/>
  </r>
  <r>
    <d v="2014-11-11T00:00:00"/>
    <x v="0"/>
    <x v="8"/>
    <x v="104"/>
    <x v="1"/>
    <x v="0"/>
    <x v="0"/>
    <s v="Belkin Standard 104 key USB Keyboard"/>
    <n v="102.13"/>
    <n v="7"/>
    <n v="15.32"/>
  </r>
  <r>
    <d v="2014-11-11T00:00:00"/>
    <x v="0"/>
    <x v="8"/>
    <x v="104"/>
    <x v="1"/>
    <x v="2"/>
    <x v="9"/>
    <s v="Fellowes PB500 Electric Punch Plastic Comb Binding Machine with Manual Bind"/>
    <n v="2033.58"/>
    <n v="2"/>
    <n v="762.59"/>
  </r>
  <r>
    <d v="2014-11-11T00:00:00"/>
    <x v="0"/>
    <x v="8"/>
    <x v="234"/>
    <x v="3"/>
    <x v="1"/>
    <x v="5"/>
    <s v="DAX Wood Document Frame."/>
    <n v="10.98"/>
    <n v="2"/>
    <n v="-7.96"/>
  </r>
  <r>
    <d v="2014-11-11T00:00:00"/>
    <x v="0"/>
    <x v="8"/>
    <x v="234"/>
    <x v="3"/>
    <x v="1"/>
    <x v="1"/>
    <s v="Global Commerce Series High-Back Swivel/Tilt Chairs"/>
    <n v="797.94"/>
    <n v="4"/>
    <n v="-57"/>
  </r>
  <r>
    <d v="2014-11-11T00:00:00"/>
    <x v="0"/>
    <x v="8"/>
    <x v="38"/>
    <x v="2"/>
    <x v="2"/>
    <x v="3"/>
    <s v="Wirebound Message Books, Four 2 3/4&quot; x 5&quot; Forms per Page, 600 Sets per Book"/>
    <n v="46.35"/>
    <n v="5"/>
    <n v="21.78"/>
  </r>
  <r>
    <d v="2014-11-11T00:00:00"/>
    <x v="0"/>
    <x v="8"/>
    <x v="38"/>
    <x v="2"/>
    <x v="2"/>
    <x v="3"/>
    <s v="Xerox 1882"/>
    <n v="223.92"/>
    <n v="4"/>
    <n v="109.72"/>
  </r>
  <r>
    <d v="2014-11-11T00:00:00"/>
    <x v="0"/>
    <x v="8"/>
    <x v="38"/>
    <x v="2"/>
    <x v="2"/>
    <x v="15"/>
    <s v="Acme Value Line Scissors"/>
    <n v="7.3"/>
    <n v="2"/>
    <n v="2.19"/>
  </r>
  <r>
    <d v="2014-02-12T00:00:00"/>
    <x v="0"/>
    <x v="0"/>
    <x v="54"/>
    <x v="5"/>
    <x v="1"/>
    <x v="1"/>
    <s v="Global Geo Office Task Chair, Gray"/>
    <n v="129.57"/>
    <n v="2"/>
    <n v="-24.29"/>
  </r>
  <r>
    <d v="2014-04-12T00:00:00"/>
    <x v="0"/>
    <x v="2"/>
    <x v="296"/>
    <x v="5"/>
    <x v="0"/>
    <x v="2"/>
    <s v="Pyle PMP37LED"/>
    <n v="1075.0899999999999"/>
    <n v="14"/>
    <n v="94.07"/>
  </r>
  <r>
    <d v="2014-04-12T00:00:00"/>
    <x v="0"/>
    <x v="2"/>
    <x v="296"/>
    <x v="5"/>
    <x v="0"/>
    <x v="2"/>
    <s v="AT&amp;T 1080 Corded phone"/>
    <n v="438.37"/>
    <n v="4"/>
    <n v="38.36"/>
  </r>
  <r>
    <d v="2014-04-12T00:00:00"/>
    <x v="0"/>
    <x v="2"/>
    <x v="296"/>
    <x v="5"/>
    <x v="2"/>
    <x v="9"/>
    <s v="Recycled Pressboard Report Cover with Reinforced Top Hinge"/>
    <n v="18.09"/>
    <n v="7"/>
    <n v="6.56"/>
  </r>
  <r>
    <d v="2014-04-12T00:00:00"/>
    <x v="0"/>
    <x v="2"/>
    <x v="296"/>
    <x v="5"/>
    <x v="1"/>
    <x v="16"/>
    <s v="O'Sullivan Living Dimensions 2-Shelf Bookcases"/>
    <n v="308.5"/>
    <n v="3"/>
    <n v="-18.149999999999999"/>
  </r>
  <r>
    <d v="2014-04-12T00:00:00"/>
    <x v="0"/>
    <x v="2"/>
    <x v="46"/>
    <x v="33"/>
    <x v="2"/>
    <x v="3"/>
    <s v="Xerox 213"/>
    <n v="32.4"/>
    <n v="5"/>
    <n v="15.55"/>
  </r>
  <r>
    <d v="2014-04-12T00:00:00"/>
    <x v="0"/>
    <x v="2"/>
    <x v="297"/>
    <x v="5"/>
    <x v="2"/>
    <x v="11"/>
    <s v="Prismacolor Color Pencil Set"/>
    <n v="39.68"/>
    <n v="2"/>
    <n v="16.27"/>
  </r>
  <r>
    <d v="2014-05-12T00:00:00"/>
    <x v="0"/>
    <x v="10"/>
    <x v="298"/>
    <x v="0"/>
    <x v="1"/>
    <x v="5"/>
    <s v="DAX Value U-Channel Document Frames, Easel Back"/>
    <n v="34.79"/>
    <n v="7"/>
    <n v="10.78"/>
  </r>
  <r>
    <d v="2014-05-12T00:00:00"/>
    <x v="0"/>
    <x v="10"/>
    <x v="207"/>
    <x v="6"/>
    <x v="1"/>
    <x v="7"/>
    <s v="Bevis Traditional Conference Table Top, Plinth Base"/>
    <n v="700.06"/>
    <n v="3"/>
    <n v="-130.01"/>
  </r>
  <r>
    <d v="2014-07-12T00:00:00"/>
    <x v="0"/>
    <x v="4"/>
    <x v="299"/>
    <x v="5"/>
    <x v="2"/>
    <x v="9"/>
    <s v="Tuff Stuff Recycled Round Ring Binders"/>
    <n v="7.71"/>
    <n v="2"/>
    <n v="2.8"/>
  </r>
  <r>
    <d v="2014-07-12T00:00:00"/>
    <x v="0"/>
    <x v="4"/>
    <x v="299"/>
    <x v="5"/>
    <x v="1"/>
    <x v="7"/>
    <s v="Hon 5100 Series Wood Tables"/>
    <n v="698.35"/>
    <n v="3"/>
    <n v="-17.46"/>
  </r>
  <r>
    <d v="2014-07-12T00:00:00"/>
    <x v="0"/>
    <x v="4"/>
    <x v="300"/>
    <x v="5"/>
    <x v="2"/>
    <x v="6"/>
    <s v="Fellowes Super Stor/Drawer"/>
    <n v="249.75"/>
    <n v="9"/>
    <n v="44.96"/>
  </r>
  <r>
    <d v="2014-07-12T00:00:00"/>
    <x v="0"/>
    <x v="4"/>
    <x v="300"/>
    <x v="5"/>
    <x v="0"/>
    <x v="2"/>
    <s v="GE DSL Phone Line Filter"/>
    <n v="255.94"/>
    <n v="8"/>
    <n v="28.79"/>
  </r>
  <r>
    <d v="2014-07-12T00:00:00"/>
    <x v="0"/>
    <x v="4"/>
    <x v="50"/>
    <x v="1"/>
    <x v="1"/>
    <x v="1"/>
    <s v="Safco Chair Connectors, 6/Carton"/>
    <n v="123.14"/>
    <n v="4"/>
    <n v="13.85"/>
  </r>
  <r>
    <d v="2014-07-12T00:00:00"/>
    <x v="0"/>
    <x v="4"/>
    <x v="50"/>
    <x v="1"/>
    <x v="2"/>
    <x v="9"/>
    <s v="Self-Adhesive Ring Binder Labels"/>
    <n v="11.26"/>
    <n v="4"/>
    <n v="3.8"/>
  </r>
  <r>
    <d v="2014-07-12T00:00:00"/>
    <x v="0"/>
    <x v="4"/>
    <x v="301"/>
    <x v="3"/>
    <x v="2"/>
    <x v="3"/>
    <s v="Xerox 1949"/>
    <n v="35.86"/>
    <n v="9"/>
    <n v="13"/>
  </r>
  <r>
    <d v="2014-07-12T00:00:00"/>
    <x v="0"/>
    <x v="4"/>
    <x v="301"/>
    <x v="3"/>
    <x v="0"/>
    <x v="0"/>
    <s v="Verbatim 25 GB 6x Blu-ray Single Layer Recordable Disc, 1/Pack"/>
    <n v="23.84"/>
    <n v="4"/>
    <n v="3.28"/>
  </r>
  <r>
    <d v="2014-07-12T00:00:00"/>
    <x v="0"/>
    <x v="4"/>
    <x v="302"/>
    <x v="4"/>
    <x v="1"/>
    <x v="1"/>
    <s v="Hon Deluxe Fabric Upholstered Stacking Chairs"/>
    <n v="512.36"/>
    <n v="3"/>
    <n v="-14.64"/>
  </r>
  <r>
    <d v="2014-07-12T00:00:00"/>
    <x v="0"/>
    <x v="4"/>
    <x v="302"/>
    <x v="4"/>
    <x v="2"/>
    <x v="4"/>
    <s v="Stockwell Push Pins"/>
    <n v="3.49"/>
    <n v="2"/>
    <n v="0.56999999999999995"/>
  </r>
  <r>
    <d v="2014-07-12T00:00:00"/>
    <x v="0"/>
    <x v="4"/>
    <x v="302"/>
    <x v="4"/>
    <x v="2"/>
    <x v="11"/>
    <s v="Fluorescent Highlighters by Dixon"/>
    <n v="22.29"/>
    <n v="7"/>
    <n v="3.9"/>
  </r>
  <r>
    <d v="2014-07-12T00:00:00"/>
    <x v="0"/>
    <x v="4"/>
    <x v="302"/>
    <x v="4"/>
    <x v="2"/>
    <x v="3"/>
    <s v="Xerox 195"/>
    <n v="16.03"/>
    <n v="3"/>
    <n v="5.61"/>
  </r>
  <r>
    <d v="2014-08-12T00:00:00"/>
    <x v="0"/>
    <x v="5"/>
    <x v="303"/>
    <x v="8"/>
    <x v="2"/>
    <x v="9"/>
    <s v="Performers Binder/Pad Holder, Black"/>
    <n v="196.21"/>
    <n v="7"/>
    <n v="98.11"/>
  </r>
  <r>
    <d v="2014-08-12T00:00:00"/>
    <x v="0"/>
    <x v="5"/>
    <x v="304"/>
    <x v="5"/>
    <x v="0"/>
    <x v="2"/>
    <s v="BlackBerry Q10"/>
    <n v="806.34"/>
    <n v="8"/>
    <n v="50.4"/>
  </r>
  <r>
    <d v="2014-08-12T00:00:00"/>
    <x v="0"/>
    <x v="5"/>
    <x v="304"/>
    <x v="5"/>
    <x v="1"/>
    <x v="5"/>
    <s v="Seth Thomas 14&quot; Day/Date Wall Clock"/>
    <n v="85.44"/>
    <n v="3"/>
    <n v="31.61"/>
  </r>
  <r>
    <d v="2014-08-12T00:00:00"/>
    <x v="0"/>
    <x v="5"/>
    <x v="305"/>
    <x v="11"/>
    <x v="2"/>
    <x v="3"/>
    <s v="Xerox 229"/>
    <n v="31.1"/>
    <n v="6"/>
    <n v="10.89"/>
  </r>
  <r>
    <d v="2014-08-12T00:00:00"/>
    <x v="0"/>
    <x v="5"/>
    <x v="305"/>
    <x v="11"/>
    <x v="2"/>
    <x v="11"/>
    <s v="Bulldog Vacuum Base Pencil Sharpener"/>
    <n v="47.96"/>
    <n v="5"/>
    <n v="4.2"/>
  </r>
  <r>
    <d v="2014-08-12T00:00:00"/>
    <x v="0"/>
    <x v="5"/>
    <x v="305"/>
    <x v="11"/>
    <x v="0"/>
    <x v="0"/>
    <s v="Maxell 4.7GB DVD-R"/>
    <n v="158.93"/>
    <n v="7"/>
    <n v="41.72"/>
  </r>
  <r>
    <d v="2014-08-12T00:00:00"/>
    <x v="0"/>
    <x v="5"/>
    <x v="305"/>
    <x v="11"/>
    <x v="2"/>
    <x v="10"/>
    <s v="Acco Smartsocket Color-Coded Six-Outlet AC Adapter Model Surge Protectors"/>
    <n v="211.25"/>
    <n v="6"/>
    <n v="15.84"/>
  </r>
  <r>
    <d v="2014-08-12T00:00:00"/>
    <x v="0"/>
    <x v="5"/>
    <x v="305"/>
    <x v="11"/>
    <x v="2"/>
    <x v="15"/>
    <s v="Acco Side-Punched Conventional Columnar Pads"/>
    <n v="5.55"/>
    <n v="2"/>
    <n v="-1.04"/>
  </r>
  <r>
    <d v="2014-08-12T00:00:00"/>
    <x v="0"/>
    <x v="5"/>
    <x v="305"/>
    <x v="11"/>
    <x v="2"/>
    <x v="8"/>
    <s v="Avery 501"/>
    <n v="2.95"/>
    <n v="1"/>
    <n v="1"/>
  </r>
  <r>
    <d v="2014-08-12T00:00:00"/>
    <x v="0"/>
    <x v="5"/>
    <x v="306"/>
    <x v="19"/>
    <x v="2"/>
    <x v="9"/>
    <s v="Acco Translucent Poly Ring Binders"/>
    <n v="14.04"/>
    <n v="3"/>
    <n v="6.74"/>
  </r>
  <r>
    <d v="2014-08-12T00:00:00"/>
    <x v="0"/>
    <x v="5"/>
    <x v="306"/>
    <x v="19"/>
    <x v="0"/>
    <x v="0"/>
    <s v="Maxell 74 Minute CD-R Spindle, 50/Pack"/>
    <n v="272.61"/>
    <n v="13"/>
    <n v="98.14"/>
  </r>
  <r>
    <d v="2014-09-12T00:00:00"/>
    <x v="0"/>
    <x v="6"/>
    <x v="161"/>
    <x v="2"/>
    <x v="0"/>
    <x v="14"/>
    <s v="Epson WorkForce WF-2530 All-in-One Printer, Copier Scanner"/>
    <n v="69.989999999999995"/>
    <n v="1"/>
    <n v="30.1"/>
  </r>
  <r>
    <d v="2014-09-12T00:00:00"/>
    <x v="0"/>
    <x v="6"/>
    <x v="307"/>
    <x v="12"/>
    <x v="2"/>
    <x v="3"/>
    <s v="Xerox 220"/>
    <n v="10.37"/>
    <n v="2"/>
    <n v="3.63"/>
  </r>
  <r>
    <d v="2014-09-12T00:00:00"/>
    <x v="0"/>
    <x v="6"/>
    <x v="307"/>
    <x v="12"/>
    <x v="2"/>
    <x v="10"/>
    <s v="Fellowes 8 Outlet Superior Workstation Surge Protector"/>
    <n v="166.84"/>
    <n v="5"/>
    <n v="18.77"/>
  </r>
  <r>
    <d v="2014-09-12T00:00:00"/>
    <x v="0"/>
    <x v="6"/>
    <x v="307"/>
    <x v="12"/>
    <x v="0"/>
    <x v="0"/>
    <s v="SanDisk Cruzer 32 GB USB Flash Drive"/>
    <n v="15.22"/>
    <n v="1"/>
    <n v="2.2799999999999998"/>
  </r>
  <r>
    <d v="2014-09-12T00:00:00"/>
    <x v="0"/>
    <x v="6"/>
    <x v="308"/>
    <x v="4"/>
    <x v="2"/>
    <x v="9"/>
    <s v="Wilson Jones Impact Binders"/>
    <n v="5.18"/>
    <n v="5"/>
    <n v="-8.0299999999999994"/>
  </r>
  <r>
    <d v="2014-09-12T00:00:00"/>
    <x v="0"/>
    <x v="6"/>
    <x v="255"/>
    <x v="18"/>
    <x v="2"/>
    <x v="9"/>
    <s v="Premier Elliptical Ring Binder, Black"/>
    <n v="63.92"/>
    <n v="7"/>
    <n v="-46.88"/>
  </r>
  <r>
    <d v="2014-09-12T00:00:00"/>
    <x v="0"/>
    <x v="6"/>
    <x v="309"/>
    <x v="39"/>
    <x v="2"/>
    <x v="15"/>
    <s v="Compact Automatic Electric Letter Opener"/>
    <n v="357.93"/>
    <n v="3"/>
    <n v="7.16"/>
  </r>
  <r>
    <d v="2014-09-12T00:00:00"/>
    <x v="0"/>
    <x v="6"/>
    <x v="309"/>
    <x v="39"/>
    <x v="0"/>
    <x v="0"/>
    <s v="SanDisk Cruzer 16 GB USB Flash Drive"/>
    <n v="57.4"/>
    <n v="5"/>
    <n v="10.91"/>
  </r>
  <r>
    <d v="2014-09-12T00:00:00"/>
    <x v="0"/>
    <x v="6"/>
    <x v="309"/>
    <x v="39"/>
    <x v="2"/>
    <x v="9"/>
    <s v="GBC DocuBind P100 Manual Binding Machine"/>
    <n v="331.96"/>
    <n v="2"/>
    <n v="149.38"/>
  </r>
  <r>
    <d v="2014-09-12T00:00:00"/>
    <x v="0"/>
    <x v="6"/>
    <x v="309"/>
    <x v="39"/>
    <x v="1"/>
    <x v="5"/>
    <s v="Seth Thomas 8 1/2&quot; Cubicle Clock"/>
    <n v="40.56"/>
    <n v="2"/>
    <n v="12.98"/>
  </r>
  <r>
    <d v="2014-09-12T00:00:00"/>
    <x v="0"/>
    <x v="6"/>
    <x v="310"/>
    <x v="2"/>
    <x v="1"/>
    <x v="1"/>
    <s v="HON 5400 Series Task Chairs for Big and Tall"/>
    <n v="3785.29"/>
    <n v="6"/>
    <n v="420.59"/>
  </r>
  <r>
    <d v="2014-10-12T00:00:00"/>
    <x v="0"/>
    <x v="7"/>
    <x v="227"/>
    <x v="5"/>
    <x v="2"/>
    <x v="11"/>
    <s v="Premium Writing Pencils, Soft, #2 by Central Association for the Blind"/>
    <n v="14.9"/>
    <n v="5"/>
    <n v="4.17"/>
  </r>
  <r>
    <d v="2014-10-12T00:00:00"/>
    <x v="0"/>
    <x v="7"/>
    <x v="227"/>
    <x v="5"/>
    <x v="2"/>
    <x v="6"/>
    <s v="Sortfiler Multipurpose Personal File Organizer, Black"/>
    <n v="21.39"/>
    <n v="1"/>
    <n v="6.2"/>
  </r>
  <r>
    <d v="2014-10-12T00:00:00"/>
    <x v="0"/>
    <x v="7"/>
    <x v="311"/>
    <x v="3"/>
    <x v="2"/>
    <x v="15"/>
    <s v="Acme Hot Forged Carbon Steel Scissors with Nickel-Plated Handles, 3 7/8&quot; Cut, 8&quot;L"/>
    <n v="22.24"/>
    <n v="2"/>
    <n v="2.5"/>
  </r>
  <r>
    <d v="2014-11-12T00:00:00"/>
    <x v="0"/>
    <x v="8"/>
    <x v="312"/>
    <x v="4"/>
    <x v="2"/>
    <x v="6"/>
    <s v="Personal Filing Tote with Lid, Black/Gray"/>
    <n v="49.63"/>
    <n v="4"/>
    <n v="4.96"/>
  </r>
  <r>
    <d v="2014-11-12T00:00:00"/>
    <x v="0"/>
    <x v="8"/>
    <x v="313"/>
    <x v="5"/>
    <x v="2"/>
    <x v="3"/>
    <s v="Xerox 1974"/>
    <n v="11.96"/>
    <n v="2"/>
    <n v="5.86"/>
  </r>
  <r>
    <d v="2014-11-12T00:00:00"/>
    <x v="0"/>
    <x v="8"/>
    <x v="313"/>
    <x v="5"/>
    <x v="1"/>
    <x v="7"/>
    <s v="Bevis Boat-Shaped Conference Table"/>
    <n v="629.05999999999995"/>
    <n v="3"/>
    <n v="31.45"/>
  </r>
  <r>
    <d v="2014-11-12T00:00:00"/>
    <x v="0"/>
    <x v="8"/>
    <x v="94"/>
    <x v="12"/>
    <x v="2"/>
    <x v="11"/>
    <s v="Newell 350"/>
    <n v="7.87"/>
    <n v="3"/>
    <n v="0.89"/>
  </r>
  <r>
    <d v="2014-11-12T00:00:00"/>
    <x v="0"/>
    <x v="8"/>
    <x v="314"/>
    <x v="4"/>
    <x v="2"/>
    <x v="11"/>
    <s v="Avery Fluorescent Highlighter Four-Color Set"/>
    <n v="2.67"/>
    <n v="1"/>
    <n v="0.33"/>
  </r>
  <r>
    <d v="2014-11-12T00:00:00"/>
    <x v="0"/>
    <x v="8"/>
    <x v="314"/>
    <x v="4"/>
    <x v="2"/>
    <x v="15"/>
    <s v="Acco Side-Punched Conventional Columnar Pads"/>
    <n v="16.66"/>
    <n v="6"/>
    <n v="-3.12"/>
  </r>
  <r>
    <d v="2014-11-12T00:00:00"/>
    <x v="0"/>
    <x v="8"/>
    <x v="314"/>
    <x v="4"/>
    <x v="0"/>
    <x v="0"/>
    <s v="ImationÂ 16GB Mini TravelDrive USB 2.0Â Flash Drive"/>
    <n v="79.510000000000005"/>
    <n v="3"/>
    <n v="20.87"/>
  </r>
  <r>
    <d v="2014-11-12T00:00:00"/>
    <x v="0"/>
    <x v="8"/>
    <x v="314"/>
    <x v="4"/>
    <x v="2"/>
    <x v="3"/>
    <s v="Xerox 216"/>
    <n v="36.29"/>
    <n v="7"/>
    <n v="12.7"/>
  </r>
  <r>
    <d v="2014-11-12T00:00:00"/>
    <x v="0"/>
    <x v="8"/>
    <x v="314"/>
    <x v="4"/>
    <x v="1"/>
    <x v="16"/>
    <s v="Bestar Classic Bookcase"/>
    <n v="67.989999999999995"/>
    <n v="1"/>
    <n v="-13"/>
  </r>
  <r>
    <d v="2014-11-12T00:00:00"/>
    <x v="0"/>
    <x v="8"/>
    <x v="69"/>
    <x v="4"/>
    <x v="1"/>
    <x v="5"/>
    <s v="GE General Use Halogen Bulbs, 100 Watts, 1 Bulb per Pack"/>
    <n v="25.13"/>
    <n v="3"/>
    <n v="-6.91"/>
  </r>
  <r>
    <d v="2014-11-12T00:00:00"/>
    <x v="0"/>
    <x v="8"/>
    <x v="69"/>
    <x v="4"/>
    <x v="0"/>
    <x v="0"/>
    <s v="Logitech G602 Wireless Gaming Mouse"/>
    <n v="127.98"/>
    <n v="2"/>
    <n v="25.6"/>
  </r>
  <r>
    <d v="2014-12-12T00:00:00"/>
    <x v="0"/>
    <x v="9"/>
    <x v="142"/>
    <x v="5"/>
    <x v="1"/>
    <x v="7"/>
    <s v="Hon Non-Folding Utility Tables"/>
    <n v="764.69"/>
    <n v="6"/>
    <n v="95.59"/>
  </r>
  <r>
    <d v="2014-12-12T00:00:00"/>
    <x v="0"/>
    <x v="9"/>
    <x v="142"/>
    <x v="5"/>
    <x v="1"/>
    <x v="7"/>
    <s v="Bretford Rectangular Conference Table Tops"/>
    <n v="3610.85"/>
    <n v="12"/>
    <n v="135.41"/>
  </r>
  <r>
    <d v="2014-12-12T00:00:00"/>
    <x v="0"/>
    <x v="9"/>
    <x v="142"/>
    <x v="5"/>
    <x v="1"/>
    <x v="16"/>
    <s v="Bestar Classic Bookcase"/>
    <n v="254.97"/>
    <n v="3"/>
    <n v="12"/>
  </r>
  <r>
    <d v="2014-12-12T00:00:00"/>
    <x v="0"/>
    <x v="9"/>
    <x v="119"/>
    <x v="5"/>
    <x v="1"/>
    <x v="5"/>
    <s v="Eldon Advantage Chair Mats for Low to Medium Pile Carpets"/>
    <n v="43.31"/>
    <n v="1"/>
    <n v="4.33"/>
  </r>
  <r>
    <d v="2014-12-12T00:00:00"/>
    <x v="0"/>
    <x v="9"/>
    <x v="315"/>
    <x v="4"/>
    <x v="2"/>
    <x v="9"/>
    <s v="GBC DocuBind 300 Electric Binding Machine"/>
    <n v="210.39"/>
    <n v="2"/>
    <n v="-336.63"/>
  </r>
  <r>
    <d v="2014-12-12T00:00:00"/>
    <x v="0"/>
    <x v="9"/>
    <x v="316"/>
    <x v="5"/>
    <x v="1"/>
    <x v="5"/>
    <s v="Eldon Image Series Desk Accessories, Burgundy"/>
    <n v="12.54"/>
    <n v="3"/>
    <n v="4.51"/>
  </r>
  <r>
    <d v="2014-12-12T00:00:00"/>
    <x v="0"/>
    <x v="9"/>
    <x v="316"/>
    <x v="5"/>
    <x v="2"/>
    <x v="6"/>
    <s v="Woodgrain Magazine Files by Perma"/>
    <n v="8.94"/>
    <n v="3"/>
    <n v="0.63"/>
  </r>
  <r>
    <d v="2014-12-12T00:00:00"/>
    <x v="0"/>
    <x v="9"/>
    <x v="316"/>
    <x v="5"/>
    <x v="1"/>
    <x v="5"/>
    <s v="Longer-Life Soft White Bulbs"/>
    <n v="9.24"/>
    <n v="3"/>
    <n v="4.4400000000000004"/>
  </r>
  <r>
    <d v="2014-12-12T00:00:00"/>
    <x v="0"/>
    <x v="9"/>
    <x v="317"/>
    <x v="11"/>
    <x v="2"/>
    <x v="13"/>
    <s v="Staple envelope"/>
    <n v="23.47"/>
    <n v="3"/>
    <n v="7.63"/>
  </r>
  <r>
    <d v="2015-03-01T00:00:00"/>
    <x v="1"/>
    <x v="1"/>
    <x v="318"/>
    <x v="19"/>
    <x v="2"/>
    <x v="9"/>
    <s v="XtraLife ClearVue Slant-D Ring Binder, White, 3&quot;"/>
    <n v="58.72"/>
    <n v="4"/>
    <n v="27.01"/>
  </r>
  <r>
    <d v="2015-03-01T00:00:00"/>
    <x v="1"/>
    <x v="1"/>
    <x v="319"/>
    <x v="5"/>
    <x v="0"/>
    <x v="2"/>
    <s v="Square Credit Card Reader"/>
    <n v="15.98"/>
    <n v="2"/>
    <n v="1.2"/>
  </r>
  <r>
    <d v="2015-03-01T00:00:00"/>
    <x v="1"/>
    <x v="1"/>
    <x v="319"/>
    <x v="5"/>
    <x v="1"/>
    <x v="1"/>
    <s v="Global Deluxe Steno Chair"/>
    <n v="184.75"/>
    <n v="3"/>
    <n v="-20.78"/>
  </r>
  <r>
    <d v="2015-03-01T00:00:00"/>
    <x v="1"/>
    <x v="1"/>
    <x v="30"/>
    <x v="13"/>
    <x v="2"/>
    <x v="10"/>
    <s v="Hoover Replacement Belt for Commercial Guardsman Heavy-Duty Upright Vacuum"/>
    <n v="3.55"/>
    <n v="2"/>
    <n v="0.44"/>
  </r>
  <r>
    <d v="2015-03-01T00:00:00"/>
    <x v="1"/>
    <x v="1"/>
    <x v="186"/>
    <x v="4"/>
    <x v="2"/>
    <x v="11"/>
    <s v="Panasonic KP-350BK Electric Pencil Sharpener with Auto Stop"/>
    <n v="55.33"/>
    <n v="2"/>
    <n v="6.22"/>
  </r>
  <r>
    <d v="2015-03-01T00:00:00"/>
    <x v="1"/>
    <x v="1"/>
    <x v="186"/>
    <x v="4"/>
    <x v="1"/>
    <x v="16"/>
    <s v="Atlantic Metals Mobile 5-Shelf Bookcases, Custom Colors"/>
    <n v="1228"/>
    <n v="6"/>
    <n v="-36.119999999999997"/>
  </r>
  <r>
    <d v="2015-03-01T00:00:00"/>
    <x v="1"/>
    <x v="1"/>
    <x v="320"/>
    <x v="4"/>
    <x v="0"/>
    <x v="2"/>
    <s v="Jackery Bar Premium Fast-charging Portable Charger"/>
    <n v="95.84"/>
    <n v="4"/>
    <n v="34.74"/>
  </r>
  <r>
    <d v="2015-05-01T00:00:00"/>
    <x v="1"/>
    <x v="10"/>
    <x v="321"/>
    <x v="5"/>
    <x v="0"/>
    <x v="2"/>
    <s v="OtterBox Defender Series Case - iPhone 5c"/>
    <n v="88.75"/>
    <n v="3"/>
    <n v="11.09"/>
  </r>
  <r>
    <d v="2015-05-01T00:00:00"/>
    <x v="1"/>
    <x v="10"/>
    <x v="322"/>
    <x v="11"/>
    <x v="1"/>
    <x v="5"/>
    <s v="DAX Black Cherry Wood-Tone Poster Frame"/>
    <n v="63.55"/>
    <n v="3"/>
    <n v="14.3"/>
  </r>
  <r>
    <d v="2015-05-01T00:00:00"/>
    <x v="1"/>
    <x v="10"/>
    <x v="322"/>
    <x v="11"/>
    <x v="2"/>
    <x v="15"/>
    <s v="Fiskars 8&quot; Scissors, 2/Pack"/>
    <n v="41.38"/>
    <n v="3"/>
    <n v="4.6500000000000004"/>
  </r>
  <r>
    <d v="2015-05-01T00:00:00"/>
    <x v="1"/>
    <x v="10"/>
    <x v="322"/>
    <x v="11"/>
    <x v="2"/>
    <x v="11"/>
    <s v="Panasonic KP-380BK Classic Electric Pencil Sharpener"/>
    <n v="172.7"/>
    <n v="6"/>
    <n v="10.79"/>
  </r>
  <r>
    <d v="2015-05-01T00:00:00"/>
    <x v="1"/>
    <x v="10"/>
    <x v="58"/>
    <x v="5"/>
    <x v="2"/>
    <x v="9"/>
    <s v="GBC Twin Loop Wire Binding Elements, 9/16&quot; Spine, Black"/>
    <n v="12.18"/>
    <n v="1"/>
    <n v="4.41"/>
  </r>
  <r>
    <d v="2015-05-01T00:00:00"/>
    <x v="1"/>
    <x v="10"/>
    <x v="58"/>
    <x v="5"/>
    <x v="2"/>
    <x v="6"/>
    <s v="Eldon Simplefile Box Office"/>
    <n v="37.32"/>
    <n v="3"/>
    <n v="10.45"/>
  </r>
  <r>
    <d v="2015-05-01T00:00:00"/>
    <x v="1"/>
    <x v="10"/>
    <x v="58"/>
    <x v="5"/>
    <x v="2"/>
    <x v="15"/>
    <s v="Acme 10&quot; Easy Grip Assistive Scissors"/>
    <n v="35.06"/>
    <n v="2"/>
    <n v="10.52"/>
  </r>
  <r>
    <d v="2015-06-01T00:00:00"/>
    <x v="1"/>
    <x v="3"/>
    <x v="75"/>
    <x v="4"/>
    <x v="2"/>
    <x v="9"/>
    <s v="Avery Poly Binder Pockets"/>
    <n v="5.73"/>
    <n v="8"/>
    <n v="-9.16"/>
  </r>
  <r>
    <d v="2015-06-01T00:00:00"/>
    <x v="1"/>
    <x v="3"/>
    <x v="75"/>
    <x v="4"/>
    <x v="2"/>
    <x v="3"/>
    <s v="Xerox 1928"/>
    <n v="42.24"/>
    <n v="10"/>
    <n v="13.2"/>
  </r>
  <r>
    <d v="2015-06-01T00:00:00"/>
    <x v="1"/>
    <x v="3"/>
    <x v="71"/>
    <x v="10"/>
    <x v="0"/>
    <x v="2"/>
    <s v="Polycom CX300 Desktop Phone USB VoIP phone"/>
    <n v="299.98"/>
    <n v="2"/>
    <n v="83.99"/>
  </r>
  <r>
    <d v="2015-06-01T00:00:00"/>
    <x v="1"/>
    <x v="3"/>
    <x v="71"/>
    <x v="10"/>
    <x v="2"/>
    <x v="9"/>
    <s v="Catalog Binders with Expanding Posts"/>
    <n v="403.68"/>
    <n v="6"/>
    <n v="181.66"/>
  </r>
  <r>
    <d v="2015-06-01T00:00:00"/>
    <x v="1"/>
    <x v="3"/>
    <x v="71"/>
    <x v="10"/>
    <x v="0"/>
    <x v="2"/>
    <s v="iKross Bluetooth Portable Keyboard + Cell Phone Stand Holder + Brush for Apple iPhone 5S 5C 5, 4S 4"/>
    <n v="41.9"/>
    <n v="2"/>
    <n v="11.73"/>
  </r>
  <r>
    <d v="2015-06-01T00:00:00"/>
    <x v="1"/>
    <x v="3"/>
    <x v="71"/>
    <x v="10"/>
    <x v="2"/>
    <x v="8"/>
    <s v="Avery 491"/>
    <n v="28.91"/>
    <n v="7"/>
    <n v="13.3"/>
  </r>
  <r>
    <d v="2015-06-01T00:00:00"/>
    <x v="1"/>
    <x v="3"/>
    <x v="323"/>
    <x v="5"/>
    <x v="2"/>
    <x v="3"/>
    <s v="Adams Telephone Message Book W/Dividers/Space For Phone Numbers, 5 1/4&quot;X8 1/2&quot;, 300/Messages"/>
    <n v="11.76"/>
    <n v="2"/>
    <n v="5.76"/>
  </r>
  <r>
    <d v="2015-08-01T00:00:00"/>
    <x v="1"/>
    <x v="5"/>
    <x v="205"/>
    <x v="5"/>
    <x v="2"/>
    <x v="11"/>
    <s v="Prang Dustless Chalk Sticks"/>
    <n v="6.72"/>
    <n v="4"/>
    <n v="3.36"/>
  </r>
  <r>
    <d v="2015-08-01T00:00:00"/>
    <x v="1"/>
    <x v="5"/>
    <x v="205"/>
    <x v="5"/>
    <x v="1"/>
    <x v="7"/>
    <s v="Hon 2111 Invitation Series Corner Table"/>
    <n v="1004.98"/>
    <n v="6"/>
    <n v="-175.87"/>
  </r>
  <r>
    <d v="2015-09-01T00:00:00"/>
    <x v="1"/>
    <x v="6"/>
    <x v="324"/>
    <x v="5"/>
    <x v="2"/>
    <x v="9"/>
    <s v="Storex Dura Pro Binders"/>
    <n v="4.75"/>
    <n v="1"/>
    <n v="1.6"/>
  </r>
  <r>
    <d v="2015-09-01T00:00:00"/>
    <x v="1"/>
    <x v="6"/>
    <x v="324"/>
    <x v="5"/>
    <x v="0"/>
    <x v="12"/>
    <s v="Hewlett Packard LaserJet 3310 Copier"/>
    <n v="959.98"/>
    <n v="2"/>
    <n v="335.99"/>
  </r>
  <r>
    <d v="2015-09-01T00:00:00"/>
    <x v="1"/>
    <x v="6"/>
    <x v="324"/>
    <x v="5"/>
    <x v="2"/>
    <x v="9"/>
    <s v="Avery Non-Stick Binders"/>
    <n v="14.37"/>
    <n v="4"/>
    <n v="4.49"/>
  </r>
  <r>
    <d v="2015-09-01T00:00:00"/>
    <x v="1"/>
    <x v="6"/>
    <x v="325"/>
    <x v="6"/>
    <x v="2"/>
    <x v="9"/>
    <s v="Deluxe Heavy-Duty Vinyl Round Ring Binder"/>
    <n v="114.6"/>
    <n v="5"/>
    <n v="51.57"/>
  </r>
  <r>
    <d v="2015-09-01T00:00:00"/>
    <x v="1"/>
    <x v="6"/>
    <x v="325"/>
    <x v="6"/>
    <x v="1"/>
    <x v="1"/>
    <s v="Global Value Steno Chair, Gray"/>
    <n v="60.74"/>
    <n v="1"/>
    <n v="15.19"/>
  </r>
  <r>
    <d v="2015-09-01T00:00:00"/>
    <x v="1"/>
    <x v="6"/>
    <x v="325"/>
    <x v="6"/>
    <x v="1"/>
    <x v="5"/>
    <s v="Deflect-o Glass Clear Studded Chair Mats"/>
    <n v="124.36"/>
    <n v="2"/>
    <n v="27.36"/>
  </r>
  <r>
    <d v="2015-09-01T00:00:00"/>
    <x v="1"/>
    <x v="6"/>
    <x v="325"/>
    <x v="6"/>
    <x v="2"/>
    <x v="6"/>
    <s v="Adjustable Depth Letter/Legal Cart"/>
    <n v="1088.76"/>
    <n v="6"/>
    <n v="315.74"/>
  </r>
  <r>
    <d v="2015-10-01T00:00:00"/>
    <x v="1"/>
    <x v="7"/>
    <x v="326"/>
    <x v="15"/>
    <x v="2"/>
    <x v="6"/>
    <s v="Trav-L-File Heavy-Duty Shuttle II, Black"/>
    <n v="139.41999999999999"/>
    <n v="4"/>
    <n v="17.43"/>
  </r>
  <r>
    <d v="2015-10-01T00:00:00"/>
    <x v="1"/>
    <x v="7"/>
    <x v="327"/>
    <x v="6"/>
    <x v="0"/>
    <x v="2"/>
    <s v="Cisco SPA301"/>
    <n v="311.98"/>
    <n v="2"/>
    <n v="93.59"/>
  </r>
  <r>
    <d v="2015-10-01T00:00:00"/>
    <x v="1"/>
    <x v="7"/>
    <x v="327"/>
    <x v="6"/>
    <x v="2"/>
    <x v="9"/>
    <s v="Avery Non-Stick Binders"/>
    <n v="22.45"/>
    <n v="5"/>
    <n v="10.33"/>
  </r>
  <r>
    <d v="2015-10-01T00:00:00"/>
    <x v="1"/>
    <x v="7"/>
    <x v="328"/>
    <x v="3"/>
    <x v="2"/>
    <x v="9"/>
    <s v="Accohide Poly Flexible Ring Binders"/>
    <n v="2.99"/>
    <n v="4"/>
    <n v="-4.49"/>
  </r>
  <r>
    <d v="2015-10-01T00:00:00"/>
    <x v="1"/>
    <x v="7"/>
    <x v="328"/>
    <x v="3"/>
    <x v="0"/>
    <x v="0"/>
    <s v="Lenovo 17-Key USB Numeric Keypad"/>
    <n v="108.77"/>
    <n v="4"/>
    <n v="2.72"/>
  </r>
  <r>
    <d v="2015-10-01T00:00:00"/>
    <x v="1"/>
    <x v="7"/>
    <x v="328"/>
    <x v="16"/>
    <x v="0"/>
    <x v="2"/>
    <s v="Wilson Electronics DB Pro Signal Booster"/>
    <n v="572.79999999999995"/>
    <n v="2"/>
    <n v="50.12"/>
  </r>
  <r>
    <d v="2015-11-01T00:00:00"/>
    <x v="1"/>
    <x v="8"/>
    <x v="188"/>
    <x v="13"/>
    <x v="0"/>
    <x v="0"/>
    <s v="SanDisk Ultra 32 GB MicroSDHC Class 10 Memory Card"/>
    <n v="35.36"/>
    <n v="2"/>
    <n v="-3.09"/>
  </r>
  <r>
    <d v="2015-11-01T00:00:00"/>
    <x v="1"/>
    <x v="8"/>
    <x v="188"/>
    <x v="13"/>
    <x v="2"/>
    <x v="4"/>
    <s v="Brites Rubber Bands, 1 1/2 oz. Box"/>
    <n v="3.17"/>
    <n v="2"/>
    <n v="-0.71"/>
  </r>
  <r>
    <d v="2015-11-01T00:00:00"/>
    <x v="1"/>
    <x v="8"/>
    <x v="11"/>
    <x v="2"/>
    <x v="0"/>
    <x v="2"/>
    <s v="Cush Cases Heavy Duty Rugged Cover Case for Samsung Galaxy S5 - Purple"/>
    <n v="4.95"/>
    <n v="1"/>
    <n v="1.34"/>
  </r>
  <r>
    <d v="2015-11-01T00:00:00"/>
    <x v="1"/>
    <x v="8"/>
    <x v="112"/>
    <x v="2"/>
    <x v="2"/>
    <x v="3"/>
    <s v="Avoid Verbal Orders Carbonless Minifold Book"/>
    <n v="13.52"/>
    <n v="4"/>
    <n v="6.22"/>
  </r>
  <r>
    <d v="2015-11-01T00:00:00"/>
    <x v="1"/>
    <x v="8"/>
    <x v="112"/>
    <x v="2"/>
    <x v="1"/>
    <x v="5"/>
    <s v="Howard Miller 11-1/2&quot; Diameter Ridgewood Wall Clock"/>
    <n v="259.7"/>
    <n v="5"/>
    <n v="106.48"/>
  </r>
  <r>
    <d v="2015-11-01T00:00:00"/>
    <x v="1"/>
    <x v="8"/>
    <x v="112"/>
    <x v="2"/>
    <x v="0"/>
    <x v="2"/>
    <s v="Plantronics MX500i Earset"/>
    <n v="42.95"/>
    <n v="1"/>
    <n v="1.29"/>
  </r>
  <r>
    <d v="2015-11-01T00:00:00"/>
    <x v="1"/>
    <x v="8"/>
    <x v="112"/>
    <x v="2"/>
    <x v="0"/>
    <x v="0"/>
    <s v="Razer Tiamat Over Ear 7.1 Surround Sound PC Gaming Headset"/>
    <n v="1399.93"/>
    <n v="7"/>
    <n v="601.97"/>
  </r>
  <r>
    <d v="2015-11-01T00:00:00"/>
    <x v="1"/>
    <x v="8"/>
    <x v="112"/>
    <x v="2"/>
    <x v="0"/>
    <x v="2"/>
    <s v="Xblue XB-1670-86 X16 SmallÂ Office TelephoneÂ - Titanium"/>
    <n v="503.96"/>
    <n v="4"/>
    <n v="125.99"/>
  </r>
  <r>
    <d v="2015-11-01T00:00:00"/>
    <x v="1"/>
    <x v="8"/>
    <x v="267"/>
    <x v="16"/>
    <x v="2"/>
    <x v="11"/>
    <s v="Lumber Crayons"/>
    <n v="7.88"/>
    <n v="1"/>
    <n v="1.77"/>
  </r>
  <r>
    <d v="2015-11-01T00:00:00"/>
    <x v="1"/>
    <x v="8"/>
    <x v="118"/>
    <x v="9"/>
    <x v="1"/>
    <x v="7"/>
    <s v="Iceberg OfficeWorks 42&quot; Round Tables"/>
    <n v="301.95999999999998"/>
    <n v="2"/>
    <n v="45.29"/>
  </r>
  <r>
    <d v="2015-11-01T00:00:00"/>
    <x v="1"/>
    <x v="8"/>
    <x v="329"/>
    <x v="2"/>
    <x v="1"/>
    <x v="1"/>
    <s v="Global Highback Leather Tilter in Burgundy"/>
    <n v="327.56"/>
    <n v="4"/>
    <n v="21.84"/>
  </r>
  <r>
    <d v="2015-11-01T00:00:00"/>
    <x v="1"/>
    <x v="8"/>
    <x v="330"/>
    <x v="2"/>
    <x v="1"/>
    <x v="1"/>
    <s v="Hon Comfortask Task/Swivel Chairs"/>
    <n v="205.16"/>
    <n v="2"/>
    <n v="13.68"/>
  </r>
  <r>
    <d v="2015-12-01T00:00:00"/>
    <x v="1"/>
    <x v="9"/>
    <x v="246"/>
    <x v="1"/>
    <x v="2"/>
    <x v="9"/>
    <s v="Wilson Jones Heavy-Duty Casebound Ring Binders with Metal Hinges"/>
    <n v="55.42"/>
    <n v="2"/>
    <n v="19.399999999999999"/>
  </r>
  <r>
    <d v="2015-12-01T00:00:00"/>
    <x v="1"/>
    <x v="9"/>
    <x v="331"/>
    <x v="4"/>
    <x v="1"/>
    <x v="5"/>
    <s v="Eldon Image Series Desk Accessories, Burgundy"/>
    <n v="6.69"/>
    <n v="4"/>
    <n v="-4.01"/>
  </r>
  <r>
    <d v="2015-12-01T00:00:00"/>
    <x v="1"/>
    <x v="9"/>
    <x v="332"/>
    <x v="1"/>
    <x v="2"/>
    <x v="11"/>
    <s v="Prang Drawing Pencil Set"/>
    <n v="13.9"/>
    <n v="5"/>
    <n v="5.56"/>
  </r>
  <r>
    <d v="2015-12-01T00:00:00"/>
    <x v="1"/>
    <x v="9"/>
    <x v="333"/>
    <x v="20"/>
    <x v="2"/>
    <x v="6"/>
    <s v="Decoflex Hanging Personal Folder File, Blue"/>
    <n v="61.68"/>
    <n v="4"/>
    <n v="16.649999999999999"/>
  </r>
  <r>
    <d v="2015-12-01T00:00:00"/>
    <x v="1"/>
    <x v="9"/>
    <x v="333"/>
    <x v="20"/>
    <x v="2"/>
    <x v="9"/>
    <s v="GBC Pre-Punched Binding Paper, Plastic, White, 8-1/2&quot; x 11&quot;"/>
    <n v="63.96"/>
    <n v="4"/>
    <n v="30.7"/>
  </r>
  <r>
    <d v="2015-12-01T00:00:00"/>
    <x v="1"/>
    <x v="9"/>
    <x v="334"/>
    <x v="1"/>
    <x v="1"/>
    <x v="1"/>
    <s v="Global Troy Executive Leather Low-Back Tilter"/>
    <n v="2003.92"/>
    <n v="5"/>
    <n v="125.25"/>
  </r>
  <r>
    <d v="2015-12-01T00:00:00"/>
    <x v="1"/>
    <x v="9"/>
    <x v="334"/>
    <x v="1"/>
    <x v="2"/>
    <x v="3"/>
    <s v="Xerox 219"/>
    <n v="32.4"/>
    <n v="5"/>
    <n v="15.55"/>
  </r>
  <r>
    <d v="2015-12-01T00:00:00"/>
    <x v="1"/>
    <x v="9"/>
    <x v="334"/>
    <x v="1"/>
    <x v="1"/>
    <x v="7"/>
    <s v="Bush Advantage Collection Round Conference Table"/>
    <n v="1913.4"/>
    <n v="9"/>
    <n v="401.81"/>
  </r>
  <r>
    <d v="2015-12-01T00:00:00"/>
    <x v="1"/>
    <x v="9"/>
    <x v="334"/>
    <x v="1"/>
    <x v="2"/>
    <x v="6"/>
    <s v="Tennsco Industrial Shelving"/>
    <n v="146.72999999999999"/>
    <n v="3"/>
    <n v="2.93"/>
  </r>
  <r>
    <d v="2015-12-01T00:00:00"/>
    <x v="1"/>
    <x v="9"/>
    <x v="334"/>
    <x v="1"/>
    <x v="2"/>
    <x v="3"/>
    <s v="Xerox Color Copier Paper, 11&quot; x 17&quot;, Ream"/>
    <n v="114.2"/>
    <n v="5"/>
    <n v="52.53"/>
  </r>
  <r>
    <d v="2015-12-01T00:00:00"/>
    <x v="1"/>
    <x v="9"/>
    <x v="335"/>
    <x v="5"/>
    <x v="1"/>
    <x v="1"/>
    <s v="GuestStacker Chair with Chrome Finish Legs"/>
    <n v="2676.67"/>
    <n v="9"/>
    <n v="267.67"/>
  </r>
  <r>
    <d v="2015-12-01T00:00:00"/>
    <x v="1"/>
    <x v="9"/>
    <x v="215"/>
    <x v="10"/>
    <x v="2"/>
    <x v="3"/>
    <s v="Xerox 207"/>
    <n v="19.440000000000001"/>
    <n v="3"/>
    <n v="9.33"/>
  </r>
  <r>
    <d v="2015-12-01T00:00:00"/>
    <x v="1"/>
    <x v="9"/>
    <x v="215"/>
    <x v="10"/>
    <x v="2"/>
    <x v="11"/>
    <s v="Newell 307"/>
    <n v="3.64"/>
    <n v="2"/>
    <n v="1.02"/>
  </r>
  <r>
    <d v="2015-12-01T00:00:00"/>
    <x v="1"/>
    <x v="9"/>
    <x v="215"/>
    <x v="10"/>
    <x v="2"/>
    <x v="3"/>
    <s v="Wirebound Message Books, Four 2 3/4&quot; x 5&quot; Forms per Page, 600 Sets per Book"/>
    <n v="18.54"/>
    <n v="2"/>
    <n v="8.7100000000000009"/>
  </r>
  <r>
    <d v="2015-01-02T00:00:00"/>
    <x v="1"/>
    <x v="11"/>
    <x v="278"/>
    <x v="18"/>
    <x v="2"/>
    <x v="8"/>
    <s v="Avery 505"/>
    <n v="23.68"/>
    <n v="2"/>
    <n v="8.8800000000000008"/>
  </r>
  <r>
    <d v="2015-01-02T00:00:00"/>
    <x v="1"/>
    <x v="11"/>
    <x v="278"/>
    <x v="18"/>
    <x v="1"/>
    <x v="16"/>
    <s v="O'Sullivan 2-Door Barrister Bookcase in Odessa Pine"/>
    <n v="452.45"/>
    <n v="5"/>
    <n v="-244.32"/>
  </r>
  <r>
    <d v="2015-01-02T00:00:00"/>
    <x v="1"/>
    <x v="11"/>
    <x v="278"/>
    <x v="18"/>
    <x v="0"/>
    <x v="2"/>
    <s v="Speck Products Candyshell Flip Case"/>
    <n v="62.98"/>
    <n v="3"/>
    <n v="-14.7"/>
  </r>
  <r>
    <d v="2015-01-02T00:00:00"/>
    <x v="1"/>
    <x v="11"/>
    <x v="278"/>
    <x v="18"/>
    <x v="0"/>
    <x v="14"/>
    <s v="Cisco 9971 IP Video Phone Charcoal"/>
    <n v="1188"/>
    <n v="9"/>
    <n v="-950.4"/>
  </r>
  <r>
    <d v="2015-01-02T00:00:00"/>
    <x v="1"/>
    <x v="11"/>
    <x v="278"/>
    <x v="18"/>
    <x v="0"/>
    <x v="0"/>
    <s v="Sony Micro Vault Click 16 GB USB 2.0 Flash Drive"/>
    <n v="89.58"/>
    <n v="2"/>
    <n v="4.4800000000000004"/>
  </r>
  <r>
    <d v="2015-01-02T00:00:00"/>
    <x v="1"/>
    <x v="11"/>
    <x v="336"/>
    <x v="37"/>
    <x v="2"/>
    <x v="6"/>
    <s v="SAFCO Mobile Desk Side File, Wire Frame"/>
    <n v="85.52"/>
    <n v="2"/>
    <n v="22.24"/>
  </r>
  <r>
    <d v="2015-01-02T00:00:00"/>
    <x v="1"/>
    <x v="11"/>
    <x v="336"/>
    <x v="37"/>
    <x v="2"/>
    <x v="11"/>
    <s v="Newell 313"/>
    <n v="9.84"/>
    <n v="3"/>
    <n v="2.66"/>
  </r>
  <r>
    <d v="2015-01-02T00:00:00"/>
    <x v="1"/>
    <x v="11"/>
    <x v="336"/>
    <x v="37"/>
    <x v="2"/>
    <x v="3"/>
    <s v="Xerox 1959"/>
    <n v="20.04"/>
    <n v="3"/>
    <n v="9.6199999999999992"/>
  </r>
  <r>
    <d v="2015-03-02T00:00:00"/>
    <x v="1"/>
    <x v="1"/>
    <x v="337"/>
    <x v="1"/>
    <x v="1"/>
    <x v="7"/>
    <s v="Hon Racetrack Conference Tables"/>
    <n v="787.53"/>
    <n v="3"/>
    <n v="165.38"/>
  </r>
  <r>
    <d v="2015-03-02T00:00:00"/>
    <x v="1"/>
    <x v="1"/>
    <x v="338"/>
    <x v="33"/>
    <x v="2"/>
    <x v="11"/>
    <s v="50 Colored Long Pencils"/>
    <n v="10.16"/>
    <n v="1"/>
    <n v="2.64"/>
  </r>
  <r>
    <d v="2015-03-02T00:00:00"/>
    <x v="1"/>
    <x v="1"/>
    <x v="338"/>
    <x v="33"/>
    <x v="2"/>
    <x v="13"/>
    <s v="Brown Kraft Recycled Envelopes"/>
    <n v="101.88"/>
    <n v="6"/>
    <n v="50.94"/>
  </r>
  <r>
    <d v="2015-04-02T00:00:00"/>
    <x v="1"/>
    <x v="2"/>
    <x v="339"/>
    <x v="4"/>
    <x v="2"/>
    <x v="10"/>
    <s v="APC 7 Outlet Network SurgeArrest Surge Protector"/>
    <n v="32.19"/>
    <n v="2"/>
    <n v="-80.48"/>
  </r>
  <r>
    <d v="2015-04-02T00:00:00"/>
    <x v="1"/>
    <x v="2"/>
    <x v="339"/>
    <x v="4"/>
    <x v="0"/>
    <x v="0"/>
    <s v="Kingston Digital DataTraveler 16GB USB 2.0"/>
    <n v="50.12"/>
    <n v="7"/>
    <n v="-0.63"/>
  </r>
  <r>
    <d v="2015-04-02T00:00:00"/>
    <x v="1"/>
    <x v="2"/>
    <x v="339"/>
    <x v="4"/>
    <x v="0"/>
    <x v="0"/>
    <s v="Anker Ultra-Slim Mini Bluetooth 3.0 Wireless Keyboard"/>
    <n v="47.98"/>
    <n v="3"/>
    <n v="1.8"/>
  </r>
  <r>
    <d v="2015-04-02T00:00:00"/>
    <x v="1"/>
    <x v="2"/>
    <x v="340"/>
    <x v="4"/>
    <x v="2"/>
    <x v="9"/>
    <s v="Aluminum Screw Posts"/>
    <n v="9.16"/>
    <n v="3"/>
    <n v="-13.73"/>
  </r>
  <r>
    <d v="2015-04-02T00:00:00"/>
    <x v="1"/>
    <x v="2"/>
    <x v="341"/>
    <x v="5"/>
    <x v="0"/>
    <x v="14"/>
    <s v="Vtech AT&amp;T CL2940 Corded Speakerphone, Black"/>
    <n v="71.98"/>
    <n v="3"/>
    <n v="24.29"/>
  </r>
  <r>
    <d v="2015-04-02T00:00:00"/>
    <x v="1"/>
    <x v="2"/>
    <x v="342"/>
    <x v="23"/>
    <x v="0"/>
    <x v="2"/>
    <s v="Samsung HM1900 Bluetooth Headset"/>
    <n v="87.8"/>
    <n v="5"/>
    <n v="32.93"/>
  </r>
  <r>
    <d v="2015-05-02T00:00:00"/>
    <x v="1"/>
    <x v="10"/>
    <x v="343"/>
    <x v="4"/>
    <x v="2"/>
    <x v="8"/>
    <s v="Avery 501"/>
    <n v="8.86"/>
    <n v="3"/>
    <n v="2.99"/>
  </r>
  <r>
    <d v="2015-05-02T00:00:00"/>
    <x v="1"/>
    <x v="10"/>
    <x v="343"/>
    <x v="4"/>
    <x v="0"/>
    <x v="2"/>
    <s v="Samsung Rugby III"/>
    <n v="158.38"/>
    <n v="3"/>
    <n v="13.86"/>
  </r>
  <r>
    <d v="2015-07-02T00:00:00"/>
    <x v="1"/>
    <x v="4"/>
    <x v="261"/>
    <x v="4"/>
    <x v="2"/>
    <x v="10"/>
    <s v="Belkin 8 Outlet Surge Protector"/>
    <n v="32.78"/>
    <n v="4"/>
    <n v="-85.24"/>
  </r>
  <r>
    <d v="2015-07-02T00:00:00"/>
    <x v="1"/>
    <x v="4"/>
    <x v="344"/>
    <x v="3"/>
    <x v="1"/>
    <x v="1"/>
    <s v="Hon 4070 Series Pagoda Armless Upholstered Stacking Chairs"/>
    <n v="408.42"/>
    <n v="2"/>
    <n v="-5.83"/>
  </r>
  <r>
    <d v="2015-07-02T00:00:00"/>
    <x v="1"/>
    <x v="4"/>
    <x v="344"/>
    <x v="3"/>
    <x v="1"/>
    <x v="1"/>
    <s v="Global Wood Trimmed Manager's Task Chair, Khaki"/>
    <n v="382.12"/>
    <n v="6"/>
    <n v="-92.8"/>
  </r>
  <r>
    <d v="2015-07-02T00:00:00"/>
    <x v="1"/>
    <x v="4"/>
    <x v="344"/>
    <x v="3"/>
    <x v="2"/>
    <x v="6"/>
    <s v="Advantus Rolling Storage Box"/>
    <n v="68.599999999999994"/>
    <n v="5"/>
    <n v="6"/>
  </r>
  <r>
    <d v="2015-07-02T00:00:00"/>
    <x v="1"/>
    <x v="4"/>
    <x v="344"/>
    <x v="3"/>
    <x v="2"/>
    <x v="6"/>
    <s v="Adjustable Depth Letter/Legal Cart"/>
    <n v="435.5"/>
    <n v="3"/>
    <n v="48.99"/>
  </r>
  <r>
    <d v="2015-07-02T00:00:00"/>
    <x v="1"/>
    <x v="4"/>
    <x v="344"/>
    <x v="3"/>
    <x v="2"/>
    <x v="3"/>
    <s v="Adams Phone Message Book, Professional, 400 Message Capacity, 5 3/6Â” x 11Â”"/>
    <n v="11.17"/>
    <n v="2"/>
    <n v="3.77"/>
  </r>
  <r>
    <d v="2015-07-02T00:00:00"/>
    <x v="1"/>
    <x v="4"/>
    <x v="345"/>
    <x v="11"/>
    <x v="2"/>
    <x v="3"/>
    <s v="Easy-staple paper"/>
    <n v="11.95"/>
    <n v="3"/>
    <n v="4.03"/>
  </r>
  <r>
    <d v="2015-07-02T00:00:00"/>
    <x v="1"/>
    <x v="4"/>
    <x v="345"/>
    <x v="11"/>
    <x v="2"/>
    <x v="3"/>
    <s v="Xerox 1957"/>
    <n v="15.55"/>
    <n v="3"/>
    <n v="5.64"/>
  </r>
  <r>
    <d v="2015-07-02T00:00:00"/>
    <x v="1"/>
    <x v="4"/>
    <x v="147"/>
    <x v="2"/>
    <x v="2"/>
    <x v="3"/>
    <s v="Xerox 209"/>
    <n v="19.440000000000001"/>
    <n v="3"/>
    <n v="9.33"/>
  </r>
  <r>
    <d v="2015-07-02T00:00:00"/>
    <x v="1"/>
    <x v="4"/>
    <x v="346"/>
    <x v="12"/>
    <x v="0"/>
    <x v="2"/>
    <s v="Geemarc AmpliPOWER60"/>
    <n v="74.239999999999995"/>
    <n v="1"/>
    <n v="8.35"/>
  </r>
  <r>
    <d v="2015-07-02T00:00:00"/>
    <x v="1"/>
    <x v="4"/>
    <x v="346"/>
    <x v="12"/>
    <x v="1"/>
    <x v="5"/>
    <s v="24-Hour Round Wall Clock"/>
    <n v="159.84"/>
    <n v="10"/>
    <n v="45.95"/>
  </r>
  <r>
    <d v="2015-07-02T00:00:00"/>
    <x v="1"/>
    <x v="4"/>
    <x v="346"/>
    <x v="12"/>
    <x v="2"/>
    <x v="9"/>
    <s v="Wilson Jones Turn Tabs Binder Tool for Ring Binders"/>
    <n v="2.89"/>
    <n v="2"/>
    <n v="-2.31"/>
  </r>
  <r>
    <d v="2015-07-02T00:00:00"/>
    <x v="1"/>
    <x v="4"/>
    <x v="346"/>
    <x v="12"/>
    <x v="2"/>
    <x v="3"/>
    <s v="Things To Do Today Pad"/>
    <n v="9.39"/>
    <n v="2"/>
    <n v="3.29"/>
  </r>
  <r>
    <d v="2015-08-02T00:00:00"/>
    <x v="1"/>
    <x v="5"/>
    <x v="347"/>
    <x v="1"/>
    <x v="2"/>
    <x v="9"/>
    <s v="Ibico Presentation Index for Binding Systems"/>
    <n v="6.37"/>
    <n v="2"/>
    <n v="2.15"/>
  </r>
  <r>
    <d v="2015-08-02T00:00:00"/>
    <x v="1"/>
    <x v="5"/>
    <x v="347"/>
    <x v="1"/>
    <x v="0"/>
    <x v="14"/>
    <s v="Okidata C331dn Printer"/>
    <n v="558.4"/>
    <n v="2"/>
    <n v="41.88"/>
  </r>
  <r>
    <d v="2015-08-02T00:00:00"/>
    <x v="1"/>
    <x v="5"/>
    <x v="348"/>
    <x v="40"/>
    <x v="0"/>
    <x v="2"/>
    <s v="Plantronics MX500i Earset"/>
    <n v="128.85"/>
    <n v="3"/>
    <n v="3.87"/>
  </r>
  <r>
    <d v="2015-08-02T00:00:00"/>
    <x v="1"/>
    <x v="5"/>
    <x v="348"/>
    <x v="40"/>
    <x v="2"/>
    <x v="3"/>
    <s v="Important Message Pads, 50 4-1/4 x 5-1/2 Forms per Pad"/>
    <n v="8.4"/>
    <n v="2"/>
    <n v="4.12"/>
  </r>
  <r>
    <d v="2015-08-02T00:00:00"/>
    <x v="1"/>
    <x v="5"/>
    <x v="348"/>
    <x v="40"/>
    <x v="0"/>
    <x v="0"/>
    <s v="Logitech G700s Rechargeable Gaming Mouse"/>
    <n v="199.98"/>
    <n v="2"/>
    <n v="83.99"/>
  </r>
  <r>
    <d v="2015-08-02T00:00:00"/>
    <x v="1"/>
    <x v="5"/>
    <x v="348"/>
    <x v="40"/>
    <x v="1"/>
    <x v="1"/>
    <s v="Office Star Flex Back Scooter Chair with White Frame"/>
    <n v="110.98"/>
    <n v="1"/>
    <n v="15.54"/>
  </r>
  <r>
    <d v="2015-08-02T00:00:00"/>
    <x v="1"/>
    <x v="5"/>
    <x v="349"/>
    <x v="16"/>
    <x v="1"/>
    <x v="7"/>
    <s v="Balt Split Level Computer Training Table"/>
    <n v="277.5"/>
    <n v="4"/>
    <n v="-188.7"/>
  </r>
  <r>
    <d v="2015-10-02T00:00:00"/>
    <x v="1"/>
    <x v="7"/>
    <x v="211"/>
    <x v="5"/>
    <x v="2"/>
    <x v="9"/>
    <s v="GBC Personal VeloBind Strips"/>
    <n v="57.5"/>
    <n v="6"/>
    <n v="20.13"/>
  </r>
  <r>
    <d v="2015-10-02T00:00:00"/>
    <x v="1"/>
    <x v="7"/>
    <x v="350"/>
    <x v="8"/>
    <x v="2"/>
    <x v="3"/>
    <s v="Computer Printout Paper with Letter-Trim Perforations"/>
    <n v="94.85"/>
    <n v="5"/>
    <n v="45.53"/>
  </r>
  <r>
    <d v="2015-10-02T00:00:00"/>
    <x v="1"/>
    <x v="7"/>
    <x v="350"/>
    <x v="8"/>
    <x v="2"/>
    <x v="13"/>
    <s v="Globe Weis Peel &amp; Seel First Class Envelopes"/>
    <n v="51.12"/>
    <n v="4"/>
    <n v="23"/>
  </r>
  <r>
    <d v="2015-10-02T00:00:00"/>
    <x v="1"/>
    <x v="7"/>
    <x v="350"/>
    <x v="8"/>
    <x v="0"/>
    <x v="0"/>
    <s v="NETGEAR N750 Dual Band Wi-Fi Gigabit Router"/>
    <n v="90"/>
    <n v="1"/>
    <n v="32.4"/>
  </r>
  <r>
    <d v="2015-10-02T00:00:00"/>
    <x v="1"/>
    <x v="7"/>
    <x v="351"/>
    <x v="5"/>
    <x v="2"/>
    <x v="6"/>
    <s v="Eldon ProFile File 'N Store Portable File Tub Letter/Legal Size Black"/>
    <n v="270.33999999999997"/>
    <n v="14"/>
    <n v="75.7"/>
  </r>
  <r>
    <d v="2015-10-02T00:00:00"/>
    <x v="1"/>
    <x v="7"/>
    <x v="185"/>
    <x v="12"/>
    <x v="2"/>
    <x v="9"/>
    <s v="Pressboard Hanging Data Binders for Unburst Sheets"/>
    <n v="7.38"/>
    <n v="5"/>
    <n v="-5.41"/>
  </r>
  <r>
    <d v="2015-10-02T00:00:00"/>
    <x v="1"/>
    <x v="7"/>
    <x v="352"/>
    <x v="5"/>
    <x v="2"/>
    <x v="9"/>
    <s v="Pressboard Hanging Data Binders for Unburst Sheets"/>
    <n v="11.81"/>
    <n v="3"/>
    <n v="4.13"/>
  </r>
  <r>
    <d v="2015-10-02T00:00:00"/>
    <x v="1"/>
    <x v="7"/>
    <x v="352"/>
    <x v="5"/>
    <x v="2"/>
    <x v="9"/>
    <s v="GBC Poly Designer Binding Covers"/>
    <n v="53.57"/>
    <n v="4"/>
    <n v="19.420000000000002"/>
  </r>
  <r>
    <d v="2015-10-02T00:00:00"/>
    <x v="1"/>
    <x v="7"/>
    <x v="352"/>
    <x v="5"/>
    <x v="0"/>
    <x v="2"/>
    <s v="HTC One Mini"/>
    <n v="503.96"/>
    <n v="5"/>
    <n v="50.4"/>
  </r>
  <r>
    <d v="2015-10-02T00:00:00"/>
    <x v="1"/>
    <x v="7"/>
    <x v="353"/>
    <x v="25"/>
    <x v="2"/>
    <x v="9"/>
    <s v="Acco PRESSTEX Data Binder with Storage Hooks, Dark Blue, 14 7/8&quot; X 11&quot;"/>
    <n v="26.9"/>
    <n v="5"/>
    <n v="13.18"/>
  </r>
  <r>
    <d v="2015-10-02T00:00:00"/>
    <x v="1"/>
    <x v="7"/>
    <x v="354"/>
    <x v="24"/>
    <x v="2"/>
    <x v="3"/>
    <s v="Xerox 202"/>
    <n v="19.440000000000001"/>
    <n v="3"/>
    <n v="9.33"/>
  </r>
  <r>
    <d v="2015-10-02T00:00:00"/>
    <x v="1"/>
    <x v="7"/>
    <x v="354"/>
    <x v="24"/>
    <x v="2"/>
    <x v="9"/>
    <s v="GBC Plastic Binding Combs"/>
    <n v="7.38"/>
    <n v="1"/>
    <n v="3.62"/>
  </r>
  <r>
    <d v="2015-10-02T00:00:00"/>
    <x v="1"/>
    <x v="7"/>
    <x v="30"/>
    <x v="15"/>
    <x v="2"/>
    <x v="15"/>
    <s v="Acme Design Line 8&quot; Stainless Steel Bent Scissors w/Champagne Handles, 3-1/8&quot; Cut"/>
    <n v="10.94"/>
    <n v="2"/>
    <n v="0.96"/>
  </r>
  <r>
    <d v="2015-10-02T00:00:00"/>
    <x v="1"/>
    <x v="7"/>
    <x v="268"/>
    <x v="16"/>
    <x v="1"/>
    <x v="5"/>
    <s v="9-3/4 Diameter Round Wall Clock"/>
    <n v="11.03"/>
    <n v="1"/>
    <n v="3.03"/>
  </r>
  <r>
    <d v="2015-10-02T00:00:00"/>
    <x v="1"/>
    <x v="7"/>
    <x v="268"/>
    <x v="16"/>
    <x v="0"/>
    <x v="0"/>
    <s v="SanDisk Ultra 32 GB MicroSDHC Class 10 Memory Card"/>
    <n v="53.04"/>
    <n v="3"/>
    <n v="-4.6399999999999997"/>
  </r>
  <r>
    <d v="2015-11-02T00:00:00"/>
    <x v="1"/>
    <x v="8"/>
    <x v="355"/>
    <x v="5"/>
    <x v="1"/>
    <x v="7"/>
    <s v="Bevis Round Bullnose 29&quot; High Table Top"/>
    <n v="1038.8399999999999"/>
    <n v="5"/>
    <n v="51.94"/>
  </r>
  <r>
    <d v="2015-11-02T00:00:00"/>
    <x v="1"/>
    <x v="8"/>
    <x v="356"/>
    <x v="1"/>
    <x v="0"/>
    <x v="0"/>
    <s v="Logitech K350 2.4Ghz Wireless Keyboard"/>
    <n v="447.93"/>
    <n v="9"/>
    <n v="49.27"/>
  </r>
  <r>
    <d v="2015-11-02T00:00:00"/>
    <x v="1"/>
    <x v="8"/>
    <x v="357"/>
    <x v="2"/>
    <x v="1"/>
    <x v="1"/>
    <s v="Global Armless Task Chair, Royal Blue"/>
    <n v="109.76"/>
    <n v="2"/>
    <n v="8.5399999999999991"/>
  </r>
  <r>
    <d v="2015-11-02T00:00:00"/>
    <x v="1"/>
    <x v="8"/>
    <x v="10"/>
    <x v="5"/>
    <x v="1"/>
    <x v="5"/>
    <s v="Contemporary Wood/Metal Frame"/>
    <n v="96.96"/>
    <n v="6"/>
    <n v="33.94"/>
  </r>
  <r>
    <d v="2015-11-02T00:00:00"/>
    <x v="1"/>
    <x v="8"/>
    <x v="10"/>
    <x v="5"/>
    <x v="2"/>
    <x v="9"/>
    <s v="GBC Premium Transparent Covers with Diagonal Lined Pattern"/>
    <n v="117.49"/>
    <n v="7"/>
    <n v="41.12"/>
  </r>
  <r>
    <d v="2015-11-02T00:00:00"/>
    <x v="1"/>
    <x v="8"/>
    <x v="10"/>
    <x v="5"/>
    <x v="2"/>
    <x v="9"/>
    <s v="Cardinal Holdit Business Card Pockets"/>
    <n v="11.95"/>
    <n v="3"/>
    <n v="4.18"/>
  </r>
  <r>
    <d v="2015-11-02T00:00:00"/>
    <x v="1"/>
    <x v="8"/>
    <x v="10"/>
    <x v="5"/>
    <x v="1"/>
    <x v="16"/>
    <s v="O'Sullivan Living Dimensions 3-Shelf Bookcases"/>
    <n v="512.5"/>
    <n v="3"/>
    <n v="-30.15"/>
  </r>
  <r>
    <d v="2015-11-02T00:00:00"/>
    <x v="1"/>
    <x v="8"/>
    <x v="241"/>
    <x v="2"/>
    <x v="1"/>
    <x v="1"/>
    <s v="Hon Olson Stacker Chairs"/>
    <n v="2621.3200000000002"/>
    <n v="11"/>
    <n v="553.39"/>
  </r>
  <r>
    <d v="2015-11-02T00:00:00"/>
    <x v="1"/>
    <x v="8"/>
    <x v="358"/>
    <x v="4"/>
    <x v="2"/>
    <x v="9"/>
    <s v="GBC Premium Transparent Covers with Diagonal Lined Pattern"/>
    <n v="29.37"/>
    <n v="7"/>
    <n v="-47"/>
  </r>
  <r>
    <d v="2015-11-02T00:00:00"/>
    <x v="1"/>
    <x v="8"/>
    <x v="358"/>
    <x v="4"/>
    <x v="0"/>
    <x v="2"/>
    <s v="Aastra 6757i CT Wireless VoIP phone"/>
    <n v="344.7"/>
    <n v="2"/>
    <n v="38.78"/>
  </r>
  <r>
    <d v="2015-11-02T00:00:00"/>
    <x v="1"/>
    <x v="8"/>
    <x v="359"/>
    <x v="20"/>
    <x v="2"/>
    <x v="10"/>
    <s v="Eureka Hand Vacuum, Bagless"/>
    <n v="197.72"/>
    <n v="4"/>
    <n v="55.36"/>
  </r>
  <r>
    <d v="2015-01-03T00:00:00"/>
    <x v="1"/>
    <x v="11"/>
    <x v="360"/>
    <x v="4"/>
    <x v="2"/>
    <x v="3"/>
    <s v="Xerox 21"/>
    <n v="10.37"/>
    <n v="2"/>
    <n v="3.63"/>
  </r>
  <r>
    <d v="2015-01-03T00:00:00"/>
    <x v="1"/>
    <x v="11"/>
    <x v="361"/>
    <x v="4"/>
    <x v="0"/>
    <x v="0"/>
    <s v="Enermax Acrylux Wireless Keyboard"/>
    <n v="398.4"/>
    <n v="5"/>
    <n v="84.66"/>
  </r>
  <r>
    <d v="2015-01-03T00:00:00"/>
    <x v="1"/>
    <x v="11"/>
    <x v="361"/>
    <x v="4"/>
    <x v="2"/>
    <x v="11"/>
    <s v="Newell 317"/>
    <n v="7.06"/>
    <n v="3"/>
    <n v="0.79"/>
  </r>
  <r>
    <d v="2015-01-03T00:00:00"/>
    <x v="1"/>
    <x v="11"/>
    <x v="361"/>
    <x v="4"/>
    <x v="1"/>
    <x v="16"/>
    <s v="O'Sullivan Living Dimensions 5-Shelf Bookcases"/>
    <n v="1352.4"/>
    <n v="9"/>
    <n v="-437.54"/>
  </r>
  <r>
    <d v="2015-02-03T00:00:00"/>
    <x v="1"/>
    <x v="0"/>
    <x v="362"/>
    <x v="27"/>
    <x v="1"/>
    <x v="5"/>
    <s v="Coloredge Poster Frame"/>
    <n v="28.4"/>
    <n v="2"/>
    <n v="11.08"/>
  </r>
  <r>
    <d v="2015-02-03T00:00:00"/>
    <x v="1"/>
    <x v="0"/>
    <x v="362"/>
    <x v="27"/>
    <x v="0"/>
    <x v="0"/>
    <s v="Kensington SlimBlade Notebook Wireless Mouse with Nano Receiver"/>
    <n v="149.97"/>
    <n v="3"/>
    <n v="50.99"/>
  </r>
  <r>
    <d v="2015-02-03T00:00:00"/>
    <x v="1"/>
    <x v="0"/>
    <x v="363"/>
    <x v="5"/>
    <x v="1"/>
    <x v="5"/>
    <s v="Hand-Finished Solid Wood Document Frame"/>
    <n v="136.91999999999999"/>
    <n v="4"/>
    <n v="41.08"/>
  </r>
  <r>
    <d v="2015-02-03T00:00:00"/>
    <x v="1"/>
    <x v="0"/>
    <x v="23"/>
    <x v="21"/>
    <x v="2"/>
    <x v="9"/>
    <s v="Wilson Jones Standard D-Ring Binders"/>
    <n v="12.14"/>
    <n v="3"/>
    <n v="4.0999999999999996"/>
  </r>
  <r>
    <d v="2015-02-03T00:00:00"/>
    <x v="1"/>
    <x v="0"/>
    <x v="237"/>
    <x v="19"/>
    <x v="2"/>
    <x v="13"/>
    <s v="Staple envelope"/>
    <n v="74.52"/>
    <n v="9"/>
    <n v="35.020000000000003"/>
  </r>
  <r>
    <d v="2015-02-03T00:00:00"/>
    <x v="1"/>
    <x v="0"/>
    <x v="364"/>
    <x v="2"/>
    <x v="1"/>
    <x v="1"/>
    <s v="Global Fabric Manager's Chair, Dark Gray"/>
    <n v="90.88"/>
    <n v="1"/>
    <n v="15.15"/>
  </r>
  <r>
    <d v="2015-05-03T00:00:00"/>
    <x v="1"/>
    <x v="10"/>
    <x v="365"/>
    <x v="5"/>
    <x v="1"/>
    <x v="5"/>
    <s v="Rubbermaid ClusterMat Chairmats, Mat Size- 66&quot; x 60&quot;, Lip 20&quot; x 11&quot; -90 Degree Angle"/>
    <n v="665.88"/>
    <n v="6"/>
    <n v="106.54"/>
  </r>
  <r>
    <d v="2015-05-03T00:00:00"/>
    <x v="1"/>
    <x v="10"/>
    <x v="46"/>
    <x v="13"/>
    <x v="2"/>
    <x v="11"/>
    <s v="Sanford Prismacolor Professional Thick Lead Art Pencils, 36-Color Set"/>
    <n v="59.9"/>
    <n v="2"/>
    <n v="14.23"/>
  </r>
  <r>
    <d v="2015-05-03T00:00:00"/>
    <x v="1"/>
    <x v="10"/>
    <x v="46"/>
    <x v="13"/>
    <x v="2"/>
    <x v="10"/>
    <s v="Holmes Replacement Filter for HEPA Air Cleaner, Large Room"/>
    <n v="23.7"/>
    <n v="2"/>
    <n v="6.52"/>
  </r>
  <r>
    <d v="2015-05-03T00:00:00"/>
    <x v="1"/>
    <x v="10"/>
    <x v="46"/>
    <x v="13"/>
    <x v="2"/>
    <x v="3"/>
    <s v="Xerox 1897"/>
    <n v="7.97"/>
    <n v="2"/>
    <n v="2.89"/>
  </r>
  <r>
    <d v="2015-05-03T00:00:00"/>
    <x v="1"/>
    <x v="10"/>
    <x v="46"/>
    <x v="13"/>
    <x v="2"/>
    <x v="10"/>
    <s v="Bravo II Megaboss 12-Amp Hard Body Upright, Replacement Belts, 2 Belts per Pack"/>
    <n v="18.2"/>
    <n v="7"/>
    <n v="2.0499999999999998"/>
  </r>
  <r>
    <d v="2015-05-03T00:00:00"/>
    <x v="1"/>
    <x v="10"/>
    <x v="46"/>
    <x v="13"/>
    <x v="0"/>
    <x v="0"/>
    <s v="SanDisk Cruzer 16 GB USB Flash Drive"/>
    <n v="27.55"/>
    <n v="3"/>
    <n v="-0.34"/>
  </r>
  <r>
    <d v="2015-05-03T00:00:00"/>
    <x v="1"/>
    <x v="10"/>
    <x v="46"/>
    <x v="13"/>
    <x v="1"/>
    <x v="1"/>
    <s v="Global Leather Highback Executive Chair with Pneumatic Height Adjustment, Black"/>
    <n v="844.12"/>
    <n v="6"/>
    <n v="-36.18"/>
  </r>
  <r>
    <d v="2015-05-03T00:00:00"/>
    <x v="1"/>
    <x v="10"/>
    <x v="46"/>
    <x v="13"/>
    <x v="2"/>
    <x v="6"/>
    <s v="Fellowes Bankers Box Stor/Drawer Steel Plus"/>
    <n v="76.75"/>
    <n v="3"/>
    <n v="-9.59"/>
  </r>
  <r>
    <d v="2015-05-03T00:00:00"/>
    <x v="1"/>
    <x v="10"/>
    <x v="366"/>
    <x v="5"/>
    <x v="2"/>
    <x v="11"/>
    <s v="Newell 317"/>
    <n v="8.82"/>
    <n v="3"/>
    <n v="2.56"/>
  </r>
  <r>
    <d v="2015-05-03T00:00:00"/>
    <x v="1"/>
    <x v="10"/>
    <x v="366"/>
    <x v="5"/>
    <x v="2"/>
    <x v="9"/>
    <s v="Ibico Recycled Linen-Style Covers"/>
    <n v="62.5"/>
    <n v="2"/>
    <n v="21.87"/>
  </r>
  <r>
    <d v="2015-05-03T00:00:00"/>
    <x v="1"/>
    <x v="10"/>
    <x v="366"/>
    <x v="5"/>
    <x v="0"/>
    <x v="0"/>
    <s v="LogitechÂ Gaming G510s - Keyboard"/>
    <n v="339.96"/>
    <n v="4"/>
    <n v="122.39"/>
  </r>
  <r>
    <d v="2015-05-03T00:00:00"/>
    <x v="1"/>
    <x v="10"/>
    <x v="366"/>
    <x v="5"/>
    <x v="2"/>
    <x v="9"/>
    <s v="GBC Linen Binding Covers"/>
    <n v="49.57"/>
    <n v="2"/>
    <n v="17.350000000000001"/>
  </r>
  <r>
    <d v="2015-05-03T00:00:00"/>
    <x v="1"/>
    <x v="10"/>
    <x v="247"/>
    <x v="5"/>
    <x v="2"/>
    <x v="9"/>
    <s v="Avery Binding System Hidden Tab Executive Style Index Sets"/>
    <n v="13.85"/>
    <n v="3"/>
    <n v="5.19"/>
  </r>
  <r>
    <d v="2015-07-03T00:00:00"/>
    <x v="1"/>
    <x v="4"/>
    <x v="367"/>
    <x v="17"/>
    <x v="1"/>
    <x v="1"/>
    <s v="Novimex High-Tech Fabric Mesh Task Chair"/>
    <n v="70.98"/>
    <n v="1"/>
    <n v="4.97"/>
  </r>
  <r>
    <d v="2015-07-03T00:00:00"/>
    <x v="1"/>
    <x v="4"/>
    <x v="367"/>
    <x v="17"/>
    <x v="2"/>
    <x v="8"/>
    <s v="Dot Matrix Printer Tape Reel Labels, White, 5000/Box"/>
    <n v="294.93"/>
    <n v="3"/>
    <n v="144.52000000000001"/>
  </r>
  <r>
    <d v="2015-07-03T00:00:00"/>
    <x v="1"/>
    <x v="4"/>
    <x v="28"/>
    <x v="13"/>
    <x v="1"/>
    <x v="5"/>
    <s v="Eldon Antistatic Chair Mats for Low to Medium Pile Carpets"/>
    <n v="168.46"/>
    <n v="2"/>
    <n v="-29.48"/>
  </r>
  <r>
    <d v="2015-07-03T00:00:00"/>
    <x v="1"/>
    <x v="4"/>
    <x v="28"/>
    <x v="13"/>
    <x v="2"/>
    <x v="3"/>
    <s v="Important Message Pads, 50 4-1/4 x 5-1/2 Forms per Pad"/>
    <n v="6.72"/>
    <n v="2"/>
    <n v="2.44"/>
  </r>
  <r>
    <d v="2015-07-03T00:00:00"/>
    <x v="1"/>
    <x v="4"/>
    <x v="28"/>
    <x v="13"/>
    <x v="1"/>
    <x v="5"/>
    <s v="Howard Miller 12&quot; Round Wall Clock"/>
    <n v="282.89"/>
    <n v="9"/>
    <n v="56.58"/>
  </r>
  <r>
    <d v="2015-09-03T00:00:00"/>
    <x v="1"/>
    <x v="6"/>
    <x v="368"/>
    <x v="12"/>
    <x v="2"/>
    <x v="13"/>
    <s v="Jet-Pak Recycled Peel 'N' Seal Padded Mailers"/>
    <n v="200.98"/>
    <n v="7"/>
    <n v="62.81"/>
  </r>
  <r>
    <d v="2015-09-03T00:00:00"/>
    <x v="1"/>
    <x v="6"/>
    <x v="369"/>
    <x v="13"/>
    <x v="2"/>
    <x v="6"/>
    <s v="Eldon Gobal File Keepers"/>
    <n v="36.340000000000003"/>
    <n v="3"/>
    <n v="-7.27"/>
  </r>
  <r>
    <d v="2015-09-03T00:00:00"/>
    <x v="1"/>
    <x v="6"/>
    <x v="369"/>
    <x v="13"/>
    <x v="2"/>
    <x v="15"/>
    <s v="Martin Yale Chadless Opener Electric Letter Opener"/>
    <n v="666.25"/>
    <n v="1"/>
    <n v="-149.91"/>
  </r>
  <r>
    <d v="2015-09-03T00:00:00"/>
    <x v="1"/>
    <x v="6"/>
    <x v="369"/>
    <x v="13"/>
    <x v="2"/>
    <x v="13"/>
    <s v="White Business Envelopes with Contemporary Seam, Recycled White Business Envelopes"/>
    <n v="52.51"/>
    <n v="6"/>
    <n v="19.690000000000001"/>
  </r>
  <r>
    <d v="2015-09-03T00:00:00"/>
    <x v="1"/>
    <x v="6"/>
    <x v="322"/>
    <x v="5"/>
    <x v="2"/>
    <x v="6"/>
    <s v="Sterilite Officeware Hinged File Box"/>
    <n v="31.44"/>
    <n v="3"/>
    <n v="8.49"/>
  </r>
  <r>
    <d v="2015-09-03T00:00:00"/>
    <x v="1"/>
    <x v="6"/>
    <x v="322"/>
    <x v="5"/>
    <x v="0"/>
    <x v="0"/>
    <s v="Kingston Digital DataTraveler 16GB USB 2.0"/>
    <n v="17.899999999999999"/>
    <n v="2"/>
    <n v="3.4"/>
  </r>
  <r>
    <d v="2015-09-03T00:00:00"/>
    <x v="1"/>
    <x v="6"/>
    <x v="322"/>
    <x v="5"/>
    <x v="0"/>
    <x v="0"/>
    <s v="TRENDnet 56K USB 2.0 Phone, Internet and Fax Modem"/>
    <n v="129.44999999999999"/>
    <n v="5"/>
    <n v="46.6"/>
  </r>
  <r>
    <d v="2015-09-03T00:00:00"/>
    <x v="1"/>
    <x v="6"/>
    <x v="321"/>
    <x v="25"/>
    <x v="2"/>
    <x v="10"/>
    <s v="Holmes Replacement Filter for HEPA Air Cleaner, Very Large Room, HEPA Filter"/>
    <n v="137.62"/>
    <n v="2"/>
    <n v="60.55"/>
  </r>
  <r>
    <d v="2015-09-03T00:00:00"/>
    <x v="1"/>
    <x v="6"/>
    <x v="321"/>
    <x v="25"/>
    <x v="0"/>
    <x v="2"/>
    <s v="Classic Ivory AntiqueÂ TelephoneÂ ZL1810"/>
    <n v="100.49"/>
    <n v="1"/>
    <n v="25.12"/>
  </r>
  <r>
    <d v="2015-09-03T00:00:00"/>
    <x v="1"/>
    <x v="6"/>
    <x v="321"/>
    <x v="2"/>
    <x v="2"/>
    <x v="6"/>
    <s v="Iceberg Mobile Mega Data/Printer Cart"/>
    <n v="120.33"/>
    <n v="1"/>
    <n v="31.29"/>
  </r>
  <r>
    <d v="2015-09-03T00:00:00"/>
    <x v="1"/>
    <x v="6"/>
    <x v="16"/>
    <x v="5"/>
    <x v="1"/>
    <x v="1"/>
    <s v="Office Star - Ergonomically Designed Knee Chair"/>
    <n v="129.57"/>
    <n v="2"/>
    <n v="-12.96"/>
  </r>
  <r>
    <d v="2015-09-03T00:00:00"/>
    <x v="1"/>
    <x v="6"/>
    <x v="16"/>
    <x v="5"/>
    <x v="2"/>
    <x v="9"/>
    <s v="Avery Durable Slant Ring Binders, No Labels"/>
    <n v="6.37"/>
    <n v="2"/>
    <n v="2.15"/>
  </r>
  <r>
    <d v="2015-09-03T00:00:00"/>
    <x v="1"/>
    <x v="6"/>
    <x v="122"/>
    <x v="23"/>
    <x v="1"/>
    <x v="5"/>
    <s v="GE 48&quot; Fluorescent Tube, Cool White Energy Saver, 34 Watts, 30/Box"/>
    <n v="238.15"/>
    <n v="3"/>
    <n v="89.31"/>
  </r>
  <r>
    <d v="2015-09-03T00:00:00"/>
    <x v="1"/>
    <x v="6"/>
    <x v="370"/>
    <x v="10"/>
    <x v="2"/>
    <x v="8"/>
    <s v="Smead Alpha-Z Color-Coded Name Labels First Letter Starter Set"/>
    <n v="7.5"/>
    <n v="2"/>
    <n v="3.6"/>
  </r>
  <r>
    <d v="2015-10-03T00:00:00"/>
    <x v="1"/>
    <x v="7"/>
    <x v="55"/>
    <x v="18"/>
    <x v="2"/>
    <x v="9"/>
    <s v="Acco D-Ring Binder w/DublLock"/>
    <n v="32.07"/>
    <n v="5"/>
    <n v="-22.45"/>
  </r>
  <r>
    <d v="2015-10-03T00:00:00"/>
    <x v="1"/>
    <x v="7"/>
    <x v="55"/>
    <x v="18"/>
    <x v="0"/>
    <x v="0"/>
    <s v="ImationÂ 8gb Micro Traveldrive Usb 2.0Â Flash Drive"/>
    <n v="24"/>
    <n v="2"/>
    <n v="-2.7"/>
  </r>
  <r>
    <d v="2015-10-03T00:00:00"/>
    <x v="1"/>
    <x v="7"/>
    <x v="55"/>
    <x v="18"/>
    <x v="1"/>
    <x v="16"/>
    <s v="Safco Value Mate Series Steel Bookcases, Baked Enamel Finish on Steel, Gray"/>
    <n v="35.49"/>
    <n v="1"/>
    <n v="-15.62"/>
  </r>
  <r>
    <d v="2015-10-03T00:00:00"/>
    <x v="1"/>
    <x v="7"/>
    <x v="55"/>
    <x v="18"/>
    <x v="0"/>
    <x v="0"/>
    <s v="Microsoft Natural Ergonomic Keyboard 4000"/>
    <n v="47.98"/>
    <n v="2"/>
    <n v="0.6"/>
  </r>
  <r>
    <d v="2015-10-03T00:00:00"/>
    <x v="1"/>
    <x v="7"/>
    <x v="104"/>
    <x v="13"/>
    <x v="2"/>
    <x v="6"/>
    <s v="Staple magnet"/>
    <n v="15.01"/>
    <n v="2"/>
    <n v="1.5"/>
  </r>
  <r>
    <d v="2015-10-03T00:00:00"/>
    <x v="1"/>
    <x v="7"/>
    <x v="81"/>
    <x v="5"/>
    <x v="1"/>
    <x v="16"/>
    <s v="Safco Value Mate Series Steel Bookcases, Baked Enamel Finish on Steel, Gray"/>
    <n v="120.67"/>
    <n v="2"/>
    <n v="18.45"/>
  </r>
  <r>
    <d v="2015-11-03T00:00:00"/>
    <x v="1"/>
    <x v="8"/>
    <x v="371"/>
    <x v="5"/>
    <x v="0"/>
    <x v="2"/>
    <s v="Cisco IP Phone 7961G-GE VoIP phone"/>
    <n v="1212.8499999999999"/>
    <n v="7"/>
    <n v="106.12"/>
  </r>
  <r>
    <d v="2015-11-03T00:00:00"/>
    <x v="1"/>
    <x v="8"/>
    <x v="371"/>
    <x v="5"/>
    <x v="0"/>
    <x v="0"/>
    <s v="Logitech Trackman Marble Mouse"/>
    <n v="89.97"/>
    <n v="3"/>
    <n v="37.79"/>
  </r>
  <r>
    <d v="2015-11-03T00:00:00"/>
    <x v="1"/>
    <x v="8"/>
    <x v="371"/>
    <x v="5"/>
    <x v="1"/>
    <x v="5"/>
    <s v="Coloredge Poster Frame"/>
    <n v="42.6"/>
    <n v="3"/>
    <n v="16.61"/>
  </r>
  <r>
    <d v="2015-11-03T00:00:00"/>
    <x v="1"/>
    <x v="8"/>
    <x v="183"/>
    <x v="4"/>
    <x v="2"/>
    <x v="13"/>
    <s v="#10 Gummed Flap White Envelopes, 100/Box"/>
    <n v="6.61"/>
    <n v="2"/>
    <n v="2.15"/>
  </r>
  <r>
    <d v="2015-11-03T00:00:00"/>
    <x v="1"/>
    <x v="8"/>
    <x v="372"/>
    <x v="2"/>
    <x v="1"/>
    <x v="1"/>
    <s v="Office Star - Mid Back Dual function Ergonomic High Back Chair with 2-Way Adjustable Arms"/>
    <n v="1448.82"/>
    <n v="10"/>
    <n v="209.27"/>
  </r>
  <r>
    <d v="2015-12-03T00:00:00"/>
    <x v="1"/>
    <x v="9"/>
    <x v="373"/>
    <x v="13"/>
    <x v="0"/>
    <x v="14"/>
    <s v="Lexmark MarkNet N8150 Wireless Print Server"/>
    <n v="482.34"/>
    <n v="4"/>
    <n v="-337.64"/>
  </r>
  <r>
    <d v="2015-12-03T00:00:00"/>
    <x v="1"/>
    <x v="9"/>
    <x v="373"/>
    <x v="13"/>
    <x v="1"/>
    <x v="5"/>
    <s v="3M Hangers With Command Adhesive"/>
    <n v="2.96"/>
    <n v="1"/>
    <n v="0.78"/>
  </r>
  <r>
    <d v="2015-12-03T00:00:00"/>
    <x v="1"/>
    <x v="9"/>
    <x v="110"/>
    <x v="2"/>
    <x v="2"/>
    <x v="9"/>
    <s v="Cardinal Poly Pocket Divider Pockets for Ring Binders"/>
    <n v="10.75"/>
    <n v="4"/>
    <n v="3.36"/>
  </r>
  <r>
    <d v="2015-12-03T00:00:00"/>
    <x v="1"/>
    <x v="9"/>
    <x v="374"/>
    <x v="13"/>
    <x v="2"/>
    <x v="3"/>
    <s v="Message Book, Wirebound, Four 5 1/2&quot; X 4&quot; Forms/Pg., 200 Dupl. Sets/Book"/>
    <n v="16.45"/>
    <n v="2"/>
    <n v="5.55"/>
  </r>
  <r>
    <d v="2015-12-03T00:00:00"/>
    <x v="1"/>
    <x v="9"/>
    <x v="374"/>
    <x v="13"/>
    <x v="0"/>
    <x v="0"/>
    <s v="Verbatim 25 GB 6x Blu-ray Single Layer Recordable Disc, 25/Pack"/>
    <n v="36.78"/>
    <n v="2"/>
    <n v="10.58"/>
  </r>
  <r>
    <d v="2015-12-03T00:00:00"/>
    <x v="1"/>
    <x v="9"/>
    <x v="375"/>
    <x v="2"/>
    <x v="2"/>
    <x v="9"/>
    <s v="GBC Therma-A-Bind 250T Electric Binding System"/>
    <n v="590.35"/>
    <n v="6"/>
    <n v="206.62"/>
  </r>
  <r>
    <d v="2015-12-03T00:00:00"/>
    <x v="1"/>
    <x v="9"/>
    <x v="376"/>
    <x v="5"/>
    <x v="1"/>
    <x v="16"/>
    <s v="Sauder Forest Hills Library, Woodland Oak Finish"/>
    <n v="359.5"/>
    <n v="3"/>
    <n v="-29.61"/>
  </r>
  <r>
    <d v="2015-12-03T00:00:00"/>
    <x v="1"/>
    <x v="9"/>
    <x v="226"/>
    <x v="12"/>
    <x v="1"/>
    <x v="5"/>
    <s v="Seth Thomas 16&quot; Steel Case Clock"/>
    <n v="77.95"/>
    <n v="3"/>
    <n v="12.67"/>
  </r>
  <r>
    <d v="2015-12-03T00:00:00"/>
    <x v="1"/>
    <x v="9"/>
    <x v="226"/>
    <x v="12"/>
    <x v="2"/>
    <x v="9"/>
    <s v="GBC DocuBind P50 Personal Binding Machine"/>
    <n v="95.97"/>
    <n v="5"/>
    <n v="-73.58"/>
  </r>
  <r>
    <d v="2015-12-03T00:00:00"/>
    <x v="1"/>
    <x v="9"/>
    <x v="226"/>
    <x v="12"/>
    <x v="0"/>
    <x v="2"/>
    <s v="Panasonic KX-TG6844B Expandable Digital Cordless Telephone"/>
    <n v="105.58"/>
    <n v="2"/>
    <n v="9.24"/>
  </r>
  <r>
    <d v="2015-12-03T00:00:00"/>
    <x v="1"/>
    <x v="9"/>
    <x v="226"/>
    <x v="12"/>
    <x v="2"/>
    <x v="11"/>
    <s v="Newell 312"/>
    <n v="9.34"/>
    <n v="2"/>
    <n v="1.17"/>
  </r>
  <r>
    <d v="2015-12-03T00:00:00"/>
    <x v="1"/>
    <x v="9"/>
    <x v="165"/>
    <x v="41"/>
    <x v="2"/>
    <x v="3"/>
    <s v="Xerox 1935"/>
    <n v="184.66"/>
    <n v="7"/>
    <n v="84.94"/>
  </r>
  <r>
    <d v="2015-01-04T00:00:00"/>
    <x v="1"/>
    <x v="11"/>
    <x v="183"/>
    <x v="7"/>
    <x v="2"/>
    <x v="9"/>
    <s v="GBC Standard Recycled Report Covers, Clear Plastic Sheets"/>
    <n v="32.340000000000003"/>
    <n v="3"/>
    <n v="15.52"/>
  </r>
  <r>
    <d v="2015-01-04T00:00:00"/>
    <x v="1"/>
    <x v="11"/>
    <x v="183"/>
    <x v="7"/>
    <x v="2"/>
    <x v="3"/>
    <s v="Adams Telephone Message Book w/Frequently-Called Numbers Space, 400 Messages per Book"/>
    <n v="39.9"/>
    <n v="5"/>
    <n v="19.95"/>
  </r>
  <r>
    <d v="2015-01-04T00:00:00"/>
    <x v="1"/>
    <x v="11"/>
    <x v="377"/>
    <x v="20"/>
    <x v="1"/>
    <x v="5"/>
    <s v="DAX Wood Document Frame"/>
    <n v="192.22"/>
    <n v="14"/>
    <n v="69.2"/>
  </r>
  <r>
    <d v="2015-04-04T00:00:00"/>
    <x v="1"/>
    <x v="2"/>
    <x v="247"/>
    <x v="2"/>
    <x v="2"/>
    <x v="11"/>
    <s v="DIXON Ticonderoga Erasable Checking Pencils"/>
    <n v="11.16"/>
    <n v="2"/>
    <n v="4.3499999999999996"/>
  </r>
  <r>
    <d v="2015-04-04T00:00:00"/>
    <x v="1"/>
    <x v="2"/>
    <x v="247"/>
    <x v="2"/>
    <x v="1"/>
    <x v="5"/>
    <s v="Eldon Advantage Foldable Chair Mats for Low Pile Carpets"/>
    <n v="108.4"/>
    <n v="2"/>
    <n v="22.76"/>
  </r>
  <r>
    <d v="2015-04-04T00:00:00"/>
    <x v="1"/>
    <x v="2"/>
    <x v="247"/>
    <x v="2"/>
    <x v="2"/>
    <x v="9"/>
    <s v="GBC Prestige Therm-A-Bind Covers"/>
    <n v="82.34"/>
    <n v="3"/>
    <n v="27.79"/>
  </r>
  <r>
    <d v="2015-04-04T00:00:00"/>
    <x v="1"/>
    <x v="2"/>
    <x v="247"/>
    <x v="2"/>
    <x v="2"/>
    <x v="9"/>
    <s v="Avery Round Ring Poly Binders"/>
    <n v="9.09"/>
    <n v="4"/>
    <n v="3.29"/>
  </r>
  <r>
    <d v="2015-04-04T00:00:00"/>
    <x v="1"/>
    <x v="2"/>
    <x v="108"/>
    <x v="10"/>
    <x v="2"/>
    <x v="10"/>
    <s v="Hoover Shoulder Vac Commercial Portable Vacuum"/>
    <n v="644.08000000000004"/>
    <n v="2"/>
    <n v="107.35"/>
  </r>
  <r>
    <d v="2015-04-04T00:00:00"/>
    <x v="1"/>
    <x v="2"/>
    <x v="108"/>
    <x v="10"/>
    <x v="2"/>
    <x v="4"/>
    <s v="Staples"/>
    <n v="5.84"/>
    <n v="2"/>
    <n v="2.63"/>
  </r>
  <r>
    <d v="2015-04-04T00:00:00"/>
    <x v="1"/>
    <x v="2"/>
    <x v="108"/>
    <x v="10"/>
    <x v="2"/>
    <x v="9"/>
    <s v="Acco Expandable Hanging Binders"/>
    <n v="12.76"/>
    <n v="2"/>
    <n v="5.87"/>
  </r>
  <r>
    <d v="2015-04-04T00:00:00"/>
    <x v="1"/>
    <x v="2"/>
    <x v="108"/>
    <x v="10"/>
    <x v="0"/>
    <x v="2"/>
    <s v="Shocksock Galaxy S4 Armband"/>
    <n v="10.95"/>
    <n v="1"/>
    <n v="0.44"/>
  </r>
  <r>
    <d v="2015-04-04T00:00:00"/>
    <x v="1"/>
    <x v="2"/>
    <x v="108"/>
    <x v="10"/>
    <x v="0"/>
    <x v="12"/>
    <s v="Brother DCP1000 Digital 3 in 1 Multifunction Machine"/>
    <n v="599.98"/>
    <n v="2"/>
    <n v="209.99"/>
  </r>
  <r>
    <d v="2015-05-04T00:00:00"/>
    <x v="1"/>
    <x v="10"/>
    <x v="378"/>
    <x v="2"/>
    <x v="1"/>
    <x v="5"/>
    <s v="Electrix 20W Halogen Replacement Bulb for Zoom-In Desk Lamp"/>
    <n v="26.8"/>
    <n v="2"/>
    <n v="12.86"/>
  </r>
  <r>
    <d v="2015-05-04T00:00:00"/>
    <x v="1"/>
    <x v="10"/>
    <x v="280"/>
    <x v="3"/>
    <x v="1"/>
    <x v="5"/>
    <s v="Staple-based wall hangings"/>
    <n v="22.29"/>
    <n v="7"/>
    <n v="-8.92"/>
  </r>
  <r>
    <d v="2015-05-04T00:00:00"/>
    <x v="1"/>
    <x v="10"/>
    <x v="42"/>
    <x v="4"/>
    <x v="0"/>
    <x v="2"/>
    <s v="ShoreTel ShorePhone IP 230 VoIP phone"/>
    <n v="946.34"/>
    <n v="7"/>
    <n v="118.29"/>
  </r>
  <r>
    <d v="2015-05-04T00:00:00"/>
    <x v="1"/>
    <x v="10"/>
    <x v="379"/>
    <x v="33"/>
    <x v="2"/>
    <x v="11"/>
    <s v="Model L Table or Wall-Mount Pencil Sharpener"/>
    <n v="125.93"/>
    <n v="7"/>
    <n v="35.26"/>
  </r>
  <r>
    <d v="2015-06-04T00:00:00"/>
    <x v="1"/>
    <x v="3"/>
    <x v="306"/>
    <x v="1"/>
    <x v="2"/>
    <x v="8"/>
    <s v="Avery 501"/>
    <n v="7.38"/>
    <n v="2"/>
    <n v="3.47"/>
  </r>
  <r>
    <d v="2015-06-04T00:00:00"/>
    <x v="1"/>
    <x v="3"/>
    <x v="306"/>
    <x v="1"/>
    <x v="2"/>
    <x v="11"/>
    <s v="Binney &amp; Smith Crayola Metallic Colored Pencils, 8-Color Set"/>
    <n v="9.26"/>
    <n v="2"/>
    <n v="3.06"/>
  </r>
  <r>
    <d v="2015-06-04T00:00:00"/>
    <x v="1"/>
    <x v="3"/>
    <x v="96"/>
    <x v="2"/>
    <x v="2"/>
    <x v="3"/>
    <s v="Wirebound Message Books, Two 4 1/4&quot; x 5&quot; Forms per Page"/>
    <n v="30.44"/>
    <n v="4"/>
    <n v="14.31"/>
  </r>
  <r>
    <d v="2015-06-04T00:00:00"/>
    <x v="1"/>
    <x v="3"/>
    <x v="96"/>
    <x v="2"/>
    <x v="1"/>
    <x v="5"/>
    <s v="Executive Impressions 10&quot; Spectator Wall Clock"/>
    <n v="35.28"/>
    <n v="3"/>
    <n v="12"/>
  </r>
  <r>
    <d v="2015-06-04T00:00:00"/>
    <x v="1"/>
    <x v="3"/>
    <x v="380"/>
    <x v="5"/>
    <x v="0"/>
    <x v="0"/>
    <s v="Logitech Wireless Anywhere Mouse MX for PC and Mac"/>
    <n v="119.98"/>
    <n v="2"/>
    <n v="35.99"/>
  </r>
  <r>
    <d v="2015-06-04T00:00:00"/>
    <x v="1"/>
    <x v="3"/>
    <x v="380"/>
    <x v="5"/>
    <x v="0"/>
    <x v="0"/>
    <s v="LogitechÂ Z-906 Speaker sys - home theater - 5.1-CH"/>
    <n v="989.97"/>
    <n v="3"/>
    <n v="395.99"/>
  </r>
  <r>
    <d v="2015-07-04T00:00:00"/>
    <x v="1"/>
    <x v="4"/>
    <x v="381"/>
    <x v="0"/>
    <x v="0"/>
    <x v="2"/>
    <s v="Mitel MiVoice 5330e IP Phone"/>
    <n v="1099.96"/>
    <n v="4"/>
    <n v="285.99"/>
  </r>
  <r>
    <d v="2015-07-04T00:00:00"/>
    <x v="1"/>
    <x v="4"/>
    <x v="382"/>
    <x v="2"/>
    <x v="2"/>
    <x v="11"/>
    <s v="Colorific Watercolor Pencils"/>
    <n v="15.48"/>
    <n v="3"/>
    <n v="4.49"/>
  </r>
  <r>
    <d v="2015-07-04T00:00:00"/>
    <x v="1"/>
    <x v="4"/>
    <x v="383"/>
    <x v="5"/>
    <x v="2"/>
    <x v="9"/>
    <s v="Avery Premier Heavy-Duty Binder with Round Locking Rings"/>
    <n v="22.85"/>
    <n v="2"/>
    <n v="7.43"/>
  </r>
  <r>
    <d v="2015-09-04T00:00:00"/>
    <x v="1"/>
    <x v="6"/>
    <x v="384"/>
    <x v="19"/>
    <x v="2"/>
    <x v="3"/>
    <s v="Xerox 1908"/>
    <n v="279.89999999999998"/>
    <n v="5"/>
    <n v="137.15"/>
  </r>
  <r>
    <d v="2015-09-04T00:00:00"/>
    <x v="1"/>
    <x v="6"/>
    <x v="384"/>
    <x v="19"/>
    <x v="0"/>
    <x v="0"/>
    <s v="Logitech G19 Programmable Gaming Keyboard"/>
    <n v="619.95000000000005"/>
    <n v="5"/>
    <n v="111.59"/>
  </r>
  <r>
    <d v="2015-09-04T00:00:00"/>
    <x v="1"/>
    <x v="6"/>
    <x v="384"/>
    <x v="19"/>
    <x v="2"/>
    <x v="3"/>
    <s v="Ampad Evidence Wirebond Steno Books, 6&quot; x 9&quot;"/>
    <n v="4.3600000000000003"/>
    <n v="2"/>
    <n v="2.0499999999999998"/>
  </r>
  <r>
    <d v="2015-09-04T00:00:00"/>
    <x v="1"/>
    <x v="6"/>
    <x v="384"/>
    <x v="19"/>
    <x v="2"/>
    <x v="13"/>
    <s v="Security-Tint Envelopes"/>
    <n v="15.28"/>
    <n v="2"/>
    <n v="7.49"/>
  </r>
  <r>
    <d v="2015-09-04T00:00:00"/>
    <x v="1"/>
    <x v="6"/>
    <x v="105"/>
    <x v="16"/>
    <x v="2"/>
    <x v="9"/>
    <s v="Acco Flexible ACCOHIDE Square Ring Data Binder, Dark Blue, 11 1/2&quot; X 14&quot; 7/8&quot;"/>
    <n v="9.76"/>
    <n v="2"/>
    <n v="-6.83"/>
  </r>
  <r>
    <d v="2015-09-04T00:00:00"/>
    <x v="1"/>
    <x v="6"/>
    <x v="385"/>
    <x v="4"/>
    <x v="0"/>
    <x v="0"/>
    <s v="Sony Micro Vault Click 16 GB USB 2.0 Flash Drive"/>
    <n v="134.38"/>
    <n v="3"/>
    <n v="6.72"/>
  </r>
  <r>
    <d v="2015-09-04T00:00:00"/>
    <x v="1"/>
    <x v="6"/>
    <x v="326"/>
    <x v="13"/>
    <x v="2"/>
    <x v="9"/>
    <s v="Avery Heavy-Duty EZD View Binder with Locking Rings"/>
    <n v="7.66"/>
    <n v="4"/>
    <n v="-6.12"/>
  </r>
  <r>
    <d v="2015-10-04T00:00:00"/>
    <x v="1"/>
    <x v="7"/>
    <x v="231"/>
    <x v="19"/>
    <x v="1"/>
    <x v="1"/>
    <s v="Office Star - Mesh Screen back chair with Vinyl seat"/>
    <n v="392.94"/>
    <n v="3"/>
    <n v="43.22"/>
  </r>
  <r>
    <d v="2015-10-04T00:00:00"/>
    <x v="1"/>
    <x v="7"/>
    <x v="386"/>
    <x v="5"/>
    <x v="2"/>
    <x v="6"/>
    <s v="Tenex Personal Project File with Scoop Front Design, Black"/>
    <n v="26.96"/>
    <n v="2"/>
    <n v="7.01"/>
  </r>
  <r>
    <d v="2015-10-04T00:00:00"/>
    <x v="1"/>
    <x v="7"/>
    <x v="60"/>
    <x v="13"/>
    <x v="1"/>
    <x v="5"/>
    <s v="DataProducts Ampli Magnifier Task Lamp, Black,"/>
    <n v="64.94"/>
    <n v="3"/>
    <n v="6.49"/>
  </r>
  <r>
    <d v="2015-10-04T00:00:00"/>
    <x v="1"/>
    <x v="7"/>
    <x v="60"/>
    <x v="13"/>
    <x v="2"/>
    <x v="3"/>
    <s v="Xerox 1946"/>
    <n v="20.74"/>
    <n v="4"/>
    <n v="7.26"/>
  </r>
  <r>
    <d v="2015-12-04T00:00:00"/>
    <x v="1"/>
    <x v="9"/>
    <x v="387"/>
    <x v="11"/>
    <x v="2"/>
    <x v="9"/>
    <s v="SpineVue Locking Slant-D Ring Binders by Cardinal"/>
    <n v="8.23"/>
    <n v="3"/>
    <n v="-6.03"/>
  </r>
  <r>
    <d v="2015-12-04T00:00:00"/>
    <x v="1"/>
    <x v="9"/>
    <x v="388"/>
    <x v="2"/>
    <x v="1"/>
    <x v="5"/>
    <s v="DAX Two-Tone Rosewood/Black Document Frame, Desktop, 5 x 7"/>
    <n v="28.44"/>
    <n v="3"/>
    <n v="11.38"/>
  </r>
  <r>
    <d v="2015-12-04T00:00:00"/>
    <x v="1"/>
    <x v="9"/>
    <x v="388"/>
    <x v="2"/>
    <x v="1"/>
    <x v="1"/>
    <s v="Office Star - Ergonomically Designed Knee Chair"/>
    <n v="364.41"/>
    <n v="5"/>
    <n v="8.1"/>
  </r>
  <r>
    <d v="2015-12-04T00:00:00"/>
    <x v="1"/>
    <x v="9"/>
    <x v="388"/>
    <x v="2"/>
    <x v="0"/>
    <x v="2"/>
    <s v="Square Credit Card Reader"/>
    <n v="39.96"/>
    <n v="4"/>
    <n v="10.39"/>
  </r>
  <r>
    <d v="2015-12-04T00:00:00"/>
    <x v="1"/>
    <x v="9"/>
    <x v="388"/>
    <x v="2"/>
    <x v="1"/>
    <x v="1"/>
    <s v="Global Leather Highback Executive Chair with Pneumatic Height Adjustment, Black"/>
    <n v="361.76"/>
    <n v="2"/>
    <n v="68.33"/>
  </r>
  <r>
    <d v="2015-12-04T00:00:00"/>
    <x v="1"/>
    <x v="9"/>
    <x v="199"/>
    <x v="2"/>
    <x v="2"/>
    <x v="13"/>
    <s v="Wausau Papers Astrobrights Colored Envelopes"/>
    <n v="17.940000000000001"/>
    <n v="3"/>
    <n v="8.7899999999999991"/>
  </r>
  <r>
    <d v="2015-12-04T00:00:00"/>
    <x v="1"/>
    <x v="9"/>
    <x v="199"/>
    <x v="2"/>
    <x v="1"/>
    <x v="1"/>
    <s v="Global Armless Task Chair, Royal Blue"/>
    <n v="384.17"/>
    <n v="7"/>
    <n v="29.88"/>
  </r>
  <r>
    <d v="2015-12-04T00:00:00"/>
    <x v="1"/>
    <x v="9"/>
    <x v="199"/>
    <x v="2"/>
    <x v="0"/>
    <x v="2"/>
    <s v="Wilson SignalBoost 841262 DB PRO Amplifier Kit"/>
    <n v="1799.75"/>
    <n v="5"/>
    <n v="539.92999999999995"/>
  </r>
  <r>
    <d v="2015-12-04T00:00:00"/>
    <x v="1"/>
    <x v="9"/>
    <x v="389"/>
    <x v="22"/>
    <x v="2"/>
    <x v="3"/>
    <s v="Xerox 1881"/>
    <n v="85.96"/>
    <n v="7"/>
    <n v="40.4"/>
  </r>
  <r>
    <d v="2015-12-04T00:00:00"/>
    <x v="1"/>
    <x v="9"/>
    <x v="390"/>
    <x v="26"/>
    <x v="2"/>
    <x v="9"/>
    <s v="GBC Ibimaster 500 Manual ProClick Binding System"/>
    <n v="1598.06"/>
    <n v="7"/>
    <n v="-1065.3699999999999"/>
  </r>
  <r>
    <d v="2015-12-04T00:00:00"/>
    <x v="1"/>
    <x v="9"/>
    <x v="390"/>
    <x v="26"/>
    <x v="2"/>
    <x v="11"/>
    <s v="Deluxe Chalkboard Eraser Cleaner"/>
    <n v="36.96"/>
    <n v="4"/>
    <n v="12.01"/>
  </r>
  <r>
    <d v="2015-12-04T00:00:00"/>
    <x v="1"/>
    <x v="9"/>
    <x v="391"/>
    <x v="5"/>
    <x v="2"/>
    <x v="13"/>
    <s v="Tyvek Side-Opening Peel &amp; Seel Expanding Envelopes"/>
    <n v="271.44"/>
    <n v="3"/>
    <n v="122.15"/>
  </r>
  <r>
    <d v="2015-12-04T00:00:00"/>
    <x v="1"/>
    <x v="9"/>
    <x v="391"/>
    <x v="5"/>
    <x v="0"/>
    <x v="2"/>
    <s v="Jensen SMPS-640 -Â speaker phone"/>
    <n v="110.35"/>
    <n v="3"/>
    <n v="8.2799999999999994"/>
  </r>
  <r>
    <d v="2015-12-04T00:00:00"/>
    <x v="1"/>
    <x v="9"/>
    <x v="391"/>
    <x v="5"/>
    <x v="1"/>
    <x v="5"/>
    <s v="Master Caster Door Stop, Large Brown"/>
    <n v="36.4"/>
    <n v="5"/>
    <n v="13.83"/>
  </r>
  <r>
    <d v="2015-12-04T00:00:00"/>
    <x v="1"/>
    <x v="9"/>
    <x v="292"/>
    <x v="5"/>
    <x v="2"/>
    <x v="11"/>
    <s v="Avery Hi-Liter Fluorescent Desk Style Markers"/>
    <n v="16.899999999999999"/>
    <n v="5"/>
    <n v="6.25"/>
  </r>
  <r>
    <d v="2015-12-04T00:00:00"/>
    <x v="1"/>
    <x v="9"/>
    <x v="292"/>
    <x v="5"/>
    <x v="1"/>
    <x v="5"/>
    <s v="Eldon Image Series Desk Accessories, Burgundy"/>
    <n v="25.08"/>
    <n v="6"/>
    <n v="9.0299999999999994"/>
  </r>
  <r>
    <d v="2015-01-05T00:00:00"/>
    <x v="1"/>
    <x v="11"/>
    <x v="147"/>
    <x v="1"/>
    <x v="1"/>
    <x v="1"/>
    <s v="Global Deluxe Steno Chair"/>
    <n v="61.58"/>
    <n v="1"/>
    <n v="-6.93"/>
  </r>
  <r>
    <d v="2015-01-05T00:00:00"/>
    <x v="1"/>
    <x v="11"/>
    <x v="277"/>
    <x v="2"/>
    <x v="2"/>
    <x v="11"/>
    <s v="Newell 34"/>
    <n v="59.52"/>
    <n v="3"/>
    <n v="15.48"/>
  </r>
  <r>
    <d v="2015-01-05T00:00:00"/>
    <x v="1"/>
    <x v="11"/>
    <x v="277"/>
    <x v="2"/>
    <x v="2"/>
    <x v="13"/>
    <s v="#10- 4 1/8&quot; x 9 1/2&quot; Recycled Envelopes"/>
    <n v="17.48"/>
    <n v="2"/>
    <n v="8.2200000000000006"/>
  </r>
  <r>
    <d v="2015-01-05T00:00:00"/>
    <x v="1"/>
    <x v="11"/>
    <x v="277"/>
    <x v="2"/>
    <x v="2"/>
    <x v="9"/>
    <s v="Wilson Jones data.warehouse D-Ring Binders with DublLock"/>
    <n v="13.17"/>
    <n v="2"/>
    <n v="4.6100000000000003"/>
  </r>
  <r>
    <d v="2015-01-05T00:00:00"/>
    <x v="1"/>
    <x v="11"/>
    <x v="392"/>
    <x v="5"/>
    <x v="2"/>
    <x v="10"/>
    <s v="Acco 6 Outlet Guardian Premium Surge Suppressor"/>
    <n v="87.36"/>
    <n v="6"/>
    <n v="23.59"/>
  </r>
  <r>
    <d v="2015-01-05T00:00:00"/>
    <x v="1"/>
    <x v="11"/>
    <x v="392"/>
    <x v="5"/>
    <x v="2"/>
    <x v="9"/>
    <s v="Fellowes Binding Cases"/>
    <n v="56.16"/>
    <n v="6"/>
    <n v="17.55"/>
  </r>
  <r>
    <d v="2015-03-05T00:00:00"/>
    <x v="1"/>
    <x v="1"/>
    <x v="178"/>
    <x v="2"/>
    <x v="2"/>
    <x v="13"/>
    <s v="Staple envelope"/>
    <n v="29.34"/>
    <n v="3"/>
    <n v="14.67"/>
  </r>
  <r>
    <d v="2015-03-05T00:00:00"/>
    <x v="1"/>
    <x v="1"/>
    <x v="178"/>
    <x v="2"/>
    <x v="1"/>
    <x v="1"/>
    <s v="Global Value Mid-Back Manager's Chair, Gray"/>
    <n v="383.61"/>
    <n v="7"/>
    <n v="63.93"/>
  </r>
  <r>
    <d v="2015-03-05T00:00:00"/>
    <x v="1"/>
    <x v="1"/>
    <x v="178"/>
    <x v="2"/>
    <x v="2"/>
    <x v="6"/>
    <s v="Fellowes Strictly Business Drawer File, Letter/Legal Size"/>
    <n v="563.4"/>
    <n v="4"/>
    <n v="67.61"/>
  </r>
  <r>
    <d v="2015-03-05T00:00:00"/>
    <x v="1"/>
    <x v="1"/>
    <x v="393"/>
    <x v="33"/>
    <x v="0"/>
    <x v="2"/>
    <s v="I Need's 3d Hello Kitty Hybrid Silicone Case Cover for HTC One X 4g with 3d Hello Kitty Stylus Pen Green/pink"/>
    <n v="23.92"/>
    <n v="2"/>
    <n v="6.7"/>
  </r>
  <r>
    <d v="2015-03-05T00:00:00"/>
    <x v="1"/>
    <x v="1"/>
    <x v="393"/>
    <x v="33"/>
    <x v="2"/>
    <x v="10"/>
    <s v="Staple holder"/>
    <n v="60.69"/>
    <n v="7"/>
    <n v="16.39"/>
  </r>
  <r>
    <d v="2015-03-05T00:00:00"/>
    <x v="1"/>
    <x v="1"/>
    <x v="65"/>
    <x v="13"/>
    <x v="0"/>
    <x v="2"/>
    <s v="Samsung Convoy 3"/>
    <n v="466.16"/>
    <n v="7"/>
    <n v="-93.23"/>
  </r>
  <r>
    <d v="2015-03-05T00:00:00"/>
    <x v="1"/>
    <x v="1"/>
    <x v="65"/>
    <x v="13"/>
    <x v="0"/>
    <x v="0"/>
    <s v="Sony 16GB Class 10 Micro SDHC R40 Memory Card"/>
    <n v="10.31"/>
    <n v="1"/>
    <n v="-1.29"/>
  </r>
  <r>
    <d v="2015-03-05T00:00:00"/>
    <x v="1"/>
    <x v="1"/>
    <x v="65"/>
    <x v="13"/>
    <x v="2"/>
    <x v="9"/>
    <s v="Avery Round Ring Poly Binders"/>
    <n v="2.56"/>
    <n v="3"/>
    <n v="-1.79"/>
  </r>
  <r>
    <d v="2015-03-05T00:00:00"/>
    <x v="1"/>
    <x v="1"/>
    <x v="394"/>
    <x v="13"/>
    <x v="1"/>
    <x v="1"/>
    <s v="Situations Contoured Folding Chairs, 4/Set"/>
    <n v="99.37"/>
    <n v="2"/>
    <n v="-7.1"/>
  </r>
  <r>
    <d v="2015-03-05T00:00:00"/>
    <x v="1"/>
    <x v="1"/>
    <x v="394"/>
    <x v="13"/>
    <x v="1"/>
    <x v="5"/>
    <s v="36X48 HARDFLOOR CHAIRMAT"/>
    <n v="33.57"/>
    <n v="2"/>
    <n v="-5.45"/>
  </r>
  <r>
    <d v="2015-03-05T00:00:00"/>
    <x v="1"/>
    <x v="1"/>
    <x v="395"/>
    <x v="4"/>
    <x v="0"/>
    <x v="2"/>
    <s v="Cisco SPA525G2 IP Phone - Wireless"/>
    <n v="31.92"/>
    <n v="2"/>
    <n v="2.39"/>
  </r>
  <r>
    <d v="2015-03-05T00:00:00"/>
    <x v="1"/>
    <x v="1"/>
    <x v="396"/>
    <x v="3"/>
    <x v="2"/>
    <x v="4"/>
    <s v="Binder Clips by OIC"/>
    <n v="7.1"/>
    <n v="6"/>
    <n v="2.4900000000000002"/>
  </r>
  <r>
    <d v="2015-03-05T00:00:00"/>
    <x v="1"/>
    <x v="1"/>
    <x v="199"/>
    <x v="3"/>
    <x v="2"/>
    <x v="9"/>
    <s v="Performers Binder/Pad Holder, Black"/>
    <n v="11.21"/>
    <n v="2"/>
    <n v="-16.82"/>
  </r>
  <r>
    <d v="2015-03-05T00:00:00"/>
    <x v="1"/>
    <x v="1"/>
    <x v="199"/>
    <x v="3"/>
    <x v="1"/>
    <x v="5"/>
    <s v="Eldon Wave Desk Accessories"/>
    <n v="4.71"/>
    <n v="2"/>
    <n v="-1.88"/>
  </r>
  <r>
    <d v="2015-03-05T00:00:00"/>
    <x v="1"/>
    <x v="1"/>
    <x v="199"/>
    <x v="3"/>
    <x v="2"/>
    <x v="10"/>
    <s v="Avanti 4.4 Cu. Ft. Refrigerator"/>
    <n v="180.98"/>
    <n v="5"/>
    <n v="-470.55"/>
  </r>
  <r>
    <d v="2015-03-05T00:00:00"/>
    <x v="1"/>
    <x v="1"/>
    <x v="199"/>
    <x v="3"/>
    <x v="2"/>
    <x v="6"/>
    <s v="Companion Letter/Legal File, Black"/>
    <n v="60.42"/>
    <n v="2"/>
    <n v="6.04"/>
  </r>
  <r>
    <d v="2015-04-05T00:00:00"/>
    <x v="1"/>
    <x v="2"/>
    <x v="397"/>
    <x v="26"/>
    <x v="2"/>
    <x v="9"/>
    <s v="GBC DocuBind 300 Electric Binding Machine"/>
    <n v="157.79"/>
    <n v="1"/>
    <n v="-115.72"/>
  </r>
  <r>
    <d v="2015-04-05T00:00:00"/>
    <x v="1"/>
    <x v="2"/>
    <x v="169"/>
    <x v="13"/>
    <x v="2"/>
    <x v="10"/>
    <s v="Bionaire 99.97% HEPA Air Cleaner"/>
    <n v="98.11"/>
    <n v="7"/>
    <n v="18.399999999999999"/>
  </r>
  <r>
    <d v="2015-04-05T00:00:00"/>
    <x v="1"/>
    <x v="2"/>
    <x v="169"/>
    <x v="13"/>
    <x v="2"/>
    <x v="6"/>
    <s v="Fellowes High-Stak Drawer Files"/>
    <n v="563.80999999999995"/>
    <n v="4"/>
    <n v="21.14"/>
  </r>
  <r>
    <d v="2015-04-05T00:00:00"/>
    <x v="1"/>
    <x v="2"/>
    <x v="169"/>
    <x v="13"/>
    <x v="2"/>
    <x v="9"/>
    <s v="Cardinal Slant-D Ring Binders"/>
    <n v="10.43"/>
    <n v="4"/>
    <n v="-6.95"/>
  </r>
  <r>
    <d v="2015-04-05T00:00:00"/>
    <x v="1"/>
    <x v="2"/>
    <x v="169"/>
    <x v="13"/>
    <x v="1"/>
    <x v="5"/>
    <s v="Tenex Antistatic Computer Chair Mats"/>
    <n v="547.14"/>
    <n v="4"/>
    <n v="-68.39"/>
  </r>
  <r>
    <d v="2015-04-05T00:00:00"/>
    <x v="1"/>
    <x v="2"/>
    <x v="169"/>
    <x v="13"/>
    <x v="0"/>
    <x v="2"/>
    <s v="Cush Cases Heavy Duty Rugged Cover Case for Samsung Galaxy S5 - Purple"/>
    <n v="14.85"/>
    <n v="5"/>
    <n v="-3.22"/>
  </r>
  <r>
    <d v="2015-04-05T00:00:00"/>
    <x v="1"/>
    <x v="2"/>
    <x v="169"/>
    <x v="13"/>
    <x v="0"/>
    <x v="2"/>
    <s v="Speck Products Candyshell Flip Case"/>
    <n v="41.99"/>
    <n v="2"/>
    <n v="-9.8000000000000007"/>
  </r>
  <r>
    <d v="2015-04-05T00:00:00"/>
    <x v="1"/>
    <x v="2"/>
    <x v="169"/>
    <x v="13"/>
    <x v="1"/>
    <x v="5"/>
    <s v="DAX Charcoal/Nickel-Tone Document Frame, 5 x 7"/>
    <n v="7.58"/>
    <n v="1"/>
    <n v="2.37"/>
  </r>
  <r>
    <d v="2015-04-05T00:00:00"/>
    <x v="1"/>
    <x v="2"/>
    <x v="169"/>
    <x v="13"/>
    <x v="1"/>
    <x v="16"/>
    <s v="Bush Heritage Pine Collection 5-Shelf Bookcase, Albany Pine Finish, *Special Order"/>
    <n v="352.45"/>
    <n v="5"/>
    <n v="-211.47"/>
  </r>
  <r>
    <d v="2015-04-05T00:00:00"/>
    <x v="1"/>
    <x v="2"/>
    <x v="220"/>
    <x v="13"/>
    <x v="2"/>
    <x v="8"/>
    <s v="Avery 499"/>
    <n v="23.9"/>
    <n v="6"/>
    <n v="7.77"/>
  </r>
  <r>
    <d v="2015-04-05T00:00:00"/>
    <x v="1"/>
    <x v="2"/>
    <x v="398"/>
    <x v="5"/>
    <x v="1"/>
    <x v="1"/>
    <s v="GuestStacker Chair with Chrome Finish Legs"/>
    <n v="892.22"/>
    <n v="3"/>
    <n v="89.22"/>
  </r>
  <r>
    <d v="2015-04-05T00:00:00"/>
    <x v="1"/>
    <x v="2"/>
    <x v="399"/>
    <x v="1"/>
    <x v="0"/>
    <x v="0"/>
    <s v="SanDisk Ultra 64 GB MicroSDHC Class 10 Memory Card"/>
    <n v="239.94"/>
    <n v="6"/>
    <n v="26.39"/>
  </r>
  <r>
    <d v="2015-04-05T00:00:00"/>
    <x v="1"/>
    <x v="2"/>
    <x v="399"/>
    <x v="1"/>
    <x v="2"/>
    <x v="11"/>
    <s v="Dixon Ticonderoga Pencils"/>
    <n v="23.84"/>
    <n v="8"/>
    <n v="6.44"/>
  </r>
  <r>
    <d v="2015-06-05T00:00:00"/>
    <x v="1"/>
    <x v="3"/>
    <x v="400"/>
    <x v="2"/>
    <x v="1"/>
    <x v="1"/>
    <s v="Hon Every-Day Series Multi-Task Chairs"/>
    <n v="1522.64"/>
    <n v="9"/>
    <n v="169.18"/>
  </r>
  <r>
    <d v="2015-06-05T00:00:00"/>
    <x v="1"/>
    <x v="3"/>
    <x v="401"/>
    <x v="22"/>
    <x v="2"/>
    <x v="3"/>
    <s v="Xerox 1981"/>
    <n v="10.56"/>
    <n v="2"/>
    <n v="4.75"/>
  </r>
  <r>
    <d v="2015-07-05T00:00:00"/>
    <x v="1"/>
    <x v="4"/>
    <x v="14"/>
    <x v="12"/>
    <x v="1"/>
    <x v="5"/>
    <s v="Stackable Trays"/>
    <n v="4.93"/>
    <n v="2"/>
    <n v="0.74"/>
  </r>
  <r>
    <d v="2015-07-05T00:00:00"/>
    <x v="1"/>
    <x v="4"/>
    <x v="14"/>
    <x v="12"/>
    <x v="2"/>
    <x v="9"/>
    <s v="Wilson Jones Turn Tabs Binder Tool for Ring Binders"/>
    <n v="7.23"/>
    <n v="5"/>
    <n v="-5.78"/>
  </r>
  <r>
    <d v="2015-07-05T00:00:00"/>
    <x v="1"/>
    <x v="4"/>
    <x v="402"/>
    <x v="10"/>
    <x v="2"/>
    <x v="9"/>
    <s v="Durable Pressboard Binders"/>
    <n v="19"/>
    <n v="5"/>
    <n v="8.93"/>
  </r>
  <r>
    <d v="2015-07-05T00:00:00"/>
    <x v="1"/>
    <x v="4"/>
    <x v="403"/>
    <x v="13"/>
    <x v="0"/>
    <x v="0"/>
    <s v="HP Standard 104 key PS/2 Keyboard"/>
    <n v="34.799999999999997"/>
    <n v="3"/>
    <n v="2.1800000000000002"/>
  </r>
  <r>
    <d v="2015-07-05T00:00:00"/>
    <x v="1"/>
    <x v="4"/>
    <x v="403"/>
    <x v="13"/>
    <x v="2"/>
    <x v="6"/>
    <s v="Acco Perma 4000 Stacking Storage Drawers"/>
    <n v="38.979999999999997"/>
    <n v="3"/>
    <n v="-2.44"/>
  </r>
  <r>
    <d v="2015-07-05T00:00:00"/>
    <x v="1"/>
    <x v="4"/>
    <x v="180"/>
    <x v="12"/>
    <x v="1"/>
    <x v="5"/>
    <s v="Stackable Trays"/>
    <n v="4.93"/>
    <n v="2"/>
    <n v="0.74"/>
  </r>
  <r>
    <d v="2015-07-05T00:00:00"/>
    <x v="1"/>
    <x v="4"/>
    <x v="180"/>
    <x v="12"/>
    <x v="2"/>
    <x v="8"/>
    <s v="Avery 508"/>
    <n v="11.78"/>
    <n v="3"/>
    <n v="4.2699999999999996"/>
  </r>
  <r>
    <d v="2015-08-05T00:00:00"/>
    <x v="1"/>
    <x v="5"/>
    <x v="42"/>
    <x v="4"/>
    <x v="2"/>
    <x v="6"/>
    <s v="Perma STOR-ALL Hanging File Box, 13 1/8&quot;W x 12 1/4&quot;D x 10 1/2&quot;H"/>
    <n v="33.49"/>
    <n v="7"/>
    <n v="-1.26"/>
  </r>
  <r>
    <d v="2015-08-05T00:00:00"/>
    <x v="1"/>
    <x v="5"/>
    <x v="42"/>
    <x v="4"/>
    <x v="2"/>
    <x v="15"/>
    <s v="Stiletto Hand Letter Openers"/>
    <n v="23.04"/>
    <n v="3"/>
    <n v="-4.9000000000000004"/>
  </r>
  <r>
    <d v="2015-08-05T00:00:00"/>
    <x v="1"/>
    <x v="5"/>
    <x v="42"/>
    <x v="4"/>
    <x v="2"/>
    <x v="9"/>
    <s v="Avery Self-Adhesive Photo Pockets for Polaroid Photos"/>
    <n v="1.36"/>
    <n v="1"/>
    <n v="-2.1800000000000002"/>
  </r>
  <r>
    <d v="2015-08-05T00:00:00"/>
    <x v="1"/>
    <x v="5"/>
    <x v="42"/>
    <x v="4"/>
    <x v="1"/>
    <x v="5"/>
    <s v="Eldon Expressions Wood Desk Accessories, Oak"/>
    <n v="14.76"/>
    <n v="5"/>
    <n v="-11.44"/>
  </r>
  <r>
    <d v="2015-09-05T00:00:00"/>
    <x v="1"/>
    <x v="6"/>
    <x v="404"/>
    <x v="5"/>
    <x v="1"/>
    <x v="16"/>
    <s v="Sauder Camden County Barrister Bookcase, Planked Cherry Finish"/>
    <n v="411.33"/>
    <n v="4"/>
    <n v="-4.84"/>
  </r>
  <r>
    <d v="2015-09-05T00:00:00"/>
    <x v="1"/>
    <x v="6"/>
    <x v="404"/>
    <x v="5"/>
    <x v="2"/>
    <x v="9"/>
    <s v="DXL Angle-View Binders with Locking Rings, Black"/>
    <n v="28.75"/>
    <n v="6"/>
    <n v="9.6999999999999993"/>
  </r>
  <r>
    <d v="2015-09-05T00:00:00"/>
    <x v="1"/>
    <x v="6"/>
    <x v="404"/>
    <x v="5"/>
    <x v="1"/>
    <x v="16"/>
    <s v="Sauder Camden County Collection Libraries, Planked Cherry Finish"/>
    <n v="293.2"/>
    <n v="3"/>
    <n v="-20.7"/>
  </r>
  <r>
    <d v="2015-09-05T00:00:00"/>
    <x v="1"/>
    <x v="6"/>
    <x v="405"/>
    <x v="4"/>
    <x v="2"/>
    <x v="9"/>
    <s v="Acco Flexible ACCOHIDE Square Ring Data Binder, Dark Blue, 11 1/2&quot; X 14&quot; 7/8&quot;"/>
    <n v="16.27"/>
    <n v="5"/>
    <n v="-25.22"/>
  </r>
  <r>
    <d v="2015-09-05T00:00:00"/>
    <x v="1"/>
    <x v="6"/>
    <x v="405"/>
    <x v="4"/>
    <x v="2"/>
    <x v="15"/>
    <s v="Stiletto Hand Letter Openers"/>
    <n v="69.12"/>
    <n v="9"/>
    <n v="-14.69"/>
  </r>
  <r>
    <d v="2015-09-05T00:00:00"/>
    <x v="1"/>
    <x v="6"/>
    <x v="405"/>
    <x v="4"/>
    <x v="2"/>
    <x v="9"/>
    <s v="Acco Four Pocket Poly Ring Binder with Label Holder, Smoke, 1&quot;"/>
    <n v="4.47"/>
    <n v="3"/>
    <n v="-7.82"/>
  </r>
  <r>
    <d v="2015-09-05T00:00:00"/>
    <x v="1"/>
    <x v="6"/>
    <x v="406"/>
    <x v="7"/>
    <x v="1"/>
    <x v="5"/>
    <s v="Longer-Life Soft White Bulbs"/>
    <n v="6.16"/>
    <n v="2"/>
    <n v="2.96"/>
  </r>
  <r>
    <d v="2015-09-05T00:00:00"/>
    <x v="1"/>
    <x v="6"/>
    <x v="406"/>
    <x v="7"/>
    <x v="2"/>
    <x v="3"/>
    <s v="Xerox 1881"/>
    <n v="36.840000000000003"/>
    <n v="3"/>
    <n v="17.309999999999999"/>
  </r>
  <r>
    <d v="2015-09-05T00:00:00"/>
    <x v="1"/>
    <x v="6"/>
    <x v="334"/>
    <x v="20"/>
    <x v="1"/>
    <x v="5"/>
    <s v="Tensor Brushed Steel Torchiere Floor Lamp"/>
    <n v="67.959999999999994"/>
    <n v="4"/>
    <n v="12.23"/>
  </r>
  <r>
    <d v="2015-10-05T00:00:00"/>
    <x v="1"/>
    <x v="7"/>
    <x v="407"/>
    <x v="20"/>
    <x v="2"/>
    <x v="11"/>
    <s v="Newell 324"/>
    <n v="46.2"/>
    <n v="4"/>
    <n v="12.94"/>
  </r>
  <r>
    <d v="2015-10-05T00:00:00"/>
    <x v="1"/>
    <x v="7"/>
    <x v="407"/>
    <x v="20"/>
    <x v="2"/>
    <x v="10"/>
    <s v="Holmes Odor Grabber"/>
    <n v="28.84"/>
    <n v="2"/>
    <n v="9.52"/>
  </r>
  <r>
    <d v="2015-10-05T00:00:00"/>
    <x v="1"/>
    <x v="7"/>
    <x v="360"/>
    <x v="37"/>
    <x v="2"/>
    <x v="6"/>
    <s v="Personal Filing Tote with Lid, Black/Gray"/>
    <n v="77.55"/>
    <n v="5"/>
    <n v="21.71"/>
  </r>
  <r>
    <d v="2015-10-05T00:00:00"/>
    <x v="1"/>
    <x v="7"/>
    <x v="213"/>
    <x v="18"/>
    <x v="0"/>
    <x v="0"/>
    <s v="SanDisk Ultra 32 GB MicroSDHC Class 10 Memory Card"/>
    <n v="53.04"/>
    <n v="3"/>
    <n v="-4.6399999999999997"/>
  </r>
  <r>
    <d v="2015-10-05T00:00:00"/>
    <x v="1"/>
    <x v="7"/>
    <x v="330"/>
    <x v="16"/>
    <x v="1"/>
    <x v="16"/>
    <s v="Bush Cubix Collection Bookcases, Fully Assembled"/>
    <n v="66.290000000000006"/>
    <n v="1"/>
    <n v="-103.86"/>
  </r>
  <r>
    <d v="2015-10-05T00:00:00"/>
    <x v="1"/>
    <x v="7"/>
    <x v="330"/>
    <x v="16"/>
    <x v="1"/>
    <x v="1"/>
    <s v="Global Highback Leather Tilter in Burgundy"/>
    <n v="291.17"/>
    <n v="4"/>
    <n v="-14.56"/>
  </r>
  <r>
    <d v="2015-10-05T00:00:00"/>
    <x v="1"/>
    <x v="7"/>
    <x v="15"/>
    <x v="18"/>
    <x v="0"/>
    <x v="0"/>
    <s v="NETGEAR N750 Dual Band Wi-Fi Gigabit Router"/>
    <n v="288"/>
    <n v="4"/>
    <n v="57.6"/>
  </r>
  <r>
    <d v="2015-11-05T00:00:00"/>
    <x v="1"/>
    <x v="8"/>
    <x v="408"/>
    <x v="12"/>
    <x v="1"/>
    <x v="1"/>
    <s v="Harbour Creations Steel Folding Chair"/>
    <n v="207"/>
    <n v="3"/>
    <n v="25.88"/>
  </r>
  <r>
    <d v="2015-11-05T00:00:00"/>
    <x v="1"/>
    <x v="8"/>
    <x v="112"/>
    <x v="11"/>
    <x v="2"/>
    <x v="10"/>
    <s v="Belkin 325VA UPS Surge Protector, 6'"/>
    <n v="387.14"/>
    <n v="4"/>
    <n v="24.2"/>
  </r>
  <r>
    <d v="2015-11-05T00:00:00"/>
    <x v="1"/>
    <x v="8"/>
    <x v="167"/>
    <x v="2"/>
    <x v="2"/>
    <x v="9"/>
    <s v="Wilson Jones 1&quot; Hanging DublLock Ring Binders"/>
    <n v="25.34"/>
    <n v="6"/>
    <n v="8.8699999999999992"/>
  </r>
  <r>
    <d v="2015-11-05T00:00:00"/>
    <x v="1"/>
    <x v="8"/>
    <x v="97"/>
    <x v="3"/>
    <x v="2"/>
    <x v="8"/>
    <s v="Avery 476"/>
    <n v="19.82"/>
    <n v="6"/>
    <n v="6.44"/>
  </r>
  <r>
    <d v="2015-11-05T00:00:00"/>
    <x v="1"/>
    <x v="8"/>
    <x v="49"/>
    <x v="5"/>
    <x v="2"/>
    <x v="6"/>
    <s v="Hanging Personal Folder File"/>
    <n v="62.8"/>
    <n v="4"/>
    <n v="15.7"/>
  </r>
  <r>
    <d v="2015-11-05T00:00:00"/>
    <x v="1"/>
    <x v="8"/>
    <x v="284"/>
    <x v="1"/>
    <x v="2"/>
    <x v="9"/>
    <s v="Avery Trapezoid Ring Binder, 3&quot; Capacity, Black, 1040 sheets"/>
    <n v="98.35"/>
    <n v="3"/>
    <n v="35.65"/>
  </r>
  <r>
    <d v="2015-11-05T00:00:00"/>
    <x v="1"/>
    <x v="8"/>
    <x v="409"/>
    <x v="18"/>
    <x v="2"/>
    <x v="9"/>
    <s v="Insertable Tab Post Binder Dividers"/>
    <n v="7.22"/>
    <n v="3"/>
    <n v="-5.53"/>
  </r>
  <r>
    <d v="2015-11-05T00:00:00"/>
    <x v="1"/>
    <x v="8"/>
    <x v="409"/>
    <x v="18"/>
    <x v="2"/>
    <x v="15"/>
    <s v="Acme Titanium Bonded Scissors"/>
    <n v="27.2"/>
    <n v="4"/>
    <n v="2.04"/>
  </r>
  <r>
    <d v="2015-12-05T00:00:00"/>
    <x v="1"/>
    <x v="9"/>
    <x v="410"/>
    <x v="5"/>
    <x v="1"/>
    <x v="5"/>
    <s v="Executive Impressions 14&quot; Contract Wall Clock"/>
    <n v="44.46"/>
    <n v="2"/>
    <n v="14.67"/>
  </r>
  <r>
    <d v="2015-12-05T00:00:00"/>
    <x v="1"/>
    <x v="9"/>
    <x v="357"/>
    <x v="13"/>
    <x v="0"/>
    <x v="0"/>
    <s v="Belkin F8E887 USB Wired Ergonomic Keyboard"/>
    <n v="47.98"/>
    <n v="2"/>
    <n v="0.6"/>
  </r>
  <r>
    <d v="2015-12-05T00:00:00"/>
    <x v="1"/>
    <x v="9"/>
    <x v="357"/>
    <x v="13"/>
    <x v="2"/>
    <x v="9"/>
    <s v="GBC White Gloss Covers, Plain Front"/>
    <n v="26.06"/>
    <n v="6"/>
    <n v="-19.98"/>
  </r>
  <r>
    <d v="2015-12-05T00:00:00"/>
    <x v="1"/>
    <x v="9"/>
    <x v="411"/>
    <x v="10"/>
    <x v="2"/>
    <x v="9"/>
    <s v="Surelock Post Binders"/>
    <n v="152.80000000000001"/>
    <n v="5"/>
    <n v="76.400000000000006"/>
  </r>
  <r>
    <d v="2015-12-05T00:00:00"/>
    <x v="1"/>
    <x v="9"/>
    <x v="259"/>
    <x v="4"/>
    <x v="2"/>
    <x v="11"/>
    <s v="Boston Electric Pencil Sharpener, Model 1818, Charcoal Black"/>
    <n v="45.04"/>
    <n v="2"/>
    <n v="4.5"/>
  </r>
  <r>
    <d v="2015-12-05T00:00:00"/>
    <x v="1"/>
    <x v="9"/>
    <x v="144"/>
    <x v="2"/>
    <x v="2"/>
    <x v="9"/>
    <s v="Avery Arch Ring Binders"/>
    <n v="232.4"/>
    <n v="5"/>
    <n v="78.44"/>
  </r>
  <r>
    <d v="2015-12-05T00:00:00"/>
    <x v="1"/>
    <x v="9"/>
    <x v="144"/>
    <x v="2"/>
    <x v="1"/>
    <x v="1"/>
    <s v="Global Armless Task Chair, Royal Blue"/>
    <n v="164.65"/>
    <n v="3"/>
    <n v="12.81"/>
  </r>
  <r>
    <d v="2015-12-05T00:00:00"/>
    <x v="1"/>
    <x v="9"/>
    <x v="144"/>
    <x v="2"/>
    <x v="2"/>
    <x v="3"/>
    <s v="Xerox 188"/>
    <n v="22.68"/>
    <n v="2"/>
    <n v="11.11"/>
  </r>
  <r>
    <d v="2015-12-05T00:00:00"/>
    <x v="1"/>
    <x v="9"/>
    <x v="408"/>
    <x v="5"/>
    <x v="0"/>
    <x v="0"/>
    <s v="Memorex Micro Travel Drive 8 GB"/>
    <n v="39"/>
    <n v="3"/>
    <n v="17.55"/>
  </r>
  <r>
    <d v="2015-12-05T00:00:00"/>
    <x v="1"/>
    <x v="9"/>
    <x v="408"/>
    <x v="5"/>
    <x v="2"/>
    <x v="8"/>
    <s v="Avery 488"/>
    <n v="12.6"/>
    <n v="4"/>
    <n v="6.05"/>
  </r>
  <r>
    <d v="2015-12-05T00:00:00"/>
    <x v="1"/>
    <x v="9"/>
    <x v="245"/>
    <x v="26"/>
    <x v="1"/>
    <x v="1"/>
    <s v="Global Push Button Manager's Chair, Indigo"/>
    <n v="97.42"/>
    <n v="2"/>
    <n v="10.96"/>
  </r>
  <r>
    <d v="2015-12-05T00:00:00"/>
    <x v="1"/>
    <x v="9"/>
    <x v="229"/>
    <x v="3"/>
    <x v="2"/>
    <x v="13"/>
    <s v="Security-Tint Envelopes"/>
    <n v="12.22"/>
    <n v="2"/>
    <n v="4.43"/>
  </r>
  <r>
    <d v="2015-01-06T00:00:00"/>
    <x v="1"/>
    <x v="11"/>
    <x v="221"/>
    <x v="15"/>
    <x v="2"/>
    <x v="3"/>
    <s v="It's Hot Message Books with Stickers, 2 3/4&quot; x 5&quot;"/>
    <n v="29.6"/>
    <n v="5"/>
    <n v="9.25"/>
  </r>
  <r>
    <d v="2015-01-06T00:00:00"/>
    <x v="1"/>
    <x v="11"/>
    <x v="221"/>
    <x v="15"/>
    <x v="2"/>
    <x v="9"/>
    <s v="Recycled Pressboard Report Cover with Reinforced Top Hinge"/>
    <n v="1.94"/>
    <n v="2"/>
    <n v="-1.36"/>
  </r>
  <r>
    <d v="2015-02-06T00:00:00"/>
    <x v="1"/>
    <x v="0"/>
    <x v="278"/>
    <x v="1"/>
    <x v="2"/>
    <x v="11"/>
    <s v="Newell 310"/>
    <n v="5.28"/>
    <n v="3"/>
    <n v="1.53"/>
  </r>
  <r>
    <d v="2015-02-06T00:00:00"/>
    <x v="1"/>
    <x v="0"/>
    <x v="15"/>
    <x v="37"/>
    <x v="1"/>
    <x v="1"/>
    <s v="Office Star - Contemporary Swivel Chair with Padded Adjustable Arms and Flex Back"/>
    <n v="1268.82"/>
    <n v="9"/>
    <n v="266.45"/>
  </r>
  <r>
    <d v="2015-02-06T00:00:00"/>
    <x v="1"/>
    <x v="0"/>
    <x v="15"/>
    <x v="37"/>
    <x v="1"/>
    <x v="16"/>
    <s v="Hon Metal Bookcases, Putty"/>
    <n v="283.92"/>
    <n v="4"/>
    <n v="82.34"/>
  </r>
  <r>
    <d v="2015-02-06T00:00:00"/>
    <x v="1"/>
    <x v="0"/>
    <x v="15"/>
    <x v="37"/>
    <x v="2"/>
    <x v="11"/>
    <s v="SANFORD Liquid Accent Tank-Style Highlighters"/>
    <n v="5.68"/>
    <n v="2"/>
    <n v="1.76"/>
  </r>
  <r>
    <d v="2015-02-06T00:00:00"/>
    <x v="1"/>
    <x v="0"/>
    <x v="412"/>
    <x v="4"/>
    <x v="2"/>
    <x v="9"/>
    <s v="UniKeep View Case Binders"/>
    <n v="2.93"/>
    <n v="3"/>
    <n v="-4.99"/>
  </r>
  <r>
    <d v="2015-02-06T00:00:00"/>
    <x v="1"/>
    <x v="0"/>
    <x v="412"/>
    <x v="4"/>
    <x v="0"/>
    <x v="0"/>
    <s v="Memorex Mini Travel Drive 8 GB USB 2.0 Flash Drive"/>
    <n v="18.53"/>
    <n v="2"/>
    <n v="4.4000000000000004"/>
  </r>
  <r>
    <d v="2015-02-06T00:00:00"/>
    <x v="1"/>
    <x v="0"/>
    <x v="412"/>
    <x v="4"/>
    <x v="2"/>
    <x v="6"/>
    <s v="Tennsco Snap-Together Open Shelving Units, Starter Sets and Add-On Units"/>
    <n v="670.75"/>
    <n v="3"/>
    <n v="-125.77"/>
  </r>
  <r>
    <d v="2015-02-06T00:00:00"/>
    <x v="1"/>
    <x v="0"/>
    <x v="413"/>
    <x v="20"/>
    <x v="2"/>
    <x v="6"/>
    <s v="Tennsco Industrial Shelving"/>
    <n v="146.72999999999999"/>
    <n v="3"/>
    <n v="2.93"/>
  </r>
  <r>
    <d v="2015-02-06T00:00:00"/>
    <x v="1"/>
    <x v="0"/>
    <x v="413"/>
    <x v="20"/>
    <x v="2"/>
    <x v="3"/>
    <s v="Xerox 1920"/>
    <n v="29.9"/>
    <n v="5"/>
    <n v="13.46"/>
  </r>
  <r>
    <d v="2015-03-06T00:00:00"/>
    <x v="1"/>
    <x v="1"/>
    <x v="342"/>
    <x v="5"/>
    <x v="1"/>
    <x v="5"/>
    <s v="Deflect-o Glass Clear Studded Chair Mats"/>
    <n v="435.26"/>
    <n v="7"/>
    <n v="95.76"/>
  </r>
  <r>
    <d v="2015-03-06T00:00:00"/>
    <x v="1"/>
    <x v="1"/>
    <x v="342"/>
    <x v="5"/>
    <x v="0"/>
    <x v="12"/>
    <s v="Canon PC1060 Personal Laser Copier"/>
    <n v="1119.98"/>
    <n v="2"/>
    <n v="377.99"/>
  </r>
  <r>
    <d v="2015-04-06T00:00:00"/>
    <x v="1"/>
    <x v="2"/>
    <x v="414"/>
    <x v="4"/>
    <x v="2"/>
    <x v="11"/>
    <s v="Newell 312"/>
    <n v="42.05"/>
    <n v="9"/>
    <n v="5.26"/>
  </r>
  <r>
    <d v="2015-04-06T00:00:00"/>
    <x v="1"/>
    <x v="2"/>
    <x v="414"/>
    <x v="4"/>
    <x v="0"/>
    <x v="0"/>
    <s v="Maxell 4.7GB DVD-RW 3/Pack"/>
    <n v="25.49"/>
    <n v="2"/>
    <n v="4.46"/>
  </r>
  <r>
    <d v="2015-04-06T00:00:00"/>
    <x v="1"/>
    <x v="2"/>
    <x v="414"/>
    <x v="4"/>
    <x v="2"/>
    <x v="9"/>
    <s v="Ibico Covers for Plastic or Wire Binding Elements"/>
    <n v="6.9"/>
    <n v="3"/>
    <n v="-12.08"/>
  </r>
  <r>
    <d v="2015-04-06T00:00:00"/>
    <x v="1"/>
    <x v="2"/>
    <x v="414"/>
    <x v="4"/>
    <x v="2"/>
    <x v="9"/>
    <s v="Fellowes Twister Kit, Gray/Clear, 3/pkg"/>
    <n v="9.65"/>
    <n v="6"/>
    <n v="-16.88"/>
  </r>
  <r>
    <d v="2015-04-06T00:00:00"/>
    <x v="1"/>
    <x v="2"/>
    <x v="414"/>
    <x v="4"/>
    <x v="2"/>
    <x v="3"/>
    <s v="Xerox 1949"/>
    <n v="7.97"/>
    <n v="2"/>
    <n v="2.89"/>
  </r>
  <r>
    <d v="2015-04-06T00:00:00"/>
    <x v="1"/>
    <x v="2"/>
    <x v="282"/>
    <x v="12"/>
    <x v="2"/>
    <x v="3"/>
    <s v="Xerox 1884"/>
    <n v="47.95"/>
    <n v="3"/>
    <n v="16.18"/>
  </r>
  <r>
    <d v="2015-07-06T00:00:00"/>
    <x v="1"/>
    <x v="4"/>
    <x v="415"/>
    <x v="2"/>
    <x v="1"/>
    <x v="5"/>
    <s v="G.E. Halogen Desk Lamp Bulbs"/>
    <n v="13.96"/>
    <n v="2"/>
    <n v="6.7"/>
  </r>
  <r>
    <d v="2015-07-06T00:00:00"/>
    <x v="1"/>
    <x v="4"/>
    <x v="415"/>
    <x v="2"/>
    <x v="1"/>
    <x v="5"/>
    <s v="Howard Miller 11-1/2&quot; Diameter Ridgewood Wall Clock"/>
    <n v="155.82"/>
    <n v="3"/>
    <n v="63.89"/>
  </r>
  <r>
    <d v="2015-07-06T00:00:00"/>
    <x v="1"/>
    <x v="4"/>
    <x v="415"/>
    <x v="2"/>
    <x v="0"/>
    <x v="2"/>
    <s v="OtterBox Commuter Series Case - Samsung Galaxy S4"/>
    <n v="124.95"/>
    <n v="5"/>
    <n v="2.5"/>
  </r>
  <r>
    <d v="2015-07-06T00:00:00"/>
    <x v="1"/>
    <x v="4"/>
    <x v="415"/>
    <x v="2"/>
    <x v="2"/>
    <x v="6"/>
    <s v="Iceberg Mobile Mega Data/Printer Cart"/>
    <n v="601.65"/>
    <n v="5"/>
    <n v="156.43"/>
  </r>
  <r>
    <d v="2015-07-06T00:00:00"/>
    <x v="1"/>
    <x v="4"/>
    <x v="224"/>
    <x v="6"/>
    <x v="1"/>
    <x v="16"/>
    <s v="Bush Mission Pointe Library"/>
    <n v="301.95999999999998"/>
    <n v="2"/>
    <n v="60.39"/>
  </r>
  <r>
    <d v="2015-07-06T00:00:00"/>
    <x v="1"/>
    <x v="4"/>
    <x v="416"/>
    <x v="5"/>
    <x v="1"/>
    <x v="1"/>
    <s v="Novimex Turbo Task Chair"/>
    <n v="170.35"/>
    <n v="3"/>
    <n v="-17.04"/>
  </r>
  <r>
    <d v="2015-07-06T00:00:00"/>
    <x v="1"/>
    <x v="4"/>
    <x v="14"/>
    <x v="8"/>
    <x v="2"/>
    <x v="11"/>
    <s v="Newell 333"/>
    <n v="11.12"/>
    <n v="4"/>
    <n v="2.89"/>
  </r>
  <r>
    <d v="2015-08-06T00:00:00"/>
    <x v="1"/>
    <x v="5"/>
    <x v="389"/>
    <x v="4"/>
    <x v="2"/>
    <x v="3"/>
    <s v="Xerox 188"/>
    <n v="27.22"/>
    <n v="3"/>
    <n v="9.8699999999999992"/>
  </r>
  <r>
    <d v="2015-08-06T00:00:00"/>
    <x v="1"/>
    <x v="5"/>
    <x v="417"/>
    <x v="4"/>
    <x v="2"/>
    <x v="8"/>
    <s v="Avery 505"/>
    <n v="35.520000000000003"/>
    <n v="3"/>
    <n v="13.32"/>
  </r>
  <r>
    <d v="2015-08-06T00:00:00"/>
    <x v="1"/>
    <x v="5"/>
    <x v="417"/>
    <x v="4"/>
    <x v="2"/>
    <x v="9"/>
    <s v="Avery Hole Reinforcements"/>
    <n v="6.23"/>
    <n v="5"/>
    <n v="-9.66"/>
  </r>
  <r>
    <d v="2015-08-06T00:00:00"/>
    <x v="1"/>
    <x v="5"/>
    <x v="417"/>
    <x v="4"/>
    <x v="2"/>
    <x v="3"/>
    <s v="Xerox 1906"/>
    <n v="56.7"/>
    <n v="2"/>
    <n v="19.14"/>
  </r>
  <r>
    <d v="2015-08-06T00:00:00"/>
    <x v="1"/>
    <x v="5"/>
    <x v="417"/>
    <x v="4"/>
    <x v="1"/>
    <x v="16"/>
    <s v="O'Sullivan Manor Hill 2-Door Library in Brianna Oak"/>
    <n v="369.2"/>
    <n v="3"/>
    <n v="-114.02"/>
  </r>
  <r>
    <d v="2015-09-06T00:00:00"/>
    <x v="1"/>
    <x v="6"/>
    <x v="332"/>
    <x v="1"/>
    <x v="2"/>
    <x v="9"/>
    <s v="Acco Hanging Data Binders"/>
    <n v="6.1"/>
    <n v="2"/>
    <n v="2.13"/>
  </r>
  <r>
    <d v="2015-09-06T00:00:00"/>
    <x v="1"/>
    <x v="6"/>
    <x v="332"/>
    <x v="1"/>
    <x v="1"/>
    <x v="5"/>
    <s v="Howard Miller 16&quot; Diameter Gallery Wall Clock"/>
    <n v="191.82"/>
    <n v="3"/>
    <n v="74.81"/>
  </r>
  <r>
    <d v="2015-09-06T00:00:00"/>
    <x v="1"/>
    <x v="6"/>
    <x v="413"/>
    <x v="5"/>
    <x v="0"/>
    <x v="0"/>
    <s v="Memorex Mini Travel Drive 8 GB USB 2.0 Flash Drive"/>
    <n v="46.32"/>
    <n v="4"/>
    <n v="18.059999999999999"/>
  </r>
  <r>
    <d v="2015-09-06T00:00:00"/>
    <x v="1"/>
    <x v="6"/>
    <x v="418"/>
    <x v="2"/>
    <x v="1"/>
    <x v="1"/>
    <s v="Global Airflow Leather Mesh Back Chair, Black"/>
    <n v="271.76"/>
    <n v="2"/>
    <n v="60.39"/>
  </r>
  <r>
    <d v="2015-09-06T00:00:00"/>
    <x v="1"/>
    <x v="6"/>
    <x v="182"/>
    <x v="26"/>
    <x v="2"/>
    <x v="4"/>
    <s v="Assorted Color Push Pins"/>
    <n v="7.24"/>
    <n v="5"/>
    <n v="1.18"/>
  </r>
  <r>
    <d v="2015-09-06T00:00:00"/>
    <x v="1"/>
    <x v="6"/>
    <x v="419"/>
    <x v="11"/>
    <x v="2"/>
    <x v="9"/>
    <s v="GBC Plasticlear Binding Covers"/>
    <n v="3.44"/>
    <n v="1"/>
    <n v="-2.5299999999999998"/>
  </r>
  <r>
    <d v="2015-09-06T00:00:00"/>
    <x v="1"/>
    <x v="6"/>
    <x v="150"/>
    <x v="2"/>
    <x v="2"/>
    <x v="10"/>
    <s v="Black &amp; Decker Filter for Double Action Dustbuster Cordless Vac BLDV7210"/>
    <n v="8.39"/>
    <n v="1"/>
    <n v="2.1"/>
  </r>
  <r>
    <d v="2015-09-06T00:00:00"/>
    <x v="1"/>
    <x v="6"/>
    <x v="150"/>
    <x v="2"/>
    <x v="0"/>
    <x v="2"/>
    <s v="ShoreTel ShorePhone IP 230 VoIP phone"/>
    <n v="337.98"/>
    <n v="2"/>
    <n v="101.39"/>
  </r>
  <r>
    <d v="2015-09-06T00:00:00"/>
    <x v="1"/>
    <x v="6"/>
    <x v="53"/>
    <x v="20"/>
    <x v="2"/>
    <x v="9"/>
    <s v="SlimView Poly Binder, 3/8&quot;"/>
    <n v="46.62"/>
    <n v="9"/>
    <n v="21.45"/>
  </r>
  <r>
    <d v="2015-09-06T00:00:00"/>
    <x v="1"/>
    <x v="6"/>
    <x v="420"/>
    <x v="30"/>
    <x v="1"/>
    <x v="7"/>
    <s v="KI Adjustable-Height Table"/>
    <n v="85.98"/>
    <n v="1"/>
    <n v="22.35"/>
  </r>
  <r>
    <d v="2015-11-06T00:00:00"/>
    <x v="1"/>
    <x v="8"/>
    <x v="421"/>
    <x v="23"/>
    <x v="2"/>
    <x v="13"/>
    <s v="Redi-Strip #10 Envelopes, 4 1/8 x 9 1/2"/>
    <n v="7.08"/>
    <n v="3"/>
    <n v="2.48"/>
  </r>
  <r>
    <d v="2015-11-06T00:00:00"/>
    <x v="1"/>
    <x v="8"/>
    <x v="421"/>
    <x v="23"/>
    <x v="2"/>
    <x v="9"/>
    <s v="UniKeep View Case Binders"/>
    <n v="4.4000000000000004"/>
    <n v="3"/>
    <n v="-3.52"/>
  </r>
  <r>
    <d v="2015-12-06T00:00:00"/>
    <x v="1"/>
    <x v="9"/>
    <x v="422"/>
    <x v="5"/>
    <x v="2"/>
    <x v="11"/>
    <s v="Stanley Contemporary Battery Pencil Sharpeners"/>
    <n v="120.15"/>
    <n v="9"/>
    <n v="33.64"/>
  </r>
  <r>
    <d v="2015-12-06T00:00:00"/>
    <x v="1"/>
    <x v="9"/>
    <x v="422"/>
    <x v="5"/>
    <x v="0"/>
    <x v="2"/>
    <s v="AT&amp;T 1080 Corded phone"/>
    <n v="219.18"/>
    <n v="2"/>
    <n v="19.18"/>
  </r>
  <r>
    <d v="2015-12-06T00:00:00"/>
    <x v="1"/>
    <x v="9"/>
    <x v="423"/>
    <x v="4"/>
    <x v="2"/>
    <x v="9"/>
    <s v="Avery Reinforcements for Hole-Punch Pages"/>
    <n v="2.77"/>
    <n v="7"/>
    <n v="-4.8499999999999996"/>
  </r>
  <r>
    <d v="2015-12-06T00:00:00"/>
    <x v="1"/>
    <x v="9"/>
    <x v="424"/>
    <x v="23"/>
    <x v="1"/>
    <x v="5"/>
    <s v="Howard Miller 13&quot; Diameter Pewter Finish Round Wall Clock"/>
    <n v="206.11"/>
    <n v="6"/>
    <n v="48.95"/>
  </r>
  <r>
    <d v="2015-12-06T00:00:00"/>
    <x v="1"/>
    <x v="9"/>
    <x v="424"/>
    <x v="23"/>
    <x v="2"/>
    <x v="3"/>
    <s v="Xerox 1970"/>
    <n v="19.920000000000002"/>
    <n v="5"/>
    <n v="6.72"/>
  </r>
  <r>
    <d v="2015-12-06T00:00:00"/>
    <x v="1"/>
    <x v="9"/>
    <x v="424"/>
    <x v="23"/>
    <x v="2"/>
    <x v="3"/>
    <s v="Xerox 1960"/>
    <n v="198.27"/>
    <n v="8"/>
    <n v="61.96"/>
  </r>
  <r>
    <d v="2015-12-06T00:00:00"/>
    <x v="1"/>
    <x v="9"/>
    <x v="424"/>
    <x v="23"/>
    <x v="2"/>
    <x v="6"/>
    <s v="Belkin 19&quot; Vented Equipment Shelf, Black"/>
    <n v="247.1"/>
    <n v="6"/>
    <n v="-58.69"/>
  </r>
  <r>
    <d v="2015-12-06T00:00:00"/>
    <x v="1"/>
    <x v="9"/>
    <x v="424"/>
    <x v="23"/>
    <x v="2"/>
    <x v="11"/>
    <s v="BOSTON Model 1800 Electric Pencil Sharpeners, Putty/Woodgrain"/>
    <n v="86.3"/>
    <n v="6"/>
    <n v="9.7100000000000009"/>
  </r>
  <r>
    <d v="2015-12-06T00:00:00"/>
    <x v="1"/>
    <x v="9"/>
    <x v="194"/>
    <x v="18"/>
    <x v="0"/>
    <x v="2"/>
    <s v="Polycom SoundStation2 EX ConferenceÂ phone"/>
    <n v="485.94"/>
    <n v="2"/>
    <n v="-89.09"/>
  </r>
  <r>
    <d v="2015-12-06T00:00:00"/>
    <x v="1"/>
    <x v="9"/>
    <x v="194"/>
    <x v="18"/>
    <x v="2"/>
    <x v="11"/>
    <s v="Newell 312"/>
    <n v="37.380000000000003"/>
    <n v="8"/>
    <n v="4.67"/>
  </r>
  <r>
    <d v="2015-12-06T00:00:00"/>
    <x v="1"/>
    <x v="9"/>
    <x v="194"/>
    <x v="18"/>
    <x v="1"/>
    <x v="1"/>
    <s v="Global Low Back Tilter Chair"/>
    <n v="70.69"/>
    <n v="1"/>
    <n v="-24.24"/>
  </r>
  <r>
    <d v="2015-12-06T00:00:00"/>
    <x v="1"/>
    <x v="9"/>
    <x v="425"/>
    <x v="5"/>
    <x v="2"/>
    <x v="3"/>
    <s v="Message Book, Phone, Wirebound Standard Line Memo, 2 3/4&quot; X 5&quot;"/>
    <n v="32.75"/>
    <n v="5"/>
    <n v="15.07"/>
  </r>
  <r>
    <d v="2015-12-06T00:00:00"/>
    <x v="1"/>
    <x v="9"/>
    <x v="92"/>
    <x v="2"/>
    <x v="2"/>
    <x v="3"/>
    <s v="Xerox 219"/>
    <n v="6.48"/>
    <n v="1"/>
    <n v="3.11"/>
  </r>
  <r>
    <d v="2015-12-06T00:00:00"/>
    <x v="1"/>
    <x v="9"/>
    <x v="92"/>
    <x v="2"/>
    <x v="2"/>
    <x v="3"/>
    <s v="Xerox 1903"/>
    <n v="41.86"/>
    <n v="7"/>
    <n v="20.51"/>
  </r>
  <r>
    <d v="2015-12-06T00:00:00"/>
    <x v="1"/>
    <x v="9"/>
    <x v="92"/>
    <x v="2"/>
    <x v="0"/>
    <x v="0"/>
    <s v="LogitechÂ VX Revolution Cordless Laser Mouse for Notebooks (Black)"/>
    <n v="1619.91"/>
    <n v="9"/>
    <n v="97.19"/>
  </r>
  <r>
    <d v="2015-12-06T00:00:00"/>
    <x v="1"/>
    <x v="9"/>
    <x v="92"/>
    <x v="2"/>
    <x v="1"/>
    <x v="5"/>
    <s v="Seth Thomas 14&quot; Day/Date Wall Clock"/>
    <n v="113.92"/>
    <n v="4"/>
    <n v="42.15"/>
  </r>
  <r>
    <d v="2015-12-06T00:00:00"/>
    <x v="1"/>
    <x v="9"/>
    <x v="185"/>
    <x v="33"/>
    <x v="0"/>
    <x v="12"/>
    <s v="Hewlett Packard 610 Color Digital Copier / Printer"/>
    <n v="999.98"/>
    <n v="2"/>
    <n v="449.99"/>
  </r>
  <r>
    <d v="2015-12-06T00:00:00"/>
    <x v="1"/>
    <x v="9"/>
    <x v="15"/>
    <x v="14"/>
    <x v="2"/>
    <x v="3"/>
    <s v="Xerox 20"/>
    <n v="6.48"/>
    <n v="1"/>
    <n v="3.11"/>
  </r>
  <r>
    <d v="2015-12-06T00:00:00"/>
    <x v="1"/>
    <x v="9"/>
    <x v="15"/>
    <x v="14"/>
    <x v="2"/>
    <x v="6"/>
    <s v="Tennsco 6- and 18-Compartment Lockers"/>
    <n v="1325.85"/>
    <n v="5"/>
    <n v="238.65"/>
  </r>
  <r>
    <d v="2015-12-06T00:00:00"/>
    <x v="1"/>
    <x v="9"/>
    <x v="15"/>
    <x v="14"/>
    <x v="2"/>
    <x v="8"/>
    <s v="Avery 483"/>
    <n v="14.94"/>
    <n v="3"/>
    <n v="6.87"/>
  </r>
  <r>
    <d v="2015-12-06T00:00:00"/>
    <x v="1"/>
    <x v="9"/>
    <x v="426"/>
    <x v="5"/>
    <x v="2"/>
    <x v="10"/>
    <s v="Commercial WindTunnel Clean Air Upright Vacuum, Replacement Belts, Filtration Bags"/>
    <n v="7.78"/>
    <n v="2"/>
    <n v="2.02"/>
  </r>
  <r>
    <d v="2015-12-06T00:00:00"/>
    <x v="1"/>
    <x v="9"/>
    <x v="390"/>
    <x v="20"/>
    <x v="0"/>
    <x v="2"/>
    <s v="AT&amp;T CL82213"/>
    <n v="173.94"/>
    <n v="6"/>
    <n v="50.44"/>
  </r>
  <r>
    <d v="2015-12-06T00:00:00"/>
    <x v="1"/>
    <x v="9"/>
    <x v="427"/>
    <x v="18"/>
    <x v="2"/>
    <x v="9"/>
    <s v="Ibico Standard Transparent Covers"/>
    <n v="14.83"/>
    <n v="3"/>
    <n v="-10.38"/>
  </r>
  <r>
    <d v="2015-12-06T00:00:00"/>
    <x v="1"/>
    <x v="9"/>
    <x v="322"/>
    <x v="5"/>
    <x v="2"/>
    <x v="3"/>
    <s v="Spiral Phone Message Books with Labels by Adams"/>
    <n v="8.9600000000000009"/>
    <n v="2"/>
    <n v="4.3899999999999997"/>
  </r>
  <r>
    <d v="2015-02-07T00:00:00"/>
    <x v="1"/>
    <x v="0"/>
    <x v="428"/>
    <x v="20"/>
    <x v="2"/>
    <x v="13"/>
    <s v="Cameo Buff Policy Envelopes"/>
    <n v="311.14999999999998"/>
    <n v="5"/>
    <n v="146.24"/>
  </r>
  <r>
    <d v="2015-02-07T00:00:00"/>
    <x v="1"/>
    <x v="0"/>
    <x v="428"/>
    <x v="20"/>
    <x v="2"/>
    <x v="3"/>
    <s v="Xerox 1957"/>
    <n v="12.96"/>
    <n v="2"/>
    <n v="6.35"/>
  </r>
  <r>
    <d v="2015-03-07T00:00:00"/>
    <x v="1"/>
    <x v="1"/>
    <x v="429"/>
    <x v="37"/>
    <x v="0"/>
    <x v="0"/>
    <s v="Microsoft Sculpt Comfort Mouse"/>
    <n v="119.85"/>
    <n v="3"/>
    <n v="52.73"/>
  </r>
  <r>
    <d v="2015-03-07T00:00:00"/>
    <x v="1"/>
    <x v="1"/>
    <x v="429"/>
    <x v="37"/>
    <x v="2"/>
    <x v="9"/>
    <s v="GBC Twin Loop Wire Binding Elements, 9/16&quot; Spine, Black"/>
    <n v="30.44"/>
    <n v="2"/>
    <n v="14.92"/>
  </r>
  <r>
    <d v="2015-03-07T00:00:00"/>
    <x v="1"/>
    <x v="1"/>
    <x v="429"/>
    <x v="37"/>
    <x v="2"/>
    <x v="9"/>
    <s v="Wilson Jones Heavy-Duty Casebound Ring Binders with Metal Hinges"/>
    <n v="69.28"/>
    <n v="2"/>
    <n v="33.25"/>
  </r>
  <r>
    <d v="2015-03-07T00:00:00"/>
    <x v="1"/>
    <x v="1"/>
    <x v="429"/>
    <x v="37"/>
    <x v="0"/>
    <x v="2"/>
    <s v="LG G3"/>
    <n v="587.97"/>
    <n v="3"/>
    <n v="170.51"/>
  </r>
  <r>
    <d v="2015-04-07T00:00:00"/>
    <x v="1"/>
    <x v="2"/>
    <x v="130"/>
    <x v="4"/>
    <x v="2"/>
    <x v="10"/>
    <s v="Hoover Upright Vacuum With Dirt Cup"/>
    <n v="463.25"/>
    <n v="8"/>
    <n v="-1181.28"/>
  </r>
  <r>
    <d v="2015-04-07T00:00:00"/>
    <x v="1"/>
    <x v="2"/>
    <x v="130"/>
    <x v="4"/>
    <x v="0"/>
    <x v="0"/>
    <s v="Razer Kraken PRO Over Ear PC and Music Headset"/>
    <n v="383.95"/>
    <n v="6"/>
    <n v="47.99"/>
  </r>
  <r>
    <d v="2015-04-07T00:00:00"/>
    <x v="1"/>
    <x v="2"/>
    <x v="430"/>
    <x v="13"/>
    <x v="2"/>
    <x v="11"/>
    <s v="Newell 331"/>
    <n v="11.74"/>
    <n v="3"/>
    <n v="1.03"/>
  </r>
  <r>
    <d v="2015-04-07T00:00:00"/>
    <x v="1"/>
    <x v="2"/>
    <x v="30"/>
    <x v="2"/>
    <x v="2"/>
    <x v="3"/>
    <s v="Xerox 192"/>
    <n v="25.92"/>
    <n v="4"/>
    <n v="12.44"/>
  </r>
  <r>
    <d v="2015-04-07T00:00:00"/>
    <x v="1"/>
    <x v="2"/>
    <x v="30"/>
    <x v="2"/>
    <x v="2"/>
    <x v="6"/>
    <s v="X-Rack File for Hanging Folders"/>
    <n v="22.58"/>
    <n v="2"/>
    <n v="5.87"/>
  </r>
  <r>
    <d v="2015-05-07T00:00:00"/>
    <x v="1"/>
    <x v="10"/>
    <x v="431"/>
    <x v="4"/>
    <x v="1"/>
    <x v="7"/>
    <s v="Chromcraft Round Conference Tables"/>
    <n v="244.01"/>
    <n v="2"/>
    <n v="-31.37"/>
  </r>
  <r>
    <d v="2015-05-07T00:00:00"/>
    <x v="1"/>
    <x v="10"/>
    <x v="431"/>
    <x v="4"/>
    <x v="2"/>
    <x v="3"/>
    <s v="Xerox 198"/>
    <n v="15.94"/>
    <n v="4"/>
    <n v="5.38"/>
  </r>
  <r>
    <d v="2015-05-07T00:00:00"/>
    <x v="1"/>
    <x v="10"/>
    <x v="116"/>
    <x v="17"/>
    <x v="2"/>
    <x v="3"/>
    <s v="Xerox 1902"/>
    <n v="45.68"/>
    <n v="2"/>
    <n v="21.01"/>
  </r>
  <r>
    <d v="2015-06-07T00:00:00"/>
    <x v="1"/>
    <x v="3"/>
    <x v="432"/>
    <x v="5"/>
    <x v="2"/>
    <x v="9"/>
    <s v="3-ring staple pack"/>
    <n v="7.52"/>
    <n v="5"/>
    <n v="2.63"/>
  </r>
  <r>
    <d v="2015-06-07T00:00:00"/>
    <x v="1"/>
    <x v="3"/>
    <x v="279"/>
    <x v="13"/>
    <x v="2"/>
    <x v="9"/>
    <s v="Aluminum Screw Posts"/>
    <n v="18.309999999999999"/>
    <n v="4"/>
    <n v="-12.21"/>
  </r>
  <r>
    <d v="2015-06-07T00:00:00"/>
    <x v="1"/>
    <x v="3"/>
    <x v="279"/>
    <x v="13"/>
    <x v="2"/>
    <x v="3"/>
    <s v="Xerox 200"/>
    <n v="25.92"/>
    <n v="5"/>
    <n v="9.07"/>
  </r>
  <r>
    <d v="2015-06-07T00:00:00"/>
    <x v="1"/>
    <x v="3"/>
    <x v="279"/>
    <x v="13"/>
    <x v="2"/>
    <x v="11"/>
    <s v="Avery Fluorescent Highlighter Four-Color Set"/>
    <n v="8.02"/>
    <n v="3"/>
    <n v="1"/>
  </r>
  <r>
    <d v="2015-08-07T00:00:00"/>
    <x v="1"/>
    <x v="5"/>
    <x v="433"/>
    <x v="36"/>
    <x v="2"/>
    <x v="9"/>
    <s v="ACCOHIDE 3-Ring Binder, Blue, 1&quot;"/>
    <n v="3.3"/>
    <n v="1"/>
    <n v="1.1200000000000001"/>
  </r>
  <r>
    <d v="2015-08-07T00:00:00"/>
    <x v="1"/>
    <x v="5"/>
    <x v="434"/>
    <x v="5"/>
    <x v="2"/>
    <x v="9"/>
    <s v="Cardinal Hold-It CD Pocket"/>
    <n v="19.149999999999999"/>
    <n v="3"/>
    <n v="6.46"/>
  </r>
  <r>
    <d v="2015-08-07T00:00:00"/>
    <x v="1"/>
    <x v="5"/>
    <x v="435"/>
    <x v="22"/>
    <x v="2"/>
    <x v="9"/>
    <s v="Wilson Jones Hanging View Binder, White, 1&quot;"/>
    <n v="28.4"/>
    <n v="4"/>
    <n v="13.06"/>
  </r>
  <r>
    <d v="2015-08-07T00:00:00"/>
    <x v="1"/>
    <x v="5"/>
    <x v="435"/>
    <x v="22"/>
    <x v="1"/>
    <x v="5"/>
    <s v="Tenex V2T-RE Standard Weight Series Chair Mat, 45&quot; x 53&quot;, Lip 25&quot; x 12&quot;"/>
    <n v="212.94"/>
    <n v="3"/>
    <n v="34.07"/>
  </r>
  <r>
    <d v="2015-08-07T00:00:00"/>
    <x v="1"/>
    <x v="5"/>
    <x v="230"/>
    <x v="13"/>
    <x v="2"/>
    <x v="11"/>
    <s v="Stanley Contemporary Battery Pencil Sharpeners"/>
    <n v="106.8"/>
    <n v="10"/>
    <n v="10.68"/>
  </r>
  <r>
    <d v="2015-08-07T00:00:00"/>
    <x v="1"/>
    <x v="5"/>
    <x v="433"/>
    <x v="24"/>
    <x v="2"/>
    <x v="10"/>
    <s v="Acco Six-Outlet Power Strip, 4' Cord Length"/>
    <n v="77.58"/>
    <n v="9"/>
    <n v="20.170000000000002"/>
  </r>
  <r>
    <d v="2015-08-07T00:00:00"/>
    <x v="1"/>
    <x v="5"/>
    <x v="436"/>
    <x v="20"/>
    <x v="0"/>
    <x v="2"/>
    <s v="Ativa D5772 2-Line 5.8GHz Digital Expandable Corded/Cordless Phone System with Answering &amp; Caller ID/Call Waiting, Black/Silver"/>
    <n v="494.97"/>
    <n v="3"/>
    <n v="148.49"/>
  </r>
  <r>
    <d v="2015-08-07T00:00:00"/>
    <x v="1"/>
    <x v="5"/>
    <x v="436"/>
    <x v="20"/>
    <x v="2"/>
    <x v="8"/>
    <s v="Avery 50"/>
    <n v="25.06"/>
    <n v="2"/>
    <n v="11.78"/>
  </r>
  <r>
    <d v="2015-09-07T00:00:00"/>
    <x v="1"/>
    <x v="6"/>
    <x v="288"/>
    <x v="5"/>
    <x v="2"/>
    <x v="6"/>
    <s v="Safco Industrial Wire Shelving"/>
    <n v="671.93"/>
    <n v="7"/>
    <n v="20.16"/>
  </r>
  <r>
    <d v="2015-09-07T00:00:00"/>
    <x v="1"/>
    <x v="6"/>
    <x v="437"/>
    <x v="4"/>
    <x v="1"/>
    <x v="1"/>
    <s v="Metal Folding Chairs, Beige, 4/Carton"/>
    <n v="47.52"/>
    <n v="2"/>
    <n v="-2.04"/>
  </r>
  <r>
    <d v="2015-09-07T00:00:00"/>
    <x v="1"/>
    <x v="6"/>
    <x v="222"/>
    <x v="2"/>
    <x v="2"/>
    <x v="6"/>
    <s v="Eldon Shelf Savers Cubes and Bins"/>
    <n v="13.96"/>
    <n v="2"/>
    <n v="0.28000000000000003"/>
  </r>
  <r>
    <d v="2015-09-07T00:00:00"/>
    <x v="1"/>
    <x v="6"/>
    <x v="222"/>
    <x v="2"/>
    <x v="1"/>
    <x v="7"/>
    <s v="Anderson Hickey Conga Table Tops &amp; Accessories"/>
    <n v="27.41"/>
    <n v="3"/>
    <n v="-14.16"/>
  </r>
  <r>
    <d v="2015-09-07T00:00:00"/>
    <x v="1"/>
    <x v="6"/>
    <x v="196"/>
    <x v="13"/>
    <x v="2"/>
    <x v="9"/>
    <s v="GBC Wire Binding Strips"/>
    <n v="9.52"/>
    <n v="1"/>
    <n v="-6.98"/>
  </r>
  <r>
    <d v="2015-09-07T00:00:00"/>
    <x v="1"/>
    <x v="6"/>
    <x v="196"/>
    <x v="13"/>
    <x v="0"/>
    <x v="2"/>
    <s v="Samsung Galaxy Note 3"/>
    <n v="791.96"/>
    <n v="6"/>
    <n v="-131.99"/>
  </r>
  <r>
    <d v="2015-09-07T00:00:00"/>
    <x v="1"/>
    <x v="6"/>
    <x v="196"/>
    <x v="13"/>
    <x v="2"/>
    <x v="9"/>
    <s v="Angle-D Ring Binders"/>
    <n v="4.92"/>
    <n v="3"/>
    <n v="-3.94"/>
  </r>
  <r>
    <d v="2015-09-07T00:00:00"/>
    <x v="1"/>
    <x v="6"/>
    <x v="438"/>
    <x v="12"/>
    <x v="2"/>
    <x v="11"/>
    <s v="Boston 1645 Deluxe Heavier-Duty Electric Pencil Sharpener"/>
    <n v="140.74"/>
    <n v="4"/>
    <n v="12.31"/>
  </r>
  <r>
    <d v="2015-09-07T00:00:00"/>
    <x v="1"/>
    <x v="6"/>
    <x v="260"/>
    <x v="2"/>
    <x v="0"/>
    <x v="0"/>
    <s v="Razer Kraken PRO Over Ear PC and Music Headset"/>
    <n v="559.92999999999995"/>
    <n v="7"/>
    <n v="167.98"/>
  </r>
  <r>
    <d v="2015-09-07T00:00:00"/>
    <x v="1"/>
    <x v="6"/>
    <x v="53"/>
    <x v="2"/>
    <x v="2"/>
    <x v="6"/>
    <s v="Mobile Personal File Cube"/>
    <n v="70.260000000000005"/>
    <n v="3"/>
    <n v="18.97"/>
  </r>
  <r>
    <d v="2015-09-07T00:00:00"/>
    <x v="1"/>
    <x v="6"/>
    <x v="53"/>
    <x v="2"/>
    <x v="0"/>
    <x v="0"/>
    <s v="KeyTronicÂ E03601U1 -Â KeyboardÂ - Beige"/>
    <n v="90"/>
    <n v="5"/>
    <n v="16.2"/>
  </r>
  <r>
    <d v="2015-09-07T00:00:00"/>
    <x v="1"/>
    <x v="6"/>
    <x v="53"/>
    <x v="2"/>
    <x v="2"/>
    <x v="9"/>
    <s v="Acco Pressboard Covers with Storage Hooks, 9 1/2&quot; x 11&quot;, Executive Red"/>
    <n v="6.1"/>
    <n v="2"/>
    <n v="2.06"/>
  </r>
  <r>
    <d v="2015-09-07T00:00:00"/>
    <x v="1"/>
    <x v="6"/>
    <x v="53"/>
    <x v="2"/>
    <x v="1"/>
    <x v="7"/>
    <s v="Bretford CR8500 Series Meeting Room Furniture"/>
    <n v="481.18"/>
    <n v="2"/>
    <n v="-120.29"/>
  </r>
  <r>
    <d v="2015-09-07T00:00:00"/>
    <x v="1"/>
    <x v="6"/>
    <x v="53"/>
    <x v="2"/>
    <x v="2"/>
    <x v="4"/>
    <s v="Assorted Color Push Pins"/>
    <n v="7.24"/>
    <n v="4"/>
    <n v="2.39"/>
  </r>
  <r>
    <d v="2015-11-07T00:00:00"/>
    <x v="1"/>
    <x v="8"/>
    <x v="439"/>
    <x v="5"/>
    <x v="1"/>
    <x v="1"/>
    <s v="Safco Contoured Stacking Chairs"/>
    <n v="190.72"/>
    <n v="1"/>
    <n v="11.92"/>
  </r>
  <r>
    <d v="2015-11-07T00:00:00"/>
    <x v="1"/>
    <x v="8"/>
    <x v="440"/>
    <x v="37"/>
    <x v="2"/>
    <x v="4"/>
    <s v="Rubber Band Ball"/>
    <n v="26.18"/>
    <n v="7"/>
    <n v="0.52"/>
  </r>
  <r>
    <d v="2015-11-07T00:00:00"/>
    <x v="1"/>
    <x v="8"/>
    <x v="440"/>
    <x v="37"/>
    <x v="2"/>
    <x v="3"/>
    <s v="Loose Memo Sheets"/>
    <n v="7.3"/>
    <n v="2"/>
    <n v="3.43"/>
  </r>
  <r>
    <d v="2015-11-07T00:00:00"/>
    <x v="1"/>
    <x v="8"/>
    <x v="439"/>
    <x v="13"/>
    <x v="2"/>
    <x v="13"/>
    <s v="White Envelopes, White Envelopes with Clear Poly Window"/>
    <n v="24.4"/>
    <n v="2"/>
    <n v="7.93"/>
  </r>
  <r>
    <d v="2015-11-07T00:00:00"/>
    <x v="1"/>
    <x v="8"/>
    <x v="46"/>
    <x v="42"/>
    <x v="1"/>
    <x v="1"/>
    <s v="Safco Contoured Stacking Chairs"/>
    <n v="715.2"/>
    <n v="3"/>
    <n v="178.8"/>
  </r>
  <r>
    <d v="2015-11-07T00:00:00"/>
    <x v="1"/>
    <x v="8"/>
    <x v="441"/>
    <x v="11"/>
    <x v="2"/>
    <x v="9"/>
    <s v="Avery Hanging File Binders"/>
    <n v="16.149999999999999"/>
    <n v="9"/>
    <n v="-12.92"/>
  </r>
  <r>
    <d v="2015-11-07T00:00:00"/>
    <x v="1"/>
    <x v="8"/>
    <x v="441"/>
    <x v="11"/>
    <x v="2"/>
    <x v="9"/>
    <s v="GBC DocuBind TL300 Electric Binding System"/>
    <n v="1345.49"/>
    <n v="5"/>
    <n v="-1031.54"/>
  </r>
  <r>
    <d v="2015-11-07T00:00:00"/>
    <x v="1"/>
    <x v="8"/>
    <x v="442"/>
    <x v="4"/>
    <x v="2"/>
    <x v="3"/>
    <s v="Xerox 1886"/>
    <n v="76.64"/>
    <n v="2"/>
    <n v="26.82"/>
  </r>
  <r>
    <d v="2015-11-07T00:00:00"/>
    <x v="1"/>
    <x v="8"/>
    <x v="443"/>
    <x v="4"/>
    <x v="2"/>
    <x v="11"/>
    <s v="Lumber Crayons"/>
    <n v="23.64"/>
    <n v="3"/>
    <n v="5.32"/>
  </r>
  <r>
    <d v="2015-11-07T00:00:00"/>
    <x v="1"/>
    <x v="8"/>
    <x v="443"/>
    <x v="4"/>
    <x v="2"/>
    <x v="6"/>
    <s v="Gould Plastics 9-Pocket Panel Bin, 18-3/8w x 5-1/4d x 20-1/2h, Black"/>
    <n v="84.78"/>
    <n v="2"/>
    <n v="-16.96"/>
  </r>
  <r>
    <d v="2015-11-07T00:00:00"/>
    <x v="1"/>
    <x v="8"/>
    <x v="443"/>
    <x v="4"/>
    <x v="1"/>
    <x v="5"/>
    <s v="Tenex Chairmats For Use with Hard Floors"/>
    <n v="64.959999999999994"/>
    <n v="5"/>
    <n v="-84.45"/>
  </r>
  <r>
    <d v="2015-11-07T00:00:00"/>
    <x v="1"/>
    <x v="8"/>
    <x v="443"/>
    <x v="4"/>
    <x v="2"/>
    <x v="9"/>
    <s v="Avery Recycled Flexi-View Covers for Binding Systems"/>
    <n v="32.06"/>
    <n v="10"/>
    <n v="-51.3"/>
  </r>
  <r>
    <d v="2015-11-07T00:00:00"/>
    <x v="1"/>
    <x v="8"/>
    <x v="443"/>
    <x v="4"/>
    <x v="2"/>
    <x v="6"/>
    <s v="Fellowes Recycled Storage Drawers"/>
    <n v="177.65"/>
    <n v="2"/>
    <n v="-28.87"/>
  </r>
  <r>
    <d v="2015-11-07T00:00:00"/>
    <x v="1"/>
    <x v="8"/>
    <x v="443"/>
    <x v="4"/>
    <x v="0"/>
    <x v="14"/>
    <s v="Canon PC170 Desktop Personal Copier"/>
    <n v="287.91000000000003"/>
    <n v="3"/>
    <n v="33.590000000000003"/>
  </r>
  <r>
    <d v="2015-12-07T00:00:00"/>
    <x v="1"/>
    <x v="9"/>
    <x v="349"/>
    <x v="17"/>
    <x v="2"/>
    <x v="10"/>
    <s v="Eureka The Boss Cordless Rechargeable Stick Vac"/>
    <n v="152.94"/>
    <n v="3"/>
    <n v="41.29"/>
  </r>
  <r>
    <d v="2015-12-07T00:00:00"/>
    <x v="1"/>
    <x v="9"/>
    <x v="349"/>
    <x v="17"/>
    <x v="1"/>
    <x v="1"/>
    <s v="Situations Contoured Folding Chairs, 4/Set"/>
    <n v="283.92"/>
    <n v="4"/>
    <n v="70.98"/>
  </r>
  <r>
    <d v="2015-12-07T00:00:00"/>
    <x v="1"/>
    <x v="9"/>
    <x v="330"/>
    <x v="1"/>
    <x v="2"/>
    <x v="4"/>
    <s v="Alliance Big Bands Rubber Bands, 12/Pack"/>
    <n v="3.96"/>
    <n v="2"/>
    <n v="0"/>
  </r>
  <r>
    <d v="2015-12-07T00:00:00"/>
    <x v="1"/>
    <x v="9"/>
    <x v="330"/>
    <x v="1"/>
    <x v="2"/>
    <x v="8"/>
    <s v="Avery 509"/>
    <n v="2.61"/>
    <n v="1"/>
    <n v="1.2"/>
  </r>
  <r>
    <d v="2015-12-07T00:00:00"/>
    <x v="1"/>
    <x v="9"/>
    <x v="232"/>
    <x v="5"/>
    <x v="1"/>
    <x v="5"/>
    <s v="12-1/2 Diameter Round Wall Clock"/>
    <n v="79.92"/>
    <n v="4"/>
    <n v="28.77"/>
  </r>
  <r>
    <d v="2015-12-07T00:00:00"/>
    <x v="1"/>
    <x v="9"/>
    <x v="444"/>
    <x v="2"/>
    <x v="2"/>
    <x v="9"/>
    <s v="Pressboard Data Binders by Wilson Jones"/>
    <n v="21.36"/>
    <n v="5"/>
    <n v="7.21"/>
  </r>
  <r>
    <d v="2015-12-07T00:00:00"/>
    <x v="1"/>
    <x v="9"/>
    <x v="444"/>
    <x v="2"/>
    <x v="2"/>
    <x v="9"/>
    <s v="Avery Durable Slant Ring Binders With Label Holder"/>
    <n v="6.69"/>
    <n v="2"/>
    <n v="2.34"/>
  </r>
  <r>
    <d v="2015-12-07T00:00:00"/>
    <x v="1"/>
    <x v="9"/>
    <x v="444"/>
    <x v="2"/>
    <x v="0"/>
    <x v="2"/>
    <s v="Digium D40 VoIP phone"/>
    <n v="773.94"/>
    <n v="6"/>
    <n v="224.44"/>
  </r>
  <r>
    <d v="2015-12-07T00:00:00"/>
    <x v="1"/>
    <x v="9"/>
    <x v="445"/>
    <x v="5"/>
    <x v="2"/>
    <x v="3"/>
    <s v="Xerox 218"/>
    <n v="12.96"/>
    <n v="2"/>
    <n v="6.22"/>
  </r>
  <r>
    <d v="2015-02-08T00:00:00"/>
    <x v="1"/>
    <x v="0"/>
    <x v="218"/>
    <x v="18"/>
    <x v="0"/>
    <x v="2"/>
    <s v="JBL Micro Wireless Portable Bluetooth Speaker"/>
    <n v="107.98"/>
    <n v="3"/>
    <n v="-27"/>
  </r>
  <r>
    <d v="2015-02-08T00:00:00"/>
    <x v="1"/>
    <x v="0"/>
    <x v="234"/>
    <x v="39"/>
    <x v="2"/>
    <x v="3"/>
    <s v="Wirebound Message Books, Four 2 3/4 x 5 Forms per Page, 200 Sets per Book"/>
    <n v="9.5399999999999991"/>
    <n v="2"/>
    <n v="4.29"/>
  </r>
  <r>
    <d v="2015-02-08T00:00:00"/>
    <x v="1"/>
    <x v="0"/>
    <x v="234"/>
    <x v="39"/>
    <x v="2"/>
    <x v="4"/>
    <s v="Advantus Push Pins, Aluminum Head"/>
    <n v="5.81"/>
    <n v="1"/>
    <n v="1.8"/>
  </r>
  <r>
    <d v="2015-02-08T00:00:00"/>
    <x v="1"/>
    <x v="0"/>
    <x v="234"/>
    <x v="39"/>
    <x v="2"/>
    <x v="11"/>
    <s v="Sanford Colorific Colored Pencils, 12/Box"/>
    <n v="5.76"/>
    <n v="2"/>
    <n v="1.73"/>
  </r>
  <r>
    <d v="2015-03-08T00:00:00"/>
    <x v="1"/>
    <x v="1"/>
    <x v="446"/>
    <x v="0"/>
    <x v="1"/>
    <x v="16"/>
    <s v="Rush Hierlooms Collection 1&quot; Thick Stackable Bookcases"/>
    <n v="512.94000000000005"/>
    <n v="3"/>
    <n v="97.46"/>
  </r>
  <r>
    <d v="2015-03-08T00:00:00"/>
    <x v="1"/>
    <x v="1"/>
    <x v="446"/>
    <x v="0"/>
    <x v="1"/>
    <x v="1"/>
    <s v="Hon Mobius Operator's Chair"/>
    <n v="860.93"/>
    <n v="7"/>
    <n v="189.4"/>
  </r>
  <r>
    <d v="2015-03-08T00:00:00"/>
    <x v="1"/>
    <x v="1"/>
    <x v="446"/>
    <x v="0"/>
    <x v="0"/>
    <x v="2"/>
    <s v="Nortel Meridian M3904 Professional Digital phone"/>
    <n v="769.95"/>
    <n v="5"/>
    <n v="223.29"/>
  </r>
  <r>
    <d v="2015-03-08T00:00:00"/>
    <x v="1"/>
    <x v="1"/>
    <x v="446"/>
    <x v="0"/>
    <x v="2"/>
    <x v="11"/>
    <s v="Boston 1900 Electric Pencil Sharpener"/>
    <n v="14.98"/>
    <n v="1"/>
    <n v="4.49"/>
  </r>
  <r>
    <d v="2015-03-08T00:00:00"/>
    <x v="1"/>
    <x v="1"/>
    <x v="446"/>
    <x v="0"/>
    <x v="1"/>
    <x v="5"/>
    <s v="Deflect-o Glass Clear Studded Chair Mats"/>
    <n v="373.08"/>
    <n v="6"/>
    <n v="82.08"/>
  </r>
  <r>
    <d v="2015-03-08T00:00:00"/>
    <x v="1"/>
    <x v="1"/>
    <x v="447"/>
    <x v="2"/>
    <x v="2"/>
    <x v="3"/>
    <s v="Xerox 1997"/>
    <n v="19.440000000000001"/>
    <n v="3"/>
    <n v="9.33"/>
  </r>
  <r>
    <d v="2015-03-08T00:00:00"/>
    <x v="1"/>
    <x v="1"/>
    <x v="262"/>
    <x v="15"/>
    <x v="2"/>
    <x v="11"/>
    <s v="Dixon Prang Watercolor Pencils, 10-Color Set with Brush"/>
    <n v="3.41"/>
    <n v="1"/>
    <n v="0.89"/>
  </r>
  <r>
    <d v="2015-03-08T00:00:00"/>
    <x v="1"/>
    <x v="1"/>
    <x v="237"/>
    <x v="3"/>
    <x v="2"/>
    <x v="9"/>
    <s v="Avery Premier Heavy-Duty Binder with Round Locking Rings"/>
    <n v="8.57"/>
    <n v="3"/>
    <n v="-14.57"/>
  </r>
  <r>
    <d v="2015-05-08T00:00:00"/>
    <x v="1"/>
    <x v="10"/>
    <x v="336"/>
    <x v="18"/>
    <x v="1"/>
    <x v="5"/>
    <s v="Eldon Regeneration Recycled Desk Accessories, Smoke"/>
    <n v="8.35"/>
    <n v="6"/>
    <n v="1.25"/>
  </r>
  <r>
    <d v="2015-05-08T00:00:00"/>
    <x v="1"/>
    <x v="10"/>
    <x v="362"/>
    <x v="16"/>
    <x v="2"/>
    <x v="11"/>
    <s v="Newell 321"/>
    <n v="5.25"/>
    <n v="2"/>
    <n v="0.59"/>
  </r>
  <r>
    <d v="2015-05-08T00:00:00"/>
    <x v="1"/>
    <x v="10"/>
    <x v="27"/>
    <x v="7"/>
    <x v="2"/>
    <x v="9"/>
    <s v="Wilson Jones Legal Size Ring Binders"/>
    <n v="43.98"/>
    <n v="2"/>
    <n v="21.99"/>
  </r>
  <r>
    <d v="2015-05-08T00:00:00"/>
    <x v="1"/>
    <x v="10"/>
    <x v="27"/>
    <x v="7"/>
    <x v="0"/>
    <x v="2"/>
    <s v="VTech DS6151"/>
    <n v="377.97"/>
    <n v="3"/>
    <n v="105.83"/>
  </r>
  <r>
    <d v="2015-05-08T00:00:00"/>
    <x v="1"/>
    <x v="10"/>
    <x v="27"/>
    <x v="7"/>
    <x v="1"/>
    <x v="5"/>
    <s v="Deflect-o EconoMat Studded, No Bevel Mat for Low Pile Carpeting"/>
    <n v="123.96"/>
    <n v="3"/>
    <n v="11.16"/>
  </r>
  <r>
    <d v="2015-05-08T00:00:00"/>
    <x v="1"/>
    <x v="10"/>
    <x v="374"/>
    <x v="2"/>
    <x v="2"/>
    <x v="3"/>
    <s v="Xerox 1912"/>
    <n v="37.94"/>
    <n v="2"/>
    <n v="18.21"/>
  </r>
  <r>
    <d v="2015-05-08T00:00:00"/>
    <x v="1"/>
    <x v="10"/>
    <x v="448"/>
    <x v="2"/>
    <x v="1"/>
    <x v="5"/>
    <s v="DAX Black Cherry Wood-Tone Poster Frame"/>
    <n v="79.44"/>
    <n v="3"/>
    <n v="30.19"/>
  </r>
  <r>
    <d v="2015-05-08T00:00:00"/>
    <x v="1"/>
    <x v="10"/>
    <x v="448"/>
    <x v="2"/>
    <x v="2"/>
    <x v="15"/>
    <s v="Compact Automatic Electric Letter Opener"/>
    <n v="357.93"/>
    <n v="3"/>
    <n v="7.16"/>
  </r>
  <r>
    <d v="2015-05-08T00:00:00"/>
    <x v="1"/>
    <x v="10"/>
    <x v="448"/>
    <x v="2"/>
    <x v="1"/>
    <x v="1"/>
    <s v="Situations Contoured Folding Chairs, 4/Set"/>
    <n v="127.76"/>
    <n v="2"/>
    <n v="21.29"/>
  </r>
  <r>
    <d v="2015-05-08T00:00:00"/>
    <x v="1"/>
    <x v="10"/>
    <x v="448"/>
    <x v="2"/>
    <x v="0"/>
    <x v="12"/>
    <s v="Sharp AL-1530CS Digital Copier"/>
    <n v="2799.94"/>
    <n v="7"/>
    <n v="1014.98"/>
  </r>
  <r>
    <d v="2015-05-08T00:00:00"/>
    <x v="1"/>
    <x v="10"/>
    <x v="448"/>
    <x v="2"/>
    <x v="2"/>
    <x v="3"/>
    <s v="Xerox 204"/>
    <n v="19.440000000000001"/>
    <n v="3"/>
    <n v="9.33"/>
  </r>
  <r>
    <d v="2015-06-08T00:00:00"/>
    <x v="1"/>
    <x v="3"/>
    <x v="449"/>
    <x v="3"/>
    <x v="0"/>
    <x v="0"/>
    <s v="Maxell 4.7GB DVD+R 5/Pack"/>
    <n v="2.38"/>
    <n v="3"/>
    <n v="0.74"/>
  </r>
  <r>
    <d v="2015-06-08T00:00:00"/>
    <x v="1"/>
    <x v="3"/>
    <x v="449"/>
    <x v="3"/>
    <x v="2"/>
    <x v="10"/>
    <s v="Hoover Shoulder Vac Commercial Portable Vacuum"/>
    <n v="143.13"/>
    <n v="2"/>
    <n v="-393.6"/>
  </r>
  <r>
    <d v="2015-06-08T00:00:00"/>
    <x v="1"/>
    <x v="3"/>
    <x v="377"/>
    <x v="11"/>
    <x v="2"/>
    <x v="3"/>
    <s v="Xerox 1951"/>
    <n v="173.49"/>
    <n v="7"/>
    <n v="54.22"/>
  </r>
  <r>
    <d v="2015-06-08T00:00:00"/>
    <x v="1"/>
    <x v="3"/>
    <x v="377"/>
    <x v="11"/>
    <x v="2"/>
    <x v="6"/>
    <s v="Fellowes Super Stor/Drawer Files"/>
    <n v="516.96"/>
    <n v="4"/>
    <n v="-6.46"/>
  </r>
  <r>
    <d v="2015-06-08T00:00:00"/>
    <x v="1"/>
    <x v="3"/>
    <x v="377"/>
    <x v="11"/>
    <x v="1"/>
    <x v="5"/>
    <s v="Advantus Employee of the Month Certificate Frame, 11 x 13-1/2"/>
    <n v="173.21"/>
    <n v="7"/>
    <n v="45.47"/>
  </r>
  <r>
    <d v="2015-06-08T00:00:00"/>
    <x v="1"/>
    <x v="3"/>
    <x v="377"/>
    <x v="11"/>
    <x v="2"/>
    <x v="11"/>
    <s v="Newell 344"/>
    <n v="4.45"/>
    <n v="2"/>
    <n v="0.33"/>
  </r>
  <r>
    <d v="2015-06-08T00:00:00"/>
    <x v="1"/>
    <x v="3"/>
    <x v="377"/>
    <x v="11"/>
    <x v="2"/>
    <x v="8"/>
    <s v="Smead Alpha-Z Color-Coded Name Labels First Letter Starter Set"/>
    <n v="9"/>
    <n v="3"/>
    <n v="3.15"/>
  </r>
  <r>
    <d v="2015-06-08T00:00:00"/>
    <x v="1"/>
    <x v="3"/>
    <x v="377"/>
    <x v="11"/>
    <x v="2"/>
    <x v="3"/>
    <s v="Xerox 1963"/>
    <n v="42.24"/>
    <n v="10"/>
    <n v="13.2"/>
  </r>
  <r>
    <d v="2015-06-08T00:00:00"/>
    <x v="1"/>
    <x v="3"/>
    <x v="377"/>
    <x v="11"/>
    <x v="2"/>
    <x v="9"/>
    <s v="Premier Elliptical Ring Binder, Black"/>
    <n v="18.260000000000002"/>
    <n v="2"/>
    <n v="-13.39"/>
  </r>
  <r>
    <d v="2015-07-08T00:00:00"/>
    <x v="1"/>
    <x v="4"/>
    <x v="450"/>
    <x v="4"/>
    <x v="2"/>
    <x v="3"/>
    <s v="Xerox 1990"/>
    <n v="21.12"/>
    <n v="5"/>
    <n v="6.6"/>
  </r>
  <r>
    <d v="2015-08-08T00:00:00"/>
    <x v="1"/>
    <x v="5"/>
    <x v="414"/>
    <x v="5"/>
    <x v="2"/>
    <x v="9"/>
    <s v="ACCOHIDE 3-Ring Binder, Blue, 1&quot;"/>
    <n v="6.61"/>
    <n v="2"/>
    <n v="2.23"/>
  </r>
  <r>
    <d v="2015-08-08T00:00:00"/>
    <x v="1"/>
    <x v="5"/>
    <x v="414"/>
    <x v="5"/>
    <x v="2"/>
    <x v="9"/>
    <s v="Presstex Flexible Ring Binders"/>
    <n v="7.28"/>
    <n v="2"/>
    <n v="2.73"/>
  </r>
  <r>
    <d v="2015-08-08T00:00:00"/>
    <x v="1"/>
    <x v="5"/>
    <x v="414"/>
    <x v="5"/>
    <x v="1"/>
    <x v="1"/>
    <s v="Global Ergonomic Managers Chair"/>
    <n v="144.78"/>
    <n v="1"/>
    <n v="10.86"/>
  </r>
  <r>
    <d v="2015-08-08T00:00:00"/>
    <x v="1"/>
    <x v="5"/>
    <x v="451"/>
    <x v="6"/>
    <x v="2"/>
    <x v="11"/>
    <s v="Boston 1827 Commercial Additional Cutter, Drive Gear &amp; Gear Rack for 1606"/>
    <n v="39.659999999999997"/>
    <n v="2"/>
    <n v="11.9"/>
  </r>
  <r>
    <d v="2015-08-08T00:00:00"/>
    <x v="1"/>
    <x v="5"/>
    <x v="451"/>
    <x v="6"/>
    <x v="2"/>
    <x v="10"/>
    <s v="Conquest 14 Commercial Heavy-Duty Upright Vacuum, Collection System, Accessory Kit"/>
    <n v="113.92"/>
    <n v="2"/>
    <n v="33.04"/>
  </r>
  <r>
    <d v="2015-08-08T00:00:00"/>
    <x v="1"/>
    <x v="5"/>
    <x v="451"/>
    <x v="6"/>
    <x v="2"/>
    <x v="9"/>
    <s v="GBC DocuBind P50 Personal Binding Machine"/>
    <n v="447.86"/>
    <n v="7"/>
    <n v="210.49"/>
  </r>
  <r>
    <d v="2015-08-08T00:00:00"/>
    <x v="1"/>
    <x v="5"/>
    <x v="40"/>
    <x v="2"/>
    <x v="0"/>
    <x v="0"/>
    <s v="Logitech G600 MMO Gaming Mouse"/>
    <n v="79.989999999999995"/>
    <n v="1"/>
    <n v="28.8"/>
  </r>
  <r>
    <d v="2015-09-08T00:00:00"/>
    <x v="1"/>
    <x v="6"/>
    <x v="331"/>
    <x v="5"/>
    <x v="2"/>
    <x v="3"/>
    <s v="Xerox 1928"/>
    <n v="26.4"/>
    <n v="5"/>
    <n v="11.88"/>
  </r>
  <r>
    <d v="2015-09-08T00:00:00"/>
    <x v="1"/>
    <x v="6"/>
    <x v="331"/>
    <x v="5"/>
    <x v="2"/>
    <x v="6"/>
    <s v="Eldon Shelf Savers Cubes and Bins"/>
    <n v="41.88"/>
    <n v="6"/>
    <n v="0.84"/>
  </r>
  <r>
    <d v="2015-09-08T00:00:00"/>
    <x v="1"/>
    <x v="6"/>
    <x v="278"/>
    <x v="34"/>
    <x v="1"/>
    <x v="5"/>
    <s v="Acrylic Self-Standing Desk Frames"/>
    <n v="21.36"/>
    <n v="8"/>
    <n v="8.1199999999999992"/>
  </r>
  <r>
    <d v="2015-10-08T00:00:00"/>
    <x v="1"/>
    <x v="7"/>
    <x v="213"/>
    <x v="5"/>
    <x v="1"/>
    <x v="5"/>
    <s v="Deflect-o SuperTray Unbreakable Stackable Tray, Letter, Black"/>
    <n v="145.9"/>
    <n v="5"/>
    <n v="62.74"/>
  </r>
  <r>
    <d v="2015-10-08T00:00:00"/>
    <x v="1"/>
    <x v="7"/>
    <x v="452"/>
    <x v="4"/>
    <x v="2"/>
    <x v="11"/>
    <s v="Binney &amp; Smith inkTank Desk Highlighter, Chisel Tip, Yellow, 12/Box"/>
    <n v="3.44"/>
    <n v="2"/>
    <n v="0.56000000000000005"/>
  </r>
  <r>
    <d v="2015-10-08T00:00:00"/>
    <x v="1"/>
    <x v="7"/>
    <x v="453"/>
    <x v="4"/>
    <x v="1"/>
    <x v="5"/>
    <s v="Tenex Traditional Chairmats for Medium Pile Carpet, Standard Lip, 36&quot; x 48&quot;"/>
    <n v="72.78"/>
    <n v="3"/>
    <n v="-70.959999999999994"/>
  </r>
  <r>
    <d v="2015-11-08T00:00:00"/>
    <x v="1"/>
    <x v="8"/>
    <x v="454"/>
    <x v="6"/>
    <x v="2"/>
    <x v="11"/>
    <s v="American Pencil"/>
    <n v="11.65"/>
    <n v="5"/>
    <n v="3.38"/>
  </r>
  <r>
    <d v="2015-11-08T00:00:00"/>
    <x v="1"/>
    <x v="8"/>
    <x v="455"/>
    <x v="5"/>
    <x v="2"/>
    <x v="4"/>
    <s v="Advantus Plastic Paper Clips"/>
    <n v="5"/>
    <n v="1"/>
    <n v="2.4"/>
  </r>
  <r>
    <d v="2015-11-08T00:00:00"/>
    <x v="1"/>
    <x v="8"/>
    <x v="455"/>
    <x v="5"/>
    <x v="0"/>
    <x v="0"/>
    <s v="Logitech G19 Programmable Gaming Keyboard"/>
    <n v="371.97"/>
    <n v="3"/>
    <n v="66.95"/>
  </r>
  <r>
    <d v="2015-11-08T00:00:00"/>
    <x v="1"/>
    <x v="8"/>
    <x v="54"/>
    <x v="21"/>
    <x v="2"/>
    <x v="4"/>
    <s v="Alliance Rubber Bands"/>
    <n v="5.04"/>
    <n v="3"/>
    <n v="0.2"/>
  </r>
  <r>
    <d v="2015-11-08T00:00:00"/>
    <x v="1"/>
    <x v="8"/>
    <x v="54"/>
    <x v="21"/>
    <x v="2"/>
    <x v="3"/>
    <s v="Xerox 1988"/>
    <n v="92.94"/>
    <n v="3"/>
    <n v="41.82"/>
  </r>
  <r>
    <d v="2015-11-08T00:00:00"/>
    <x v="1"/>
    <x v="8"/>
    <x v="54"/>
    <x v="21"/>
    <x v="1"/>
    <x v="5"/>
    <s v="Executive Impressions 14&quot; Contract Wall Clock"/>
    <n v="66.69"/>
    <n v="3"/>
    <n v="22.01"/>
  </r>
  <r>
    <d v="2015-11-08T00:00:00"/>
    <x v="1"/>
    <x v="8"/>
    <x v="54"/>
    <x v="21"/>
    <x v="2"/>
    <x v="9"/>
    <s v="Deluxe Heavy-Duty Vinyl Round Ring Binder"/>
    <n v="91.68"/>
    <n v="5"/>
    <n v="28.65"/>
  </r>
  <r>
    <d v="2015-11-08T00:00:00"/>
    <x v="1"/>
    <x v="8"/>
    <x v="456"/>
    <x v="2"/>
    <x v="2"/>
    <x v="9"/>
    <s v="Storex Dura Pro Binders"/>
    <n v="52.27"/>
    <n v="11"/>
    <n v="17.64"/>
  </r>
  <r>
    <d v="2015-11-08T00:00:00"/>
    <x v="1"/>
    <x v="8"/>
    <x v="456"/>
    <x v="2"/>
    <x v="2"/>
    <x v="3"/>
    <s v="Great White Multi-Use Recycled Paper (20Lb. and 84 Bright)"/>
    <n v="17.940000000000001"/>
    <n v="3"/>
    <n v="8.07"/>
  </r>
  <r>
    <d v="2015-11-08T00:00:00"/>
    <x v="1"/>
    <x v="8"/>
    <x v="457"/>
    <x v="4"/>
    <x v="2"/>
    <x v="9"/>
    <s v="Wilson Jones Leather-Like Binders with DublLock Round Rings"/>
    <n v="10.48"/>
    <n v="6"/>
    <n v="-17.29"/>
  </r>
  <r>
    <d v="2015-11-08T00:00:00"/>
    <x v="1"/>
    <x v="8"/>
    <x v="420"/>
    <x v="5"/>
    <x v="0"/>
    <x v="0"/>
    <s v="Microsoft Arc Touch Mouse"/>
    <n v="119.9"/>
    <n v="2"/>
    <n v="43.16"/>
  </r>
  <r>
    <d v="2015-11-08T00:00:00"/>
    <x v="1"/>
    <x v="8"/>
    <x v="344"/>
    <x v="20"/>
    <x v="2"/>
    <x v="10"/>
    <s v="Holmes Replacement Filter for HEPA Air Cleaner, Large Room"/>
    <n v="44.43"/>
    <n v="3"/>
    <n v="18.66"/>
  </r>
  <r>
    <d v="2015-11-08T00:00:00"/>
    <x v="1"/>
    <x v="8"/>
    <x v="344"/>
    <x v="20"/>
    <x v="0"/>
    <x v="2"/>
    <s v="AT&amp;T 17929 Lendline Telephone"/>
    <n v="226.2"/>
    <n v="5"/>
    <n v="58.81"/>
  </r>
  <r>
    <d v="2015-11-08T00:00:00"/>
    <x v="1"/>
    <x v="8"/>
    <x v="344"/>
    <x v="20"/>
    <x v="1"/>
    <x v="5"/>
    <s v="Deflect-o Glass Clear Studded Chair Mats"/>
    <n v="186.54"/>
    <n v="3"/>
    <n v="41.04"/>
  </r>
  <r>
    <d v="2015-11-08T00:00:00"/>
    <x v="1"/>
    <x v="8"/>
    <x v="344"/>
    <x v="20"/>
    <x v="2"/>
    <x v="11"/>
    <s v="Hunt PowerHouse Electric Pencil Sharpener, Blue"/>
    <n v="265.86"/>
    <n v="7"/>
    <n v="79.760000000000005"/>
  </r>
  <r>
    <d v="2015-11-08T00:00:00"/>
    <x v="1"/>
    <x v="8"/>
    <x v="344"/>
    <x v="20"/>
    <x v="2"/>
    <x v="11"/>
    <s v="Newell 314"/>
    <n v="27.9"/>
    <n v="5"/>
    <n v="6.98"/>
  </r>
  <r>
    <d v="2015-11-08T00:00:00"/>
    <x v="1"/>
    <x v="8"/>
    <x v="40"/>
    <x v="43"/>
    <x v="0"/>
    <x v="2"/>
    <s v="Cisco SPA508G"/>
    <n v="263.95999999999998"/>
    <n v="4"/>
    <n v="76.55"/>
  </r>
  <r>
    <d v="2015-11-08T00:00:00"/>
    <x v="1"/>
    <x v="8"/>
    <x v="333"/>
    <x v="2"/>
    <x v="2"/>
    <x v="6"/>
    <s v="Fellowes Desktop Hanging File Manager"/>
    <n v="67.150000000000006"/>
    <n v="5"/>
    <n v="16.79"/>
  </r>
  <r>
    <d v="2015-11-08T00:00:00"/>
    <x v="1"/>
    <x v="8"/>
    <x v="333"/>
    <x v="2"/>
    <x v="0"/>
    <x v="2"/>
    <s v="Mitel MiVoice 5330e IP Phone"/>
    <n v="549.98"/>
    <n v="2"/>
    <n v="142.99"/>
  </r>
  <r>
    <d v="2015-11-08T00:00:00"/>
    <x v="1"/>
    <x v="8"/>
    <x v="333"/>
    <x v="2"/>
    <x v="1"/>
    <x v="5"/>
    <s v="Nu-Dell EZ-Mount Plastic Wall Frames"/>
    <n v="11.82"/>
    <n v="3"/>
    <n v="4.7300000000000004"/>
  </r>
  <r>
    <d v="2015-11-08T00:00:00"/>
    <x v="1"/>
    <x v="8"/>
    <x v="333"/>
    <x v="2"/>
    <x v="0"/>
    <x v="14"/>
    <s v="Zebra ZM400 Thermal Label Printer"/>
    <n v="4643.8"/>
    <n v="4"/>
    <n v="2229.02"/>
  </r>
  <r>
    <d v="2015-11-08T00:00:00"/>
    <x v="1"/>
    <x v="8"/>
    <x v="333"/>
    <x v="2"/>
    <x v="1"/>
    <x v="1"/>
    <s v="Hon 4070 Series Pagoda Round Back Stacking Chairs"/>
    <n v="577.76"/>
    <n v="2"/>
    <n v="115.55"/>
  </r>
  <r>
    <d v="2015-11-08T00:00:00"/>
    <x v="1"/>
    <x v="8"/>
    <x v="433"/>
    <x v="12"/>
    <x v="2"/>
    <x v="4"/>
    <s v="OIC Binder Clips"/>
    <n v="31.5"/>
    <n v="11"/>
    <n v="11.81"/>
  </r>
  <r>
    <d v="2015-11-08T00:00:00"/>
    <x v="1"/>
    <x v="8"/>
    <x v="433"/>
    <x v="12"/>
    <x v="2"/>
    <x v="8"/>
    <s v="Permanent Self-Adhesive File Folder Labels for Typewriters, 1 1/8 x 3 1/2, White"/>
    <n v="5.04"/>
    <n v="1"/>
    <n v="1.64"/>
  </r>
  <r>
    <d v="2015-11-08T00:00:00"/>
    <x v="1"/>
    <x v="8"/>
    <x v="433"/>
    <x v="12"/>
    <x v="2"/>
    <x v="9"/>
    <s v="Poly Designer Cover &amp; Back"/>
    <n v="39.880000000000003"/>
    <n v="7"/>
    <n v="-29.24"/>
  </r>
  <r>
    <d v="2015-11-08T00:00:00"/>
    <x v="1"/>
    <x v="8"/>
    <x v="433"/>
    <x v="12"/>
    <x v="1"/>
    <x v="5"/>
    <s v="Eldon Wave Desk Accessories"/>
    <n v="4.71"/>
    <n v="1"/>
    <n v="1.41"/>
  </r>
  <r>
    <d v="2015-11-08T00:00:00"/>
    <x v="1"/>
    <x v="8"/>
    <x v="11"/>
    <x v="42"/>
    <x v="1"/>
    <x v="16"/>
    <s v="Riverside Palais Royal Lawyers Bookcase, Royale Cherry Finish"/>
    <n v="4404.8999999999996"/>
    <n v="5"/>
    <n v="1013.13"/>
  </r>
  <r>
    <d v="2015-12-08T00:00:00"/>
    <x v="1"/>
    <x v="9"/>
    <x v="458"/>
    <x v="4"/>
    <x v="2"/>
    <x v="3"/>
    <s v="Xerox 1945"/>
    <n v="360.71"/>
    <n v="11"/>
    <n v="130.76"/>
  </r>
  <r>
    <d v="2015-12-08T00:00:00"/>
    <x v="1"/>
    <x v="9"/>
    <x v="458"/>
    <x v="4"/>
    <x v="0"/>
    <x v="2"/>
    <s v="Wilson Electronics DB Pro Signal Booster"/>
    <n v="1718.4"/>
    <n v="6"/>
    <n v="150.36000000000001"/>
  </r>
  <r>
    <d v="2015-12-08T00:00:00"/>
    <x v="1"/>
    <x v="9"/>
    <x v="407"/>
    <x v="4"/>
    <x v="0"/>
    <x v="2"/>
    <s v="Nokia Lumia 521 (T-Mobile)"/>
    <n v="119.96"/>
    <n v="5"/>
    <n v="12"/>
  </r>
  <r>
    <d v="2015-12-08T00:00:00"/>
    <x v="1"/>
    <x v="9"/>
    <x v="459"/>
    <x v="5"/>
    <x v="2"/>
    <x v="6"/>
    <s v="Stur-D-Stor Shelving, Vertical 5-Shelf: 72&quot;H x 36&quot;W x 18 1/2&quot;D"/>
    <n v="221.96"/>
    <n v="2"/>
    <n v="4.4400000000000004"/>
  </r>
  <r>
    <d v="2015-12-08T00:00:00"/>
    <x v="1"/>
    <x v="9"/>
    <x v="459"/>
    <x v="5"/>
    <x v="0"/>
    <x v="0"/>
    <s v="WD My Passport Ultra 500GB Portable External Hard Drive"/>
    <n v="236"/>
    <n v="4"/>
    <n v="40.119999999999997"/>
  </r>
  <r>
    <d v="2015-12-08T00:00:00"/>
    <x v="1"/>
    <x v="9"/>
    <x v="460"/>
    <x v="15"/>
    <x v="2"/>
    <x v="3"/>
    <s v="Southworth Parchment Paper &amp; Envelopes"/>
    <n v="15.7"/>
    <n v="3"/>
    <n v="5.0999999999999996"/>
  </r>
  <r>
    <d v="2015-01-09T00:00:00"/>
    <x v="1"/>
    <x v="11"/>
    <x v="461"/>
    <x v="17"/>
    <x v="2"/>
    <x v="3"/>
    <s v="Easy-staple paper"/>
    <n v="106.32"/>
    <n v="3"/>
    <n v="49.97"/>
  </r>
  <r>
    <d v="2015-01-09T00:00:00"/>
    <x v="1"/>
    <x v="11"/>
    <x v="461"/>
    <x v="17"/>
    <x v="2"/>
    <x v="10"/>
    <s v="Belkin 5 Outlet SurgeMaster Power Centers"/>
    <n v="163.44"/>
    <n v="3"/>
    <n v="45.76"/>
  </r>
  <r>
    <d v="2015-01-09T00:00:00"/>
    <x v="1"/>
    <x v="11"/>
    <x v="461"/>
    <x v="17"/>
    <x v="2"/>
    <x v="11"/>
    <s v="Boston 1730 StandUp Electric Pencil Sharpener"/>
    <n v="42.76"/>
    <n v="2"/>
    <n v="11.12"/>
  </r>
  <r>
    <d v="2015-01-09T00:00:00"/>
    <x v="1"/>
    <x v="11"/>
    <x v="461"/>
    <x v="17"/>
    <x v="2"/>
    <x v="3"/>
    <s v="Speediset Carbonless Redi-Letter 7&quot; x 8 1/2&quot;"/>
    <n v="51.55"/>
    <n v="5"/>
    <n v="24.23"/>
  </r>
  <r>
    <d v="2015-02-09T00:00:00"/>
    <x v="1"/>
    <x v="0"/>
    <x v="389"/>
    <x v="4"/>
    <x v="0"/>
    <x v="0"/>
    <s v="Memorex Micro Travel Drive 8 GB"/>
    <n v="20.8"/>
    <n v="2"/>
    <n v="6.5"/>
  </r>
  <r>
    <d v="2015-02-09T00:00:00"/>
    <x v="1"/>
    <x v="0"/>
    <x v="346"/>
    <x v="4"/>
    <x v="2"/>
    <x v="8"/>
    <s v="Round Specialty Laser Printer Labels"/>
    <n v="40.1"/>
    <n v="4"/>
    <n v="13.53"/>
  </r>
  <r>
    <d v="2015-02-09T00:00:00"/>
    <x v="1"/>
    <x v="0"/>
    <x v="346"/>
    <x v="4"/>
    <x v="1"/>
    <x v="5"/>
    <s v="Dana Fluorescent Magnifying Lamp, White, 36&quot;"/>
    <n v="40.78"/>
    <n v="2"/>
    <n v="-30.59"/>
  </r>
  <r>
    <d v="2015-02-09T00:00:00"/>
    <x v="1"/>
    <x v="0"/>
    <x v="416"/>
    <x v="5"/>
    <x v="1"/>
    <x v="1"/>
    <s v="Global Deluxe Stacking Chair, Gray"/>
    <n v="203.92"/>
    <n v="5"/>
    <n v="22.94"/>
  </r>
  <r>
    <d v="2015-02-09T00:00:00"/>
    <x v="1"/>
    <x v="0"/>
    <x v="286"/>
    <x v="3"/>
    <x v="0"/>
    <x v="0"/>
    <s v="Logitech Wireless Headset h800"/>
    <n v="479.95"/>
    <n v="6"/>
    <n v="89.99"/>
  </r>
  <r>
    <d v="2015-03-09T00:00:00"/>
    <x v="1"/>
    <x v="1"/>
    <x v="433"/>
    <x v="4"/>
    <x v="0"/>
    <x v="0"/>
    <s v="Maxell 4.7GB DVD-R"/>
    <n v="113.52"/>
    <n v="5"/>
    <n v="29.8"/>
  </r>
  <r>
    <d v="2015-03-09T00:00:00"/>
    <x v="1"/>
    <x v="1"/>
    <x v="433"/>
    <x v="4"/>
    <x v="0"/>
    <x v="2"/>
    <s v="Panasonic KX T7736-B Digital phone"/>
    <n v="359.88"/>
    <n v="3"/>
    <n v="22.49"/>
  </r>
  <r>
    <d v="2015-03-09T00:00:00"/>
    <x v="1"/>
    <x v="1"/>
    <x v="462"/>
    <x v="12"/>
    <x v="2"/>
    <x v="8"/>
    <s v="Avery 514"/>
    <n v="4.6100000000000003"/>
    <n v="2"/>
    <n v="1.67"/>
  </r>
  <r>
    <d v="2015-04-09T00:00:00"/>
    <x v="1"/>
    <x v="2"/>
    <x v="271"/>
    <x v="5"/>
    <x v="1"/>
    <x v="7"/>
    <s v="Laminate Occasional Tables"/>
    <n v="369.91"/>
    <n v="3"/>
    <n v="-13.87"/>
  </r>
  <r>
    <d v="2015-04-09T00:00:00"/>
    <x v="1"/>
    <x v="2"/>
    <x v="463"/>
    <x v="2"/>
    <x v="2"/>
    <x v="6"/>
    <s v="Perma STOR-ALL Hanging File Box, 13 1/8&quot;W x 12 1/4&quot;D x 10 1/2&quot;H"/>
    <n v="17.940000000000001"/>
    <n v="3"/>
    <n v="3.05"/>
  </r>
  <r>
    <d v="2015-04-09T00:00:00"/>
    <x v="1"/>
    <x v="2"/>
    <x v="464"/>
    <x v="25"/>
    <x v="2"/>
    <x v="10"/>
    <s v="Honeywell Enviracaire Portable HEPA Air Cleaner for up to 10 x 16 Room"/>
    <n v="370.14"/>
    <n v="3"/>
    <n v="144.35"/>
  </r>
  <r>
    <d v="2015-05-09T00:00:00"/>
    <x v="1"/>
    <x v="10"/>
    <x v="301"/>
    <x v="17"/>
    <x v="2"/>
    <x v="9"/>
    <s v="Acco Flexible ACCOHIDE Square Ring Data Binder, Dark Blue, 11 1/2&quot; X 14&quot; 7/8&quot;"/>
    <n v="48.81"/>
    <n v="3"/>
    <n v="23.92"/>
  </r>
  <r>
    <d v="2015-06-09T00:00:00"/>
    <x v="1"/>
    <x v="3"/>
    <x v="465"/>
    <x v="20"/>
    <x v="2"/>
    <x v="9"/>
    <s v="Vinyl Sectional Post Binders"/>
    <n v="113.1"/>
    <n v="3"/>
    <n v="56.55"/>
  </r>
  <r>
    <d v="2015-06-09T00:00:00"/>
    <x v="1"/>
    <x v="3"/>
    <x v="77"/>
    <x v="10"/>
    <x v="2"/>
    <x v="3"/>
    <s v="Xerox 1995"/>
    <n v="12.96"/>
    <n v="2"/>
    <n v="6.22"/>
  </r>
  <r>
    <d v="2015-06-09T00:00:00"/>
    <x v="1"/>
    <x v="3"/>
    <x v="466"/>
    <x v="36"/>
    <x v="1"/>
    <x v="5"/>
    <s v="Luxo Adjustable Task Clamp Lamp"/>
    <n v="355.36"/>
    <n v="4"/>
    <n v="92.39"/>
  </r>
  <r>
    <d v="2015-06-09T00:00:00"/>
    <x v="1"/>
    <x v="3"/>
    <x v="466"/>
    <x v="36"/>
    <x v="0"/>
    <x v="2"/>
    <s v="Dexim XPower Skin Super-Thin Power Case for iPhone 5 - Black"/>
    <n v="140.38"/>
    <n v="3"/>
    <n v="8.77"/>
  </r>
  <r>
    <d v="2015-06-09T00:00:00"/>
    <x v="1"/>
    <x v="3"/>
    <x v="467"/>
    <x v="11"/>
    <x v="2"/>
    <x v="9"/>
    <s v="Green Canvas Binder for 8-1/2&quot; x 14&quot; Sheets"/>
    <n v="64.2"/>
    <n v="5"/>
    <n v="-42.8"/>
  </r>
  <r>
    <d v="2015-06-09T00:00:00"/>
    <x v="1"/>
    <x v="3"/>
    <x v="467"/>
    <x v="11"/>
    <x v="2"/>
    <x v="9"/>
    <s v="Wilson Jones Elliptical Ring 3 1/2&quot; Capacity Binders, 800 sheets"/>
    <n v="38.520000000000003"/>
    <n v="3"/>
    <n v="-26.96"/>
  </r>
  <r>
    <d v="2015-06-09T00:00:00"/>
    <x v="1"/>
    <x v="3"/>
    <x v="467"/>
    <x v="11"/>
    <x v="0"/>
    <x v="0"/>
    <s v="Logitech Keyboard K120"/>
    <n v="72.599999999999994"/>
    <n v="5"/>
    <n v="-8.17"/>
  </r>
  <r>
    <d v="2015-07-09T00:00:00"/>
    <x v="1"/>
    <x v="4"/>
    <x v="336"/>
    <x v="6"/>
    <x v="2"/>
    <x v="3"/>
    <s v="Tops Wirebound Message Log Books"/>
    <n v="6.58"/>
    <n v="2"/>
    <n v="3.03"/>
  </r>
  <r>
    <d v="2015-07-09T00:00:00"/>
    <x v="1"/>
    <x v="4"/>
    <x v="336"/>
    <x v="6"/>
    <x v="2"/>
    <x v="9"/>
    <s v="Wilson Jones Ledger-Size, Piano-Hinge Binder, 2&quot;, Blue"/>
    <n v="122.94"/>
    <n v="3"/>
    <n v="59.01"/>
  </r>
  <r>
    <d v="2015-07-09T00:00:00"/>
    <x v="1"/>
    <x v="4"/>
    <x v="131"/>
    <x v="26"/>
    <x v="2"/>
    <x v="11"/>
    <s v="Binney &amp; Smith inkTank Desk Highlighter, Chisel Tip, Yellow, 12/Box"/>
    <n v="5.16"/>
    <n v="3"/>
    <n v="0.84"/>
  </r>
  <r>
    <d v="2015-07-09T00:00:00"/>
    <x v="1"/>
    <x v="4"/>
    <x v="452"/>
    <x v="24"/>
    <x v="2"/>
    <x v="4"/>
    <s v="Advantus Map Pennant Flags and Round Head Tacks"/>
    <n v="15.8"/>
    <n v="4"/>
    <n v="5.0599999999999996"/>
  </r>
  <r>
    <d v="2015-07-09T00:00:00"/>
    <x v="1"/>
    <x v="4"/>
    <x v="452"/>
    <x v="24"/>
    <x v="0"/>
    <x v="14"/>
    <s v="Fellowes Powershred HS-440 4-Sheet High Security Shredder"/>
    <n v="464.97"/>
    <n v="3"/>
    <n v="209.24"/>
  </r>
  <r>
    <d v="2015-07-09T00:00:00"/>
    <x v="1"/>
    <x v="4"/>
    <x v="452"/>
    <x v="24"/>
    <x v="1"/>
    <x v="5"/>
    <s v="Eldon ClusterMat Chair Mat with Cordless Antistatic Protection"/>
    <n v="181.96"/>
    <n v="2"/>
    <n v="20.02"/>
  </r>
  <r>
    <d v="2015-07-09T00:00:00"/>
    <x v="1"/>
    <x v="4"/>
    <x v="452"/>
    <x v="24"/>
    <x v="2"/>
    <x v="8"/>
    <s v="Avery 05222 Permanent Self-Adhesive File Folder Labels for Typewriters, on Rolls, White, 250/Roll"/>
    <n v="12.39"/>
    <n v="3"/>
    <n v="5.7"/>
  </r>
  <r>
    <d v="2015-07-09T00:00:00"/>
    <x v="1"/>
    <x v="4"/>
    <x v="452"/>
    <x v="24"/>
    <x v="2"/>
    <x v="9"/>
    <s v="Performers Binder/Pad Holder, Black"/>
    <n v="84.09"/>
    <n v="3"/>
    <n v="42.05"/>
  </r>
  <r>
    <d v="2015-07-09T00:00:00"/>
    <x v="1"/>
    <x v="4"/>
    <x v="452"/>
    <x v="24"/>
    <x v="2"/>
    <x v="11"/>
    <s v="Prismacolor Color Pencil Set"/>
    <n v="79.36"/>
    <n v="4"/>
    <n v="32.54"/>
  </r>
  <r>
    <d v="2015-07-09T00:00:00"/>
    <x v="1"/>
    <x v="4"/>
    <x v="452"/>
    <x v="24"/>
    <x v="2"/>
    <x v="9"/>
    <s v="GBC Recycled VeloBinder Covers"/>
    <n v="153.36000000000001"/>
    <n v="9"/>
    <n v="70.55"/>
  </r>
  <r>
    <d v="2015-07-09T00:00:00"/>
    <x v="1"/>
    <x v="4"/>
    <x v="452"/>
    <x v="24"/>
    <x v="2"/>
    <x v="9"/>
    <s v="Wilson Jones Active Use Binders"/>
    <n v="43.68"/>
    <n v="6"/>
    <n v="21.4"/>
  </r>
  <r>
    <d v="2015-07-09T00:00:00"/>
    <x v="1"/>
    <x v="4"/>
    <x v="452"/>
    <x v="24"/>
    <x v="2"/>
    <x v="6"/>
    <s v="Project Tote Personal File"/>
    <n v="98.21"/>
    <n v="7"/>
    <n v="28.48"/>
  </r>
  <r>
    <d v="2015-07-09T00:00:00"/>
    <x v="1"/>
    <x v="4"/>
    <x v="66"/>
    <x v="13"/>
    <x v="0"/>
    <x v="2"/>
    <s v="Panasonic KX-TG9541B DECT 6.0 Digital 2-Line Expandable Cordless Phone With Digital Answering System"/>
    <n v="269.98"/>
    <n v="3"/>
    <n v="40.5"/>
  </r>
  <r>
    <d v="2015-07-09T00:00:00"/>
    <x v="1"/>
    <x v="4"/>
    <x v="296"/>
    <x v="4"/>
    <x v="2"/>
    <x v="10"/>
    <s v="Acco 7-Outlet Masterpiece Power Center, Wihtout Fax/Phone Line Protection"/>
    <n v="48.63"/>
    <n v="2"/>
    <n v="-121.58"/>
  </r>
  <r>
    <d v="2015-08-09T00:00:00"/>
    <x v="1"/>
    <x v="5"/>
    <x v="385"/>
    <x v="10"/>
    <x v="2"/>
    <x v="11"/>
    <s v="Sanford Uni-Blazer View Highlighters, Chisel Tip, Yellow"/>
    <n v="2.2000000000000002"/>
    <n v="1"/>
    <n v="0.97"/>
  </r>
  <r>
    <d v="2015-08-09T00:00:00"/>
    <x v="1"/>
    <x v="5"/>
    <x v="385"/>
    <x v="10"/>
    <x v="1"/>
    <x v="7"/>
    <s v="Bevis 36 x 72 Conference Tables"/>
    <n v="622.45000000000005"/>
    <n v="5"/>
    <n v="136.94"/>
  </r>
  <r>
    <d v="2015-08-09T00:00:00"/>
    <x v="1"/>
    <x v="5"/>
    <x v="385"/>
    <x v="10"/>
    <x v="2"/>
    <x v="6"/>
    <s v="Rogers Deluxe File Chest"/>
    <n v="21.98"/>
    <n v="1"/>
    <n v="0.22"/>
  </r>
  <r>
    <d v="2015-08-09T00:00:00"/>
    <x v="1"/>
    <x v="5"/>
    <x v="422"/>
    <x v="2"/>
    <x v="0"/>
    <x v="2"/>
    <s v="Nortel Meridian M3904 Professional Digital phone"/>
    <n v="307.98"/>
    <n v="2"/>
    <n v="89.31"/>
  </r>
  <r>
    <d v="2015-08-09T00:00:00"/>
    <x v="1"/>
    <x v="5"/>
    <x v="422"/>
    <x v="2"/>
    <x v="1"/>
    <x v="7"/>
    <s v="KI Conference Tables"/>
    <n v="382.81"/>
    <n v="9"/>
    <n v="-153.12"/>
  </r>
  <r>
    <d v="2015-08-09T00:00:00"/>
    <x v="1"/>
    <x v="5"/>
    <x v="422"/>
    <x v="2"/>
    <x v="2"/>
    <x v="6"/>
    <s v="Tennsco Lockers, Gray"/>
    <n v="41.96"/>
    <n v="2"/>
    <n v="2.94"/>
  </r>
  <r>
    <d v="2015-08-09T00:00:00"/>
    <x v="1"/>
    <x v="5"/>
    <x v="422"/>
    <x v="2"/>
    <x v="2"/>
    <x v="9"/>
    <s v="GBC Ibimaster 500 Manual ProClick Binding System"/>
    <n v="1217.57"/>
    <n v="2"/>
    <n v="456.59"/>
  </r>
  <r>
    <d v="2015-08-09T00:00:00"/>
    <x v="1"/>
    <x v="5"/>
    <x v="422"/>
    <x v="2"/>
    <x v="1"/>
    <x v="5"/>
    <s v="Artistic Insta-Plaque"/>
    <n v="47.04"/>
    <n v="3"/>
    <n v="18.350000000000001"/>
  </r>
  <r>
    <d v="2015-08-09T00:00:00"/>
    <x v="1"/>
    <x v="5"/>
    <x v="422"/>
    <x v="2"/>
    <x v="1"/>
    <x v="5"/>
    <s v="Longer-Life Soft White Bulbs"/>
    <n v="6.16"/>
    <n v="2"/>
    <n v="2.96"/>
  </r>
  <r>
    <d v="2015-08-09T00:00:00"/>
    <x v="1"/>
    <x v="5"/>
    <x v="422"/>
    <x v="2"/>
    <x v="0"/>
    <x v="2"/>
    <s v="Panasonic KX-TG9471B"/>
    <n v="979.95"/>
    <n v="5"/>
    <n v="274.39"/>
  </r>
  <r>
    <d v="2015-08-09T00:00:00"/>
    <x v="1"/>
    <x v="5"/>
    <x v="422"/>
    <x v="2"/>
    <x v="2"/>
    <x v="3"/>
    <s v="Xerox 1886"/>
    <n v="143.69999999999999"/>
    <n v="3"/>
    <n v="68.98"/>
  </r>
  <r>
    <d v="2015-08-09T00:00:00"/>
    <x v="1"/>
    <x v="5"/>
    <x v="422"/>
    <x v="2"/>
    <x v="2"/>
    <x v="4"/>
    <s v="Acco Clips to Go Binder Clips, 24 Clips in Two Sizes"/>
    <n v="10.65"/>
    <n v="3"/>
    <n v="5.01"/>
  </r>
  <r>
    <d v="2015-08-09T00:00:00"/>
    <x v="1"/>
    <x v="5"/>
    <x v="422"/>
    <x v="2"/>
    <x v="0"/>
    <x v="0"/>
    <s v="Belkin QODE FastFit Bluetooth Keyboard"/>
    <n v="247.8"/>
    <n v="4"/>
    <n v="34.69"/>
  </r>
  <r>
    <d v="2015-08-09T00:00:00"/>
    <x v="1"/>
    <x v="5"/>
    <x v="204"/>
    <x v="11"/>
    <x v="2"/>
    <x v="8"/>
    <s v="Avery File Folder Labels"/>
    <n v="4.6100000000000003"/>
    <n v="2"/>
    <n v="1.67"/>
  </r>
  <r>
    <d v="2015-08-09T00:00:00"/>
    <x v="1"/>
    <x v="5"/>
    <x v="2"/>
    <x v="0"/>
    <x v="1"/>
    <x v="16"/>
    <s v="O'Sullivan Cherrywood Estates Traditional Barrister Bookcase"/>
    <n v="687.4"/>
    <n v="5"/>
    <n v="48.12"/>
  </r>
  <r>
    <d v="2015-08-09T00:00:00"/>
    <x v="1"/>
    <x v="5"/>
    <x v="468"/>
    <x v="2"/>
    <x v="1"/>
    <x v="5"/>
    <s v="OIC Stacking Trays"/>
    <n v="10.02"/>
    <n v="3"/>
    <n v="4.41"/>
  </r>
  <r>
    <d v="2015-08-09T00:00:00"/>
    <x v="1"/>
    <x v="5"/>
    <x v="468"/>
    <x v="2"/>
    <x v="2"/>
    <x v="3"/>
    <s v="Xerox 1885"/>
    <n v="144.12"/>
    <n v="3"/>
    <n v="69.180000000000007"/>
  </r>
  <r>
    <d v="2015-10-09T00:00:00"/>
    <x v="1"/>
    <x v="7"/>
    <x v="337"/>
    <x v="20"/>
    <x v="2"/>
    <x v="6"/>
    <s v="Decoflex Hanging Personal Folder File, Blue"/>
    <n v="30.84"/>
    <n v="2"/>
    <n v="8.33"/>
  </r>
  <r>
    <d v="2015-10-09T00:00:00"/>
    <x v="1"/>
    <x v="7"/>
    <x v="229"/>
    <x v="2"/>
    <x v="0"/>
    <x v="2"/>
    <s v="Jawbone JAMBOX Wireless Bluetooth Speaker"/>
    <n v="631.96"/>
    <n v="4"/>
    <n v="303.33999999999997"/>
  </r>
  <r>
    <d v="2015-10-09T00:00:00"/>
    <x v="1"/>
    <x v="7"/>
    <x v="229"/>
    <x v="2"/>
    <x v="2"/>
    <x v="3"/>
    <s v="Xerox 1895"/>
    <n v="23.92"/>
    <n v="4"/>
    <n v="10.76"/>
  </r>
  <r>
    <d v="2015-10-09T00:00:00"/>
    <x v="1"/>
    <x v="7"/>
    <x v="239"/>
    <x v="10"/>
    <x v="0"/>
    <x v="0"/>
    <s v="Logitech G19 Programmable Gaming Keyboard"/>
    <n v="619.95000000000005"/>
    <n v="5"/>
    <n v="111.59"/>
  </r>
  <r>
    <d v="2015-10-09T00:00:00"/>
    <x v="1"/>
    <x v="7"/>
    <x v="239"/>
    <x v="10"/>
    <x v="0"/>
    <x v="2"/>
    <s v="KLD Oscar II Style Snap-on Ultra Thin Side Flip Synthetic Leather Cover Case for HTC One HTC M7"/>
    <n v="29.16"/>
    <n v="3"/>
    <n v="8.4600000000000009"/>
  </r>
  <r>
    <d v="2015-10-09T00:00:00"/>
    <x v="1"/>
    <x v="7"/>
    <x v="239"/>
    <x v="10"/>
    <x v="2"/>
    <x v="13"/>
    <s v="Staple envelope"/>
    <n v="57.96"/>
    <n v="7"/>
    <n v="27.24"/>
  </r>
  <r>
    <d v="2015-10-09T00:00:00"/>
    <x v="1"/>
    <x v="7"/>
    <x v="239"/>
    <x v="10"/>
    <x v="2"/>
    <x v="10"/>
    <s v="Belkin 6 Outlet Metallic Surge Strip"/>
    <n v="29.4"/>
    <n v="3"/>
    <n v="5.23"/>
  </r>
  <r>
    <d v="2015-10-09T00:00:00"/>
    <x v="1"/>
    <x v="7"/>
    <x v="469"/>
    <x v="11"/>
    <x v="2"/>
    <x v="9"/>
    <s v="Zipper Ring Binder Pockets"/>
    <n v="1.87"/>
    <n v="2"/>
    <n v="-1.31"/>
  </r>
  <r>
    <d v="2015-10-09T00:00:00"/>
    <x v="1"/>
    <x v="7"/>
    <x v="469"/>
    <x v="11"/>
    <x v="2"/>
    <x v="9"/>
    <s v="Clear Mylar Reinforcing Strips"/>
    <n v="11.21"/>
    <n v="2"/>
    <n v="-8.6"/>
  </r>
  <r>
    <d v="2015-10-09T00:00:00"/>
    <x v="1"/>
    <x v="7"/>
    <x v="469"/>
    <x v="11"/>
    <x v="2"/>
    <x v="11"/>
    <s v="Avery Hi-Liter Smear-Safe Highlighters"/>
    <n v="37.380000000000003"/>
    <n v="8"/>
    <n v="7.48"/>
  </r>
  <r>
    <d v="2015-10-09T00:00:00"/>
    <x v="1"/>
    <x v="7"/>
    <x v="470"/>
    <x v="10"/>
    <x v="1"/>
    <x v="1"/>
    <s v="High-Back Leather Manager's Chair"/>
    <n v="389.97"/>
    <n v="3"/>
    <n v="35.1"/>
  </r>
  <r>
    <d v="2015-10-09T00:00:00"/>
    <x v="1"/>
    <x v="7"/>
    <x v="470"/>
    <x v="10"/>
    <x v="2"/>
    <x v="10"/>
    <s v="Belkin 8 Outlet SurgeMaster II Gold Surge Protector"/>
    <n v="269.91000000000003"/>
    <n v="5"/>
    <n v="53.98"/>
  </r>
  <r>
    <d v="2015-11-09T00:00:00"/>
    <x v="1"/>
    <x v="8"/>
    <x v="471"/>
    <x v="13"/>
    <x v="2"/>
    <x v="3"/>
    <s v="While You Were Out Pads, 50 per Pad, 4 x 5 1/4, Green Cycle"/>
    <n v="11.35"/>
    <n v="3"/>
    <n v="4.12"/>
  </r>
  <r>
    <d v="2015-11-09T00:00:00"/>
    <x v="1"/>
    <x v="8"/>
    <x v="472"/>
    <x v="22"/>
    <x v="2"/>
    <x v="9"/>
    <s v="Binder Posts"/>
    <n v="17.22"/>
    <n v="3"/>
    <n v="7.92"/>
  </r>
  <r>
    <d v="2015-11-09T00:00:00"/>
    <x v="1"/>
    <x v="8"/>
    <x v="472"/>
    <x v="22"/>
    <x v="1"/>
    <x v="7"/>
    <s v="Bevis Round Conference Table Top &amp; Single Column Base"/>
    <n v="1024.3800000000001"/>
    <n v="7"/>
    <n v="215.12"/>
  </r>
  <r>
    <d v="2015-11-09T00:00:00"/>
    <x v="1"/>
    <x v="8"/>
    <x v="472"/>
    <x v="22"/>
    <x v="2"/>
    <x v="13"/>
    <s v="#10- 4 1/8&quot; x 9 1/2&quot; Recycled Envelopes"/>
    <n v="26.22"/>
    <n v="3"/>
    <n v="12.32"/>
  </r>
  <r>
    <d v="2015-11-09T00:00:00"/>
    <x v="1"/>
    <x v="8"/>
    <x v="472"/>
    <x v="22"/>
    <x v="2"/>
    <x v="3"/>
    <s v="Xerox 1978"/>
    <n v="17.34"/>
    <n v="3"/>
    <n v="8.5"/>
  </r>
  <r>
    <d v="2015-11-09T00:00:00"/>
    <x v="1"/>
    <x v="8"/>
    <x v="287"/>
    <x v="2"/>
    <x v="0"/>
    <x v="14"/>
    <s v="Zebra ZM400 Thermal Label Printer"/>
    <n v="2321.9"/>
    <n v="2"/>
    <n v="1114.51"/>
  </r>
  <r>
    <d v="2015-11-09T00:00:00"/>
    <x v="1"/>
    <x v="8"/>
    <x v="287"/>
    <x v="2"/>
    <x v="2"/>
    <x v="6"/>
    <s v="Perma STOR-ALL Hanging File Box, 13 1/8&quot;W x 12 1/4&quot;D x 10 1/2&quot;H"/>
    <n v="17.940000000000001"/>
    <n v="3"/>
    <n v="3.05"/>
  </r>
  <r>
    <d v="2015-11-09T00:00:00"/>
    <x v="1"/>
    <x v="8"/>
    <x v="473"/>
    <x v="2"/>
    <x v="2"/>
    <x v="6"/>
    <s v="Tennsco Industrial Shelving"/>
    <n v="244.55"/>
    <n v="5"/>
    <n v="4.8899999999999997"/>
  </r>
  <r>
    <d v="2015-11-09T00:00:00"/>
    <x v="1"/>
    <x v="8"/>
    <x v="473"/>
    <x v="2"/>
    <x v="2"/>
    <x v="13"/>
    <s v="Poly String Tie Envelopes"/>
    <n v="12.24"/>
    <n v="6"/>
    <n v="5.75"/>
  </r>
  <r>
    <d v="2015-11-09T00:00:00"/>
    <x v="1"/>
    <x v="8"/>
    <x v="473"/>
    <x v="2"/>
    <x v="0"/>
    <x v="0"/>
    <s v="AmazonBasics 3-Button USB Wired Mouse"/>
    <n v="13.98"/>
    <n v="2"/>
    <n v="6.01"/>
  </r>
  <r>
    <d v="2015-11-09T00:00:00"/>
    <x v="1"/>
    <x v="8"/>
    <x v="473"/>
    <x v="2"/>
    <x v="0"/>
    <x v="0"/>
    <s v="LogitechÂ VX Revolution Cordless Laser Mouse for Notebooks (Black)"/>
    <n v="899.95"/>
    <n v="5"/>
    <n v="54"/>
  </r>
  <r>
    <d v="2015-11-09T00:00:00"/>
    <x v="1"/>
    <x v="8"/>
    <x v="474"/>
    <x v="5"/>
    <x v="2"/>
    <x v="4"/>
    <s v="OIC Binder Clips, Mini, 1/4&quot; Capacity, Black"/>
    <n v="2.48"/>
    <n v="2"/>
    <n v="1.17"/>
  </r>
  <r>
    <d v="2015-11-09T00:00:00"/>
    <x v="1"/>
    <x v="8"/>
    <x v="465"/>
    <x v="33"/>
    <x v="2"/>
    <x v="9"/>
    <s v="Avery Poly Binder Pockets"/>
    <n v="10.74"/>
    <n v="3"/>
    <n v="5.16"/>
  </r>
  <r>
    <d v="2015-12-09T00:00:00"/>
    <x v="1"/>
    <x v="9"/>
    <x v="475"/>
    <x v="33"/>
    <x v="2"/>
    <x v="3"/>
    <s v="Xerox 188"/>
    <n v="34.020000000000003"/>
    <n v="3"/>
    <n v="16.670000000000002"/>
  </r>
  <r>
    <d v="2015-01-10T00:00:00"/>
    <x v="1"/>
    <x v="11"/>
    <x v="476"/>
    <x v="2"/>
    <x v="1"/>
    <x v="7"/>
    <s v="Bush Advantage Collection Racetrack Conference Table"/>
    <n v="1018.1"/>
    <n v="4"/>
    <n v="-373.3"/>
  </r>
  <r>
    <d v="2015-02-10T00:00:00"/>
    <x v="1"/>
    <x v="0"/>
    <x v="153"/>
    <x v="13"/>
    <x v="2"/>
    <x v="6"/>
    <s v="Eldon ProFile File 'N Store Portable File Tub Letter/Legal Size Black"/>
    <n v="77.239999999999995"/>
    <n v="5"/>
    <n v="7.72"/>
  </r>
  <r>
    <d v="2015-03-10T00:00:00"/>
    <x v="1"/>
    <x v="1"/>
    <x v="225"/>
    <x v="4"/>
    <x v="2"/>
    <x v="9"/>
    <s v="Acco Suede Grain Vinyl Round Ring Binder"/>
    <n v="1.1100000000000001"/>
    <n v="2"/>
    <n v="-1.89"/>
  </r>
  <r>
    <d v="2015-03-10T00:00:00"/>
    <x v="1"/>
    <x v="1"/>
    <x v="105"/>
    <x v="24"/>
    <x v="2"/>
    <x v="6"/>
    <s v="Pizazz Global Quick File"/>
    <n v="89.82"/>
    <n v="6"/>
    <n v="25.15"/>
  </r>
  <r>
    <d v="2015-04-10T00:00:00"/>
    <x v="1"/>
    <x v="2"/>
    <x v="251"/>
    <x v="5"/>
    <x v="2"/>
    <x v="9"/>
    <s v="Insertable Tab Post Binder Dividers"/>
    <n v="12.83"/>
    <n v="2"/>
    <n v="4.33"/>
  </r>
  <r>
    <d v="2015-04-10T00:00:00"/>
    <x v="1"/>
    <x v="2"/>
    <x v="477"/>
    <x v="2"/>
    <x v="2"/>
    <x v="6"/>
    <s v="Steel Personal Filing/Posting Tote"/>
    <n v="142.04"/>
    <n v="4"/>
    <n v="38.35"/>
  </r>
  <r>
    <d v="2015-04-10T00:00:00"/>
    <x v="1"/>
    <x v="2"/>
    <x v="477"/>
    <x v="2"/>
    <x v="2"/>
    <x v="11"/>
    <s v="Faber Castell Col-Erase Pencils"/>
    <n v="14.67"/>
    <n v="3"/>
    <n v="6.01"/>
  </r>
  <r>
    <d v="2015-05-10T00:00:00"/>
    <x v="1"/>
    <x v="10"/>
    <x v="135"/>
    <x v="3"/>
    <x v="2"/>
    <x v="10"/>
    <s v="Tripp Lite Isotel 8 Ultra 8 Outlet Metal Surge"/>
    <n v="70.97"/>
    <n v="5"/>
    <n v="-191.62"/>
  </r>
  <r>
    <d v="2015-05-10T00:00:00"/>
    <x v="1"/>
    <x v="10"/>
    <x v="135"/>
    <x v="3"/>
    <x v="2"/>
    <x v="11"/>
    <s v="Boston KS Multi-Size Manual Pencil Sharpener"/>
    <n v="36.78"/>
    <n v="2"/>
    <n v="3.68"/>
  </r>
  <r>
    <d v="2015-05-10T00:00:00"/>
    <x v="1"/>
    <x v="10"/>
    <x v="478"/>
    <x v="15"/>
    <x v="0"/>
    <x v="0"/>
    <s v="Belkin Standard 104 key USB Keyboard"/>
    <n v="46.69"/>
    <n v="4"/>
    <n v="-2.92"/>
  </r>
  <r>
    <d v="2015-07-10T00:00:00"/>
    <x v="1"/>
    <x v="4"/>
    <x v="47"/>
    <x v="23"/>
    <x v="2"/>
    <x v="9"/>
    <s v="Accohide Poly Flexible Ring Binders"/>
    <n v="3.37"/>
    <n v="3"/>
    <n v="-2.2400000000000002"/>
  </r>
  <r>
    <d v="2015-07-10T00:00:00"/>
    <x v="1"/>
    <x v="4"/>
    <x v="395"/>
    <x v="5"/>
    <x v="2"/>
    <x v="9"/>
    <s v="Large Capacity Hanging Post Binders"/>
    <n v="39.92"/>
    <n v="2"/>
    <n v="12.97"/>
  </r>
  <r>
    <d v="2015-08-10T00:00:00"/>
    <x v="1"/>
    <x v="5"/>
    <x v="60"/>
    <x v="7"/>
    <x v="2"/>
    <x v="8"/>
    <s v="Avery 480"/>
    <n v="3.75"/>
    <n v="1"/>
    <n v="1.8"/>
  </r>
  <r>
    <d v="2015-08-10T00:00:00"/>
    <x v="1"/>
    <x v="5"/>
    <x v="60"/>
    <x v="7"/>
    <x v="2"/>
    <x v="8"/>
    <s v="Avery 489"/>
    <n v="41.4"/>
    <n v="4"/>
    <n v="19.87"/>
  </r>
  <r>
    <d v="2015-08-10T00:00:00"/>
    <x v="1"/>
    <x v="5"/>
    <x v="60"/>
    <x v="7"/>
    <x v="2"/>
    <x v="11"/>
    <s v="Peel-Off China Markers"/>
    <n v="29.79"/>
    <n v="3"/>
    <n v="12.51"/>
  </r>
  <r>
    <d v="2015-08-10T00:00:00"/>
    <x v="1"/>
    <x v="5"/>
    <x v="119"/>
    <x v="16"/>
    <x v="0"/>
    <x v="2"/>
    <s v="AT&amp;T 1080 Corded phone"/>
    <n v="438.37"/>
    <n v="4"/>
    <n v="38.36"/>
  </r>
  <r>
    <d v="2015-08-10T00:00:00"/>
    <x v="1"/>
    <x v="5"/>
    <x v="119"/>
    <x v="16"/>
    <x v="0"/>
    <x v="2"/>
    <s v="OtterBox Commuter Series Case - Samsung Galaxy S4"/>
    <n v="139.94"/>
    <n v="7"/>
    <n v="-31.49"/>
  </r>
  <r>
    <d v="2015-08-10T00:00:00"/>
    <x v="1"/>
    <x v="5"/>
    <x v="119"/>
    <x v="16"/>
    <x v="2"/>
    <x v="10"/>
    <s v="Fellowes 8 Outlet Superior Workstation Surge Protector"/>
    <n v="133.47"/>
    <n v="4"/>
    <n v="15.02"/>
  </r>
  <r>
    <d v="2015-08-10T00:00:00"/>
    <x v="1"/>
    <x v="5"/>
    <x v="479"/>
    <x v="10"/>
    <x v="2"/>
    <x v="9"/>
    <s v="GBC Binding covers"/>
    <n v="64.75"/>
    <n v="5"/>
    <n v="29.14"/>
  </r>
  <r>
    <d v="2015-09-10T00:00:00"/>
    <x v="1"/>
    <x v="6"/>
    <x v="437"/>
    <x v="5"/>
    <x v="2"/>
    <x v="15"/>
    <s v="Martin-Yale Premier Letter Opener"/>
    <n v="51.52"/>
    <n v="4"/>
    <n v="1.55"/>
  </r>
  <r>
    <d v="2015-09-10T00:00:00"/>
    <x v="1"/>
    <x v="6"/>
    <x v="124"/>
    <x v="28"/>
    <x v="2"/>
    <x v="3"/>
    <s v="Xerox 1952"/>
    <n v="14.94"/>
    <n v="3"/>
    <n v="7.02"/>
  </r>
  <r>
    <d v="2015-09-10T00:00:00"/>
    <x v="1"/>
    <x v="6"/>
    <x v="297"/>
    <x v="6"/>
    <x v="2"/>
    <x v="10"/>
    <s v="Euro-Pro Shark Turbo Vacuum"/>
    <n v="61.96"/>
    <n v="2"/>
    <n v="16.11"/>
  </r>
  <r>
    <d v="2015-09-10T00:00:00"/>
    <x v="1"/>
    <x v="6"/>
    <x v="297"/>
    <x v="6"/>
    <x v="1"/>
    <x v="16"/>
    <s v="O'Sullivan 2-Door Barrister Bookcase in Odessa Pine"/>
    <n v="361.96"/>
    <n v="2"/>
    <n v="83.25"/>
  </r>
  <r>
    <d v="2015-09-10T00:00:00"/>
    <x v="1"/>
    <x v="6"/>
    <x v="297"/>
    <x v="6"/>
    <x v="2"/>
    <x v="3"/>
    <s v="Xerox 1960"/>
    <n v="278.82"/>
    <n v="9"/>
    <n v="125.47"/>
  </r>
  <r>
    <d v="2015-09-10T00:00:00"/>
    <x v="1"/>
    <x v="6"/>
    <x v="66"/>
    <x v="1"/>
    <x v="2"/>
    <x v="6"/>
    <s v="Belkin 19&quot; Center-Weighted Shelf, Gray"/>
    <n v="353.88"/>
    <n v="6"/>
    <n v="17.690000000000001"/>
  </r>
  <r>
    <d v="2015-09-10T00:00:00"/>
    <x v="1"/>
    <x v="6"/>
    <x v="480"/>
    <x v="2"/>
    <x v="2"/>
    <x v="11"/>
    <s v="Manco Dry-Lighter Erasable Highlighter"/>
    <n v="6.08"/>
    <n v="2"/>
    <n v="2.0699999999999998"/>
  </r>
  <r>
    <d v="2015-09-10T00:00:00"/>
    <x v="1"/>
    <x v="6"/>
    <x v="346"/>
    <x v="5"/>
    <x v="1"/>
    <x v="5"/>
    <s v="Seth Thomas 13 1/2&quot; Wall Clock"/>
    <n v="106.68"/>
    <n v="6"/>
    <n v="33.07"/>
  </r>
  <r>
    <d v="2015-09-10T00:00:00"/>
    <x v="1"/>
    <x v="6"/>
    <x v="481"/>
    <x v="4"/>
    <x v="1"/>
    <x v="1"/>
    <s v="Global Commerce Series Low-Back Swivel/Tilt Chairs"/>
    <n v="179.89"/>
    <n v="1"/>
    <n v="-2.57"/>
  </r>
  <r>
    <d v="2015-10-10T00:00:00"/>
    <x v="1"/>
    <x v="7"/>
    <x v="231"/>
    <x v="5"/>
    <x v="2"/>
    <x v="3"/>
    <s v="Xerox 1894"/>
    <n v="45.36"/>
    <n v="7"/>
    <n v="21.77"/>
  </r>
  <r>
    <d v="2015-10-10T00:00:00"/>
    <x v="1"/>
    <x v="7"/>
    <x v="341"/>
    <x v="11"/>
    <x v="2"/>
    <x v="6"/>
    <s v="Tennsco Single-Tier Lockers"/>
    <n v="1801.63"/>
    <n v="6"/>
    <n v="-337.81"/>
  </r>
  <r>
    <d v="2015-10-10T00:00:00"/>
    <x v="1"/>
    <x v="7"/>
    <x v="63"/>
    <x v="3"/>
    <x v="2"/>
    <x v="11"/>
    <s v="Avery Fluorescent Highlighter Four-Color Set"/>
    <n v="8.02"/>
    <n v="3"/>
    <n v="1"/>
  </r>
  <r>
    <d v="2015-10-10T00:00:00"/>
    <x v="1"/>
    <x v="7"/>
    <x v="65"/>
    <x v="5"/>
    <x v="1"/>
    <x v="1"/>
    <s v="Global Leather &amp; Oak Executive Chair, Burgundy"/>
    <n v="362.14"/>
    <n v="3"/>
    <n v="-54.32"/>
  </r>
  <r>
    <d v="2015-10-10T00:00:00"/>
    <x v="1"/>
    <x v="7"/>
    <x v="65"/>
    <x v="5"/>
    <x v="2"/>
    <x v="8"/>
    <s v="Avery 503"/>
    <n v="31.05"/>
    <n v="3"/>
    <n v="14.9"/>
  </r>
  <r>
    <d v="2015-11-10T00:00:00"/>
    <x v="1"/>
    <x v="8"/>
    <x v="444"/>
    <x v="5"/>
    <x v="0"/>
    <x v="0"/>
    <s v="Microsoft Sculpt Comfort Mouse"/>
    <n v="79.900000000000006"/>
    <n v="2"/>
    <n v="35.159999999999997"/>
  </r>
  <r>
    <d v="2015-11-10T00:00:00"/>
    <x v="1"/>
    <x v="8"/>
    <x v="482"/>
    <x v="33"/>
    <x v="2"/>
    <x v="6"/>
    <s v="Letter Size Cart"/>
    <n v="714.3"/>
    <n v="5"/>
    <n v="207.15"/>
  </r>
  <r>
    <d v="2015-11-10T00:00:00"/>
    <x v="1"/>
    <x v="8"/>
    <x v="483"/>
    <x v="7"/>
    <x v="2"/>
    <x v="10"/>
    <s v="Hoover Shoulder Vac Commercial Portable Vacuum"/>
    <n v="715.64"/>
    <n v="2"/>
    <n v="178.91"/>
  </r>
  <r>
    <d v="2015-11-10T00:00:00"/>
    <x v="1"/>
    <x v="8"/>
    <x v="483"/>
    <x v="7"/>
    <x v="2"/>
    <x v="6"/>
    <s v="Tennsco 6- and 18-Compartment Lockers"/>
    <n v="795.51"/>
    <n v="3"/>
    <n v="143.19"/>
  </r>
  <r>
    <d v="2015-11-10T00:00:00"/>
    <x v="1"/>
    <x v="8"/>
    <x v="483"/>
    <x v="7"/>
    <x v="0"/>
    <x v="12"/>
    <s v="Sharp 1540cs Digital Laser Copier"/>
    <n v="549.99"/>
    <n v="1"/>
    <n v="275"/>
  </r>
  <r>
    <d v="2015-11-10T00:00:00"/>
    <x v="1"/>
    <x v="8"/>
    <x v="483"/>
    <x v="7"/>
    <x v="2"/>
    <x v="9"/>
    <s v="GBC Standard Therm-A-Bind Covers"/>
    <n v="74.760000000000005"/>
    <n v="3"/>
    <n v="34.39"/>
  </r>
  <r>
    <d v="2015-11-10T00:00:00"/>
    <x v="1"/>
    <x v="8"/>
    <x v="483"/>
    <x v="7"/>
    <x v="1"/>
    <x v="5"/>
    <s v="Staple-based wall hangings"/>
    <n v="29.22"/>
    <n v="3"/>
    <n v="12.86"/>
  </r>
  <r>
    <d v="2015-11-10T00:00:00"/>
    <x v="1"/>
    <x v="8"/>
    <x v="41"/>
    <x v="13"/>
    <x v="2"/>
    <x v="6"/>
    <s v="Iceberg Mobile Mega Data/Printer Cart"/>
    <n v="577.58000000000004"/>
    <n v="6"/>
    <n v="43.32"/>
  </r>
  <r>
    <d v="2015-12-10T00:00:00"/>
    <x v="1"/>
    <x v="9"/>
    <x v="333"/>
    <x v="10"/>
    <x v="2"/>
    <x v="11"/>
    <s v="Avery Hi-Liter Comfort Grip Fluorescent Highlighter, Yellow Ink"/>
    <n v="3.9"/>
    <n v="2"/>
    <n v="1.52"/>
  </r>
  <r>
    <d v="2015-12-10T00:00:00"/>
    <x v="1"/>
    <x v="9"/>
    <x v="333"/>
    <x v="10"/>
    <x v="1"/>
    <x v="7"/>
    <s v="Bretford CR8500 Series Meeting Room Furniture"/>
    <n v="801.96"/>
    <n v="2"/>
    <n v="200.49"/>
  </r>
  <r>
    <d v="2015-12-10T00:00:00"/>
    <x v="1"/>
    <x v="9"/>
    <x v="333"/>
    <x v="10"/>
    <x v="1"/>
    <x v="1"/>
    <s v="Global Super Steno Chair"/>
    <n v="191.96"/>
    <n v="2"/>
    <n v="32.630000000000003"/>
  </r>
  <r>
    <d v="2015-12-10T00:00:00"/>
    <x v="1"/>
    <x v="9"/>
    <x v="333"/>
    <x v="10"/>
    <x v="2"/>
    <x v="8"/>
    <s v="Permanent Self-Adhesive File Folder Labels for Typewriters by Universal"/>
    <n v="2.61"/>
    <n v="1"/>
    <n v="1.2"/>
  </r>
  <r>
    <d v="2015-12-10T00:00:00"/>
    <x v="1"/>
    <x v="9"/>
    <x v="484"/>
    <x v="19"/>
    <x v="2"/>
    <x v="11"/>
    <s v="Staples in misc. colors"/>
    <n v="1.78"/>
    <n v="1"/>
    <n v="0.5"/>
  </r>
  <r>
    <d v="2015-12-10T00:00:00"/>
    <x v="1"/>
    <x v="9"/>
    <x v="484"/>
    <x v="19"/>
    <x v="2"/>
    <x v="3"/>
    <s v="Xerox 201"/>
    <n v="25.92"/>
    <n v="4"/>
    <n v="12.44"/>
  </r>
  <r>
    <d v="2015-12-10T00:00:00"/>
    <x v="1"/>
    <x v="9"/>
    <x v="484"/>
    <x v="19"/>
    <x v="0"/>
    <x v="0"/>
    <s v="Memorex 25GB 6X Branded Blu-Ray Recordable Disc, 15/Pack"/>
    <n v="101.94"/>
    <n v="6"/>
    <n v="21.41"/>
  </r>
  <r>
    <d v="2015-12-10T00:00:00"/>
    <x v="1"/>
    <x v="9"/>
    <x v="215"/>
    <x v="2"/>
    <x v="2"/>
    <x v="8"/>
    <s v="Avery 486"/>
    <n v="7.31"/>
    <n v="1"/>
    <n v="3.44"/>
  </r>
  <r>
    <d v="2015-12-10T00:00:00"/>
    <x v="1"/>
    <x v="9"/>
    <x v="215"/>
    <x v="2"/>
    <x v="0"/>
    <x v="12"/>
    <s v="Hewlett Packard 610 Color Digital Copier / Printer"/>
    <n v="799.98"/>
    <n v="2"/>
    <n v="250"/>
  </r>
  <r>
    <d v="2015-12-10T00:00:00"/>
    <x v="1"/>
    <x v="9"/>
    <x v="215"/>
    <x v="2"/>
    <x v="2"/>
    <x v="3"/>
    <s v="Adams Phone Message Book, 200 Message Capacity, 8 1/16Â” x 11Â”"/>
    <n v="41.28"/>
    <n v="6"/>
    <n v="18.989999999999998"/>
  </r>
  <r>
    <d v="2015-12-10T00:00:00"/>
    <x v="1"/>
    <x v="9"/>
    <x v="215"/>
    <x v="2"/>
    <x v="2"/>
    <x v="3"/>
    <s v="Xerox 1883"/>
    <n v="184.66"/>
    <n v="7"/>
    <n v="84.94"/>
  </r>
  <r>
    <d v="2015-12-10T00:00:00"/>
    <x v="1"/>
    <x v="9"/>
    <x v="415"/>
    <x v="24"/>
    <x v="2"/>
    <x v="11"/>
    <s v="Manco Dry-Lighter Erasable Highlighter"/>
    <n v="27.36"/>
    <n v="9"/>
    <n v="9.3000000000000007"/>
  </r>
  <r>
    <d v="2015-12-10T00:00:00"/>
    <x v="1"/>
    <x v="9"/>
    <x v="415"/>
    <x v="24"/>
    <x v="2"/>
    <x v="3"/>
    <s v="Recycled Desk Saver Line &quot;While You Were Out&quot; Book, 5 1/2&quot; X 4&quot;"/>
    <n v="44.75"/>
    <n v="5"/>
    <n v="20.59"/>
  </r>
  <r>
    <d v="2015-12-10T00:00:00"/>
    <x v="1"/>
    <x v="9"/>
    <x v="415"/>
    <x v="24"/>
    <x v="0"/>
    <x v="2"/>
    <s v="Cisco 8x8 Inc. 6753i IP Business Phone System"/>
    <n v="134.99"/>
    <n v="1"/>
    <n v="36.450000000000003"/>
  </r>
  <r>
    <d v="2015-12-10T00:00:00"/>
    <x v="1"/>
    <x v="9"/>
    <x v="415"/>
    <x v="24"/>
    <x v="2"/>
    <x v="3"/>
    <s v="Astroparche Fine Business Paper"/>
    <n v="26.4"/>
    <n v="5"/>
    <n v="12.67"/>
  </r>
  <r>
    <d v="2015-12-10T00:00:00"/>
    <x v="1"/>
    <x v="9"/>
    <x v="415"/>
    <x v="24"/>
    <x v="1"/>
    <x v="1"/>
    <s v="Global Ergonomic Managers Chair"/>
    <n v="542.94000000000005"/>
    <n v="3"/>
    <n v="141.16"/>
  </r>
  <r>
    <d v="2015-12-10T00:00:00"/>
    <x v="1"/>
    <x v="9"/>
    <x v="485"/>
    <x v="5"/>
    <x v="2"/>
    <x v="11"/>
    <s v="Boston Electric Pencil Sharpener, Model 1818, Charcoal Black"/>
    <n v="56.3"/>
    <n v="2"/>
    <n v="15.76"/>
  </r>
  <r>
    <d v="2015-12-10T00:00:00"/>
    <x v="1"/>
    <x v="9"/>
    <x v="486"/>
    <x v="3"/>
    <x v="2"/>
    <x v="10"/>
    <s v="3M Replacement Filter for Office Air Cleaner for 20' x 33' Room"/>
    <n v="53.09"/>
    <n v="7"/>
    <n v="-108.83"/>
  </r>
  <r>
    <d v="2015-12-10T00:00:00"/>
    <x v="1"/>
    <x v="9"/>
    <x v="421"/>
    <x v="5"/>
    <x v="2"/>
    <x v="8"/>
    <s v="Avery File Folder Labels"/>
    <n v="5.76"/>
    <n v="2"/>
    <n v="2.82"/>
  </r>
  <r>
    <d v="2015-12-10T00:00:00"/>
    <x v="1"/>
    <x v="9"/>
    <x v="487"/>
    <x v="18"/>
    <x v="0"/>
    <x v="0"/>
    <s v="Maxell 4.7GB DVD-RW 3/Pack"/>
    <n v="25.49"/>
    <n v="2"/>
    <n v="4.46"/>
  </r>
  <r>
    <d v="2015-04-11T00:00:00"/>
    <x v="1"/>
    <x v="2"/>
    <x v="272"/>
    <x v="2"/>
    <x v="0"/>
    <x v="0"/>
    <s v="Maxell 4.7GB DVD-R"/>
    <n v="85.14"/>
    <n v="3"/>
    <n v="34.909999999999997"/>
  </r>
  <r>
    <d v="2015-04-11T00:00:00"/>
    <x v="1"/>
    <x v="2"/>
    <x v="272"/>
    <x v="2"/>
    <x v="0"/>
    <x v="2"/>
    <s v="OtterBox Commuter Series Case - iPhone 5 &amp; 5s"/>
    <n v="21.99"/>
    <n v="1"/>
    <n v="10.56"/>
  </r>
  <r>
    <d v="2015-04-11T00:00:00"/>
    <x v="1"/>
    <x v="2"/>
    <x v="272"/>
    <x v="2"/>
    <x v="2"/>
    <x v="10"/>
    <s v="Kensington 4 Outlet MasterPiece Compact Power Control Center"/>
    <n v="406.6"/>
    <n v="5"/>
    <n v="113.85"/>
  </r>
  <r>
    <d v="2015-04-11T00:00:00"/>
    <x v="1"/>
    <x v="2"/>
    <x v="143"/>
    <x v="11"/>
    <x v="1"/>
    <x v="5"/>
    <s v="Executive Impressions Supervisor Wall Clock"/>
    <n v="67.36"/>
    <n v="2"/>
    <n v="10.1"/>
  </r>
  <r>
    <d v="2015-04-11T00:00:00"/>
    <x v="1"/>
    <x v="2"/>
    <x v="143"/>
    <x v="11"/>
    <x v="1"/>
    <x v="5"/>
    <s v="Executive Impressions 14&quot; Two-Color Numerals Wall Clock"/>
    <n v="54.53"/>
    <n v="3"/>
    <n v="14.31"/>
  </r>
  <r>
    <d v="2015-04-11T00:00:00"/>
    <x v="1"/>
    <x v="2"/>
    <x v="488"/>
    <x v="5"/>
    <x v="0"/>
    <x v="12"/>
    <s v="Canon PC-428 Personal Copier"/>
    <n v="639.97"/>
    <n v="4"/>
    <n v="215.99"/>
  </r>
  <r>
    <d v="2015-04-11T00:00:00"/>
    <x v="1"/>
    <x v="2"/>
    <x v="488"/>
    <x v="5"/>
    <x v="2"/>
    <x v="3"/>
    <s v="Easy-staple paper"/>
    <n v="52.76"/>
    <n v="2"/>
    <n v="24.27"/>
  </r>
  <r>
    <d v="2015-05-11T00:00:00"/>
    <x v="1"/>
    <x v="10"/>
    <x v="489"/>
    <x v="23"/>
    <x v="1"/>
    <x v="1"/>
    <s v="Global Chrome Stack Chair"/>
    <n v="191.97"/>
    <n v="7"/>
    <n v="16.8"/>
  </r>
  <r>
    <d v="2015-06-11T00:00:00"/>
    <x v="1"/>
    <x v="3"/>
    <x v="490"/>
    <x v="30"/>
    <x v="0"/>
    <x v="0"/>
    <s v="Kingston Digital DataTraveler 16GB USB 2.0"/>
    <n v="53.7"/>
    <n v="6"/>
    <n v="10.199999999999999"/>
  </r>
  <r>
    <d v="2015-06-11T00:00:00"/>
    <x v="1"/>
    <x v="3"/>
    <x v="490"/>
    <x v="30"/>
    <x v="2"/>
    <x v="9"/>
    <s v="SlimView Poly Binder, 3/8&quot;"/>
    <n v="36.26"/>
    <n v="7"/>
    <n v="16.68"/>
  </r>
  <r>
    <d v="2015-06-11T00:00:00"/>
    <x v="1"/>
    <x v="3"/>
    <x v="490"/>
    <x v="30"/>
    <x v="2"/>
    <x v="11"/>
    <s v="Boston Electric Pencil Sharpener, Model 1818, Charcoal Black"/>
    <n v="56.3"/>
    <n v="2"/>
    <n v="15.76"/>
  </r>
  <r>
    <d v="2015-06-11T00:00:00"/>
    <x v="1"/>
    <x v="3"/>
    <x v="490"/>
    <x v="30"/>
    <x v="2"/>
    <x v="3"/>
    <s v="Xerox 222"/>
    <n v="32.4"/>
    <n v="5"/>
    <n v="15.55"/>
  </r>
  <r>
    <d v="2015-06-11T00:00:00"/>
    <x v="1"/>
    <x v="3"/>
    <x v="490"/>
    <x v="30"/>
    <x v="1"/>
    <x v="5"/>
    <s v="DAX Clear Channel Poster Frame"/>
    <n v="29.16"/>
    <n v="2"/>
    <n v="10.79"/>
  </r>
  <r>
    <d v="2015-06-11T00:00:00"/>
    <x v="1"/>
    <x v="3"/>
    <x v="491"/>
    <x v="11"/>
    <x v="1"/>
    <x v="1"/>
    <s v="Hon 2090 Â“Pillow SoftÂ” Series Mid Back Swivel/Tilt Chairs"/>
    <n v="1123.92"/>
    <n v="5"/>
    <n v="-182.64"/>
  </r>
  <r>
    <d v="2015-06-11T00:00:00"/>
    <x v="1"/>
    <x v="3"/>
    <x v="491"/>
    <x v="11"/>
    <x v="0"/>
    <x v="2"/>
    <s v="Cisco SPA301"/>
    <n v="249.58"/>
    <n v="2"/>
    <n v="31.2"/>
  </r>
  <r>
    <d v="2015-06-11T00:00:00"/>
    <x v="1"/>
    <x v="3"/>
    <x v="491"/>
    <x v="11"/>
    <x v="1"/>
    <x v="5"/>
    <s v="Seth Thomas 8 1/2&quot; Cubicle Clock"/>
    <n v="48.67"/>
    <n v="3"/>
    <n v="7.3"/>
  </r>
  <r>
    <d v="2015-06-11T00:00:00"/>
    <x v="1"/>
    <x v="3"/>
    <x v="491"/>
    <x v="11"/>
    <x v="2"/>
    <x v="11"/>
    <s v="Hunt PowerHouse Electric Pencil Sharpener, Blue"/>
    <n v="60.77"/>
    <n v="2"/>
    <n v="7.6"/>
  </r>
  <r>
    <d v="2015-06-11T00:00:00"/>
    <x v="1"/>
    <x v="3"/>
    <x v="491"/>
    <x v="11"/>
    <x v="2"/>
    <x v="9"/>
    <s v="Ibico Laser Imprintable Binding System Covers"/>
    <n v="78.599999999999994"/>
    <n v="5"/>
    <n v="-62.88"/>
  </r>
  <r>
    <d v="2015-06-11T00:00:00"/>
    <x v="1"/>
    <x v="3"/>
    <x v="491"/>
    <x v="11"/>
    <x v="2"/>
    <x v="9"/>
    <s v="GBC Standard Plastic Binding Systems' Combs"/>
    <n v="3.77"/>
    <n v="2"/>
    <n v="-3.14"/>
  </r>
  <r>
    <d v="2015-06-11T00:00:00"/>
    <x v="1"/>
    <x v="3"/>
    <x v="491"/>
    <x v="11"/>
    <x v="2"/>
    <x v="6"/>
    <s v="Tennsco 16-Compartment Lockers with Coat Rack"/>
    <n v="1036.6199999999999"/>
    <n v="2"/>
    <n v="51.83"/>
  </r>
  <r>
    <d v="2015-06-11T00:00:00"/>
    <x v="1"/>
    <x v="3"/>
    <x v="491"/>
    <x v="11"/>
    <x v="2"/>
    <x v="6"/>
    <s v="Fellowes High-Stak Drawer Files"/>
    <n v="563.80999999999995"/>
    <n v="4"/>
    <n v="21.14"/>
  </r>
  <r>
    <d v="2015-07-11T00:00:00"/>
    <x v="1"/>
    <x v="4"/>
    <x v="492"/>
    <x v="13"/>
    <x v="1"/>
    <x v="5"/>
    <s v="Howard Miller 13-3/4&quot; Diameter Brushed Chrome Round Wall Clock"/>
    <n v="289.8"/>
    <n v="7"/>
    <n v="36.229999999999997"/>
  </r>
  <r>
    <d v="2015-07-11T00:00:00"/>
    <x v="1"/>
    <x v="4"/>
    <x v="492"/>
    <x v="13"/>
    <x v="2"/>
    <x v="9"/>
    <s v="Acco Suede Grain Vinyl Round Ring Binder"/>
    <n v="2.5"/>
    <n v="3"/>
    <n v="-2"/>
  </r>
  <r>
    <d v="2015-07-11T00:00:00"/>
    <x v="1"/>
    <x v="4"/>
    <x v="492"/>
    <x v="13"/>
    <x v="2"/>
    <x v="9"/>
    <s v="3M Organizer Strips"/>
    <n v="6.48"/>
    <n v="4"/>
    <n v="-4.75"/>
  </r>
  <r>
    <d v="2015-07-11T00:00:00"/>
    <x v="1"/>
    <x v="4"/>
    <x v="492"/>
    <x v="13"/>
    <x v="1"/>
    <x v="1"/>
    <s v="Novimex Fabric Task Chair"/>
    <n v="341.49"/>
    <n v="8"/>
    <n v="-73.180000000000007"/>
  </r>
  <r>
    <d v="2015-07-11T00:00:00"/>
    <x v="1"/>
    <x v="4"/>
    <x v="492"/>
    <x v="13"/>
    <x v="2"/>
    <x v="11"/>
    <s v="Newell 333"/>
    <n v="11.12"/>
    <n v="5"/>
    <n v="0.83"/>
  </r>
  <r>
    <d v="2015-07-11T00:00:00"/>
    <x v="1"/>
    <x v="4"/>
    <x v="492"/>
    <x v="13"/>
    <x v="1"/>
    <x v="5"/>
    <s v="Master Big Foot Doorstop, Beige"/>
    <n v="25.34"/>
    <n v="6"/>
    <n v="3.48"/>
  </r>
  <r>
    <d v="2015-07-11T00:00:00"/>
    <x v="1"/>
    <x v="4"/>
    <x v="4"/>
    <x v="1"/>
    <x v="2"/>
    <x v="3"/>
    <s v="Xerox 1896"/>
    <n v="29.97"/>
    <n v="3"/>
    <n v="13.49"/>
  </r>
  <r>
    <d v="2015-07-11T00:00:00"/>
    <x v="1"/>
    <x v="4"/>
    <x v="4"/>
    <x v="1"/>
    <x v="2"/>
    <x v="9"/>
    <s v="Wilson Jones Ledger-Size, Piano-Hinge Binder, 2&quot;, Blue"/>
    <n v="98.35"/>
    <n v="3"/>
    <n v="34.42"/>
  </r>
  <r>
    <d v="2015-07-11T00:00:00"/>
    <x v="1"/>
    <x v="4"/>
    <x v="493"/>
    <x v="37"/>
    <x v="1"/>
    <x v="7"/>
    <s v="Lesro Sheffield Collection Coffee Table, End Table, Center Table, Corner Table"/>
    <n v="199.84"/>
    <n v="4"/>
    <n v="-37.11"/>
  </r>
  <r>
    <d v="2015-07-11T00:00:00"/>
    <x v="1"/>
    <x v="4"/>
    <x v="493"/>
    <x v="37"/>
    <x v="0"/>
    <x v="2"/>
    <s v="Wilson Electronics DB Pro Signal Booster"/>
    <n v="716"/>
    <n v="2"/>
    <n v="193.32"/>
  </r>
  <r>
    <d v="2015-07-11T00:00:00"/>
    <x v="1"/>
    <x v="4"/>
    <x v="493"/>
    <x v="37"/>
    <x v="2"/>
    <x v="9"/>
    <s v="Tuf-Vin Binders"/>
    <n v="221.06"/>
    <n v="7"/>
    <n v="103.9"/>
  </r>
  <r>
    <d v="2015-08-11T00:00:00"/>
    <x v="1"/>
    <x v="5"/>
    <x v="494"/>
    <x v="12"/>
    <x v="1"/>
    <x v="5"/>
    <s v="Executive Impressions 13&quot; Clairmont Wall Clock"/>
    <n v="46.15"/>
    <n v="3"/>
    <n v="12.11"/>
  </r>
  <r>
    <d v="2015-08-11T00:00:00"/>
    <x v="1"/>
    <x v="5"/>
    <x v="483"/>
    <x v="2"/>
    <x v="2"/>
    <x v="11"/>
    <s v="Newell 330"/>
    <n v="11.96"/>
    <n v="2"/>
    <n v="3.11"/>
  </r>
  <r>
    <d v="2015-08-11T00:00:00"/>
    <x v="1"/>
    <x v="5"/>
    <x v="483"/>
    <x v="2"/>
    <x v="0"/>
    <x v="2"/>
    <s v="AT&amp;T 841000 Phone"/>
    <n v="138"/>
    <n v="2"/>
    <n v="34.5"/>
  </r>
  <r>
    <d v="2015-09-11T00:00:00"/>
    <x v="1"/>
    <x v="6"/>
    <x v="78"/>
    <x v="5"/>
    <x v="2"/>
    <x v="11"/>
    <s v="Boston 19500 Mighty Mite Electric Pencil Sharpener"/>
    <n v="181.35"/>
    <n v="9"/>
    <n v="48.96"/>
  </r>
  <r>
    <d v="2015-09-11T00:00:00"/>
    <x v="1"/>
    <x v="6"/>
    <x v="78"/>
    <x v="5"/>
    <x v="2"/>
    <x v="8"/>
    <s v="Avery 474"/>
    <n v="8.64"/>
    <n v="3"/>
    <n v="4.2300000000000004"/>
  </r>
  <r>
    <d v="2015-09-11T00:00:00"/>
    <x v="1"/>
    <x v="6"/>
    <x v="193"/>
    <x v="5"/>
    <x v="2"/>
    <x v="11"/>
    <s v="Hunt PowerHouse Electric Pencil Sharpener, Blue"/>
    <n v="265.86"/>
    <n v="7"/>
    <n v="79.760000000000005"/>
  </r>
  <r>
    <d v="2015-09-11T00:00:00"/>
    <x v="1"/>
    <x v="6"/>
    <x v="137"/>
    <x v="2"/>
    <x v="1"/>
    <x v="5"/>
    <s v="Deflect-o DuraMat Antistatic Studded Beveled Mat for Medium Pile Carpeting"/>
    <n v="210.68"/>
    <n v="2"/>
    <n v="50.56"/>
  </r>
  <r>
    <d v="2015-09-11T00:00:00"/>
    <x v="1"/>
    <x v="6"/>
    <x v="137"/>
    <x v="2"/>
    <x v="2"/>
    <x v="6"/>
    <s v="Space Solutions Industrial Galvanized Steel Shelving."/>
    <n v="78.8"/>
    <n v="1"/>
    <n v="1.58"/>
  </r>
  <r>
    <d v="2015-09-11T00:00:00"/>
    <x v="1"/>
    <x v="6"/>
    <x v="137"/>
    <x v="2"/>
    <x v="0"/>
    <x v="0"/>
    <s v="LogitechÂ LS21 Speaker System - PC Multimedia - 2.1-CH - Wired"/>
    <n v="19.989999999999998"/>
    <n v="1"/>
    <n v="6.8"/>
  </r>
  <r>
    <d v="2015-09-11T00:00:00"/>
    <x v="1"/>
    <x v="6"/>
    <x v="137"/>
    <x v="2"/>
    <x v="2"/>
    <x v="6"/>
    <s v="Fellowes Staxonsteel Drawer Files"/>
    <n v="772.68"/>
    <n v="4"/>
    <n v="108.18"/>
  </r>
  <r>
    <d v="2015-09-11T00:00:00"/>
    <x v="1"/>
    <x v="6"/>
    <x v="408"/>
    <x v="15"/>
    <x v="1"/>
    <x v="5"/>
    <s v="Deflect-O Glasstique Clear Desk Accessories"/>
    <n v="24.64"/>
    <n v="4"/>
    <n v="4"/>
  </r>
  <r>
    <d v="2015-09-11T00:00:00"/>
    <x v="1"/>
    <x v="6"/>
    <x v="495"/>
    <x v="8"/>
    <x v="2"/>
    <x v="8"/>
    <s v="Avery 503"/>
    <n v="31.05"/>
    <n v="3"/>
    <n v="14.9"/>
  </r>
  <r>
    <d v="2015-09-11T00:00:00"/>
    <x v="1"/>
    <x v="6"/>
    <x v="495"/>
    <x v="8"/>
    <x v="1"/>
    <x v="5"/>
    <s v="Eldon Pizzaz Desk Accessories"/>
    <n v="8.92"/>
    <n v="4"/>
    <n v="3.92"/>
  </r>
  <r>
    <d v="2015-09-11T00:00:00"/>
    <x v="1"/>
    <x v="6"/>
    <x v="495"/>
    <x v="8"/>
    <x v="2"/>
    <x v="9"/>
    <s v="Ibico Laser Imprintable Binding System Covers"/>
    <n v="209.6"/>
    <n v="4"/>
    <n v="96.42"/>
  </r>
  <r>
    <d v="2015-09-11T00:00:00"/>
    <x v="1"/>
    <x v="6"/>
    <x v="495"/>
    <x v="8"/>
    <x v="2"/>
    <x v="10"/>
    <s v="Fellowes Advanced 8 Outlet Surge Suppressor with Phone/Fax Protection"/>
    <n v="111.04"/>
    <n v="4"/>
    <n v="29.98"/>
  </r>
  <r>
    <d v="2015-09-11T00:00:00"/>
    <x v="1"/>
    <x v="6"/>
    <x v="495"/>
    <x v="8"/>
    <x v="2"/>
    <x v="3"/>
    <s v="Xerox 208"/>
    <n v="38.880000000000003"/>
    <n v="6"/>
    <n v="18.66"/>
  </r>
  <r>
    <d v="2015-10-11T00:00:00"/>
    <x v="1"/>
    <x v="7"/>
    <x v="388"/>
    <x v="11"/>
    <x v="1"/>
    <x v="7"/>
    <s v="Bretford CR4500 Series Slim Rectangular Table"/>
    <n v="957.58"/>
    <n v="5"/>
    <n v="-383.03"/>
  </r>
  <r>
    <d v="2015-10-11T00:00:00"/>
    <x v="1"/>
    <x v="7"/>
    <x v="388"/>
    <x v="11"/>
    <x v="2"/>
    <x v="6"/>
    <s v="Eldon Fold 'N Roll Cart System"/>
    <n v="22.37"/>
    <n v="2"/>
    <n v="2.52"/>
  </r>
  <r>
    <d v="2015-10-11T00:00:00"/>
    <x v="1"/>
    <x v="7"/>
    <x v="61"/>
    <x v="2"/>
    <x v="0"/>
    <x v="0"/>
    <s v="Memorex 25GB 6X Branded Blu-Ray Recordable Disc, 30/Pack"/>
    <n v="31.95"/>
    <n v="1"/>
    <n v="2.2400000000000002"/>
  </r>
  <r>
    <d v="2015-11-11T00:00:00"/>
    <x v="1"/>
    <x v="8"/>
    <x v="377"/>
    <x v="10"/>
    <x v="2"/>
    <x v="6"/>
    <s v="Advantus 10-Drawer Portable Organizer, Chrome Metal Frame, Smoke Drawers"/>
    <n v="418.32"/>
    <n v="7"/>
    <n v="117.13"/>
  </r>
  <r>
    <d v="2015-11-11T00:00:00"/>
    <x v="1"/>
    <x v="8"/>
    <x v="377"/>
    <x v="10"/>
    <x v="2"/>
    <x v="10"/>
    <s v="Holmes Replacement Filter for HEPA Air Cleaner, Very Large Room, HEPA Filter"/>
    <n v="123.86"/>
    <n v="2"/>
    <n v="46.79"/>
  </r>
  <r>
    <d v="2015-12-11T00:00:00"/>
    <x v="1"/>
    <x v="9"/>
    <x v="420"/>
    <x v="20"/>
    <x v="2"/>
    <x v="8"/>
    <s v="Dot Matrix Printer Tape Reel Labels, White, 5000/Box"/>
    <n v="196.62"/>
    <n v="2"/>
    <n v="96.34"/>
  </r>
  <r>
    <d v="2015-12-11T00:00:00"/>
    <x v="1"/>
    <x v="9"/>
    <x v="496"/>
    <x v="4"/>
    <x v="0"/>
    <x v="0"/>
    <s v="Logitech Wireless Performance Mouse MX for PC and Mac"/>
    <n v="159.97999999999999"/>
    <n v="2"/>
    <n v="36"/>
  </r>
  <r>
    <d v="2015-12-11T00:00:00"/>
    <x v="1"/>
    <x v="9"/>
    <x v="496"/>
    <x v="4"/>
    <x v="2"/>
    <x v="6"/>
    <s v="Eldon ProFile File 'N Store Portable File Tub Letter/Legal Size Black"/>
    <n v="46.34"/>
    <n v="3"/>
    <n v="4.63"/>
  </r>
  <r>
    <d v="2015-12-11T00:00:00"/>
    <x v="1"/>
    <x v="9"/>
    <x v="424"/>
    <x v="11"/>
    <x v="2"/>
    <x v="9"/>
    <s v="Acco D-Ring Binder w/DublLock"/>
    <n v="12.83"/>
    <n v="2"/>
    <n v="-8.98"/>
  </r>
  <r>
    <d v="2015-12-11T00:00:00"/>
    <x v="1"/>
    <x v="9"/>
    <x v="381"/>
    <x v="15"/>
    <x v="2"/>
    <x v="11"/>
    <s v="Newell 313"/>
    <n v="13.12"/>
    <n v="5"/>
    <n v="1.1499999999999999"/>
  </r>
  <r>
    <d v="2015-12-11T00:00:00"/>
    <x v="1"/>
    <x v="9"/>
    <x v="381"/>
    <x v="15"/>
    <x v="1"/>
    <x v="16"/>
    <s v="Bush Westfield Collection Bookcases, Dark Cherry Finish"/>
    <n v="69.58"/>
    <n v="4"/>
    <n v="-143.79"/>
  </r>
  <r>
    <d v="2015-12-11T00:00:00"/>
    <x v="1"/>
    <x v="9"/>
    <x v="381"/>
    <x v="15"/>
    <x v="2"/>
    <x v="11"/>
    <s v="Newell 326"/>
    <n v="4.22"/>
    <n v="3"/>
    <n v="0.48"/>
  </r>
  <r>
    <d v="2015-12-11T00:00:00"/>
    <x v="1"/>
    <x v="9"/>
    <x v="381"/>
    <x v="15"/>
    <x v="0"/>
    <x v="0"/>
    <s v="Logitech Keyboard K120"/>
    <n v="58.08"/>
    <n v="4"/>
    <n v="-6.53"/>
  </r>
  <r>
    <d v="2015-12-11T00:00:00"/>
    <x v="1"/>
    <x v="9"/>
    <x v="381"/>
    <x v="15"/>
    <x v="1"/>
    <x v="5"/>
    <s v="Master Caster Door Stop, Large Neon Orange"/>
    <n v="52.42"/>
    <n v="9"/>
    <n v="15.07"/>
  </r>
  <r>
    <d v="2015-12-11T00:00:00"/>
    <x v="1"/>
    <x v="9"/>
    <x v="381"/>
    <x v="15"/>
    <x v="1"/>
    <x v="5"/>
    <s v="DAX Wood Document Frame"/>
    <n v="54.92"/>
    <n v="5"/>
    <n v="10.98"/>
  </r>
  <r>
    <d v="2015-12-11T00:00:00"/>
    <x v="1"/>
    <x v="9"/>
    <x v="381"/>
    <x v="15"/>
    <x v="1"/>
    <x v="7"/>
    <s v="Bevis Rectangular Conference Tables"/>
    <n v="364.95"/>
    <n v="5"/>
    <n v="-248.17"/>
  </r>
  <r>
    <d v="2015-12-11T00:00:00"/>
    <x v="1"/>
    <x v="9"/>
    <x v="381"/>
    <x v="15"/>
    <x v="2"/>
    <x v="3"/>
    <s v="Xerox 1932"/>
    <n v="85.06"/>
    <n v="3"/>
    <n v="28.71"/>
  </r>
  <r>
    <d v="2015-12-11T00:00:00"/>
    <x v="1"/>
    <x v="9"/>
    <x v="381"/>
    <x v="15"/>
    <x v="2"/>
    <x v="3"/>
    <s v="Avery Personal Creations Heavyweight Cards"/>
    <n v="27.7"/>
    <n v="3"/>
    <n v="9.69"/>
  </r>
  <r>
    <d v="2015-12-11T00:00:00"/>
    <x v="1"/>
    <x v="9"/>
    <x v="497"/>
    <x v="18"/>
    <x v="2"/>
    <x v="9"/>
    <s v="GBC Plasticlear Binding Covers"/>
    <n v="10.33"/>
    <n v="3"/>
    <n v="-7.58"/>
  </r>
  <r>
    <d v="2015-12-11T00:00:00"/>
    <x v="1"/>
    <x v="9"/>
    <x v="498"/>
    <x v="5"/>
    <x v="2"/>
    <x v="9"/>
    <s v="GBC Recycled Grain Textured Covers"/>
    <n v="110.53"/>
    <n v="4"/>
    <n v="38.68"/>
  </r>
  <r>
    <d v="2015-12-11T00:00:00"/>
    <x v="1"/>
    <x v="9"/>
    <x v="499"/>
    <x v="10"/>
    <x v="0"/>
    <x v="0"/>
    <s v="Maxell 4.7GB DVD+RW 3/Pack"/>
    <n v="175.23"/>
    <n v="11"/>
    <n v="61.33"/>
  </r>
  <r>
    <d v="2015-12-11T00:00:00"/>
    <x v="1"/>
    <x v="9"/>
    <x v="499"/>
    <x v="10"/>
    <x v="0"/>
    <x v="2"/>
    <s v="BlackBerry Q10"/>
    <n v="125.99"/>
    <n v="1"/>
    <n v="31.5"/>
  </r>
  <r>
    <d v="2015-12-11T00:00:00"/>
    <x v="1"/>
    <x v="9"/>
    <x v="499"/>
    <x v="10"/>
    <x v="2"/>
    <x v="9"/>
    <s v="Ibico Covers for Plastic or Wire Binding Elements"/>
    <n v="23"/>
    <n v="2"/>
    <n v="10.35"/>
  </r>
  <r>
    <d v="2015-01-12T00:00:00"/>
    <x v="1"/>
    <x v="11"/>
    <x v="459"/>
    <x v="37"/>
    <x v="2"/>
    <x v="6"/>
    <s v="Dual Level, Single-Width Filing Carts"/>
    <n v="465.18"/>
    <n v="3"/>
    <n v="120.95"/>
  </r>
  <r>
    <d v="2015-01-12T00:00:00"/>
    <x v="1"/>
    <x v="11"/>
    <x v="500"/>
    <x v="18"/>
    <x v="2"/>
    <x v="11"/>
    <s v="BIC Brite Liner Highlighters, Chisel Tip"/>
    <n v="10.37"/>
    <n v="2"/>
    <n v="1.56"/>
  </r>
  <r>
    <d v="2015-01-12T00:00:00"/>
    <x v="1"/>
    <x v="11"/>
    <x v="500"/>
    <x v="18"/>
    <x v="0"/>
    <x v="2"/>
    <s v="GE 30524EE4"/>
    <n v="235.19"/>
    <n v="2"/>
    <n v="-43.12"/>
  </r>
  <r>
    <d v="2015-01-12T00:00:00"/>
    <x v="1"/>
    <x v="11"/>
    <x v="500"/>
    <x v="18"/>
    <x v="0"/>
    <x v="2"/>
    <s v="Anker 24W Portable Micro USB Car Charger"/>
    <n v="26.38"/>
    <n v="4"/>
    <n v="2.64"/>
  </r>
  <r>
    <d v="2015-01-12T00:00:00"/>
    <x v="1"/>
    <x v="11"/>
    <x v="500"/>
    <x v="18"/>
    <x v="0"/>
    <x v="0"/>
    <s v="SanDisk Cruzer 4 GB USB Flash Drive"/>
    <n v="10.38"/>
    <n v="2"/>
    <n v="2.21"/>
  </r>
  <r>
    <d v="2015-01-12T00:00:00"/>
    <x v="1"/>
    <x v="11"/>
    <x v="500"/>
    <x v="18"/>
    <x v="0"/>
    <x v="2"/>
    <s v="LG Electronics Tone+ HBS-730 Bluetooth Headset"/>
    <n v="107.12"/>
    <n v="3"/>
    <n v="-21.42"/>
  </r>
  <r>
    <d v="2015-03-12T00:00:00"/>
    <x v="1"/>
    <x v="1"/>
    <x v="400"/>
    <x v="11"/>
    <x v="2"/>
    <x v="13"/>
    <s v="Convenience Packs of Business Envelopes"/>
    <n v="8.69"/>
    <n v="3"/>
    <n v="2.93"/>
  </r>
  <r>
    <d v="2015-03-12T00:00:00"/>
    <x v="1"/>
    <x v="1"/>
    <x v="400"/>
    <x v="11"/>
    <x v="1"/>
    <x v="5"/>
    <s v="Eldon Expressions Desk Accessory, Wood Pencil Holder, Oak"/>
    <n v="30.88"/>
    <n v="4"/>
    <n v="3.86"/>
  </r>
  <r>
    <d v="2015-03-12T00:00:00"/>
    <x v="1"/>
    <x v="1"/>
    <x v="400"/>
    <x v="11"/>
    <x v="1"/>
    <x v="5"/>
    <s v="Acrylic Self-Standing Desk Frames"/>
    <n v="6.41"/>
    <n v="3"/>
    <n v="1.44"/>
  </r>
  <r>
    <d v="2015-03-12T00:00:00"/>
    <x v="1"/>
    <x v="1"/>
    <x v="501"/>
    <x v="12"/>
    <x v="2"/>
    <x v="8"/>
    <s v="Avery 518"/>
    <n v="5.04"/>
    <n v="2"/>
    <n v="1.76"/>
  </r>
  <r>
    <d v="2015-04-12T00:00:00"/>
    <x v="1"/>
    <x v="2"/>
    <x v="502"/>
    <x v="1"/>
    <x v="2"/>
    <x v="6"/>
    <s v="Rogers Jumbo File, Granite"/>
    <n v="40.74"/>
    <n v="3"/>
    <n v="0.41"/>
  </r>
  <r>
    <d v="2015-05-12T00:00:00"/>
    <x v="1"/>
    <x v="10"/>
    <x v="503"/>
    <x v="5"/>
    <x v="2"/>
    <x v="3"/>
    <s v="Xerox 1962"/>
    <n v="12.84"/>
    <n v="3"/>
    <n v="5.78"/>
  </r>
  <r>
    <d v="2015-05-12T00:00:00"/>
    <x v="1"/>
    <x v="10"/>
    <x v="503"/>
    <x v="5"/>
    <x v="2"/>
    <x v="3"/>
    <s v="Xerox 1953"/>
    <n v="25.68"/>
    <n v="6"/>
    <n v="11.56"/>
  </r>
  <r>
    <d v="2015-05-12T00:00:00"/>
    <x v="1"/>
    <x v="10"/>
    <x v="17"/>
    <x v="15"/>
    <x v="0"/>
    <x v="2"/>
    <s v="VTech DS6151"/>
    <n v="201.58"/>
    <n v="2"/>
    <n v="20.16"/>
  </r>
  <r>
    <d v="2015-05-12T00:00:00"/>
    <x v="1"/>
    <x v="10"/>
    <x v="504"/>
    <x v="2"/>
    <x v="2"/>
    <x v="6"/>
    <s v="Portable Personal File Box"/>
    <n v="36.630000000000003"/>
    <n v="3"/>
    <n v="9.89"/>
  </r>
  <r>
    <d v="2015-05-12T00:00:00"/>
    <x v="1"/>
    <x v="10"/>
    <x v="390"/>
    <x v="1"/>
    <x v="2"/>
    <x v="9"/>
    <s v="Prestige Round Ring Binders"/>
    <n v="14.59"/>
    <n v="3"/>
    <n v="4.92"/>
  </r>
  <r>
    <d v="2015-05-12T00:00:00"/>
    <x v="1"/>
    <x v="10"/>
    <x v="505"/>
    <x v="4"/>
    <x v="1"/>
    <x v="5"/>
    <s v="DAX Wood Document Frame."/>
    <n v="21.97"/>
    <n v="4"/>
    <n v="-15.93"/>
  </r>
  <r>
    <d v="2015-05-12T00:00:00"/>
    <x v="1"/>
    <x v="10"/>
    <x v="505"/>
    <x v="4"/>
    <x v="0"/>
    <x v="2"/>
    <s v="Digium D40 VoIP phone"/>
    <n v="619.15"/>
    <n v="6"/>
    <n v="69.650000000000006"/>
  </r>
  <r>
    <d v="2015-05-12T00:00:00"/>
    <x v="1"/>
    <x v="10"/>
    <x v="505"/>
    <x v="4"/>
    <x v="2"/>
    <x v="3"/>
    <s v="Xerox 1964"/>
    <n v="127.9"/>
    <n v="7"/>
    <n v="41.57"/>
  </r>
  <r>
    <d v="2015-06-12T00:00:00"/>
    <x v="1"/>
    <x v="3"/>
    <x v="506"/>
    <x v="13"/>
    <x v="2"/>
    <x v="3"/>
    <s v="Xerox 1997"/>
    <n v="20.74"/>
    <n v="4"/>
    <n v="7.26"/>
  </r>
  <r>
    <d v="2015-06-12T00:00:00"/>
    <x v="1"/>
    <x v="3"/>
    <x v="506"/>
    <x v="13"/>
    <x v="1"/>
    <x v="5"/>
    <s v="DataProducts Ampli Magnifier Task Lamp, Black,"/>
    <n v="43.3"/>
    <n v="2"/>
    <n v="4.33"/>
  </r>
  <r>
    <d v="2015-06-12T00:00:00"/>
    <x v="1"/>
    <x v="3"/>
    <x v="507"/>
    <x v="37"/>
    <x v="2"/>
    <x v="6"/>
    <s v="Perma STOR-ALL Hanging File Box, 13 1/8&quot;W x 12 1/4&quot;D x 10 1/2&quot;H"/>
    <n v="29.9"/>
    <n v="5"/>
    <n v="5.08"/>
  </r>
  <r>
    <d v="2015-06-12T00:00:00"/>
    <x v="1"/>
    <x v="3"/>
    <x v="508"/>
    <x v="11"/>
    <x v="0"/>
    <x v="2"/>
    <s v="Speck Products Candyshell Flip Case"/>
    <n v="55.98"/>
    <n v="2"/>
    <n v="4.2"/>
  </r>
  <r>
    <d v="2015-06-12T00:00:00"/>
    <x v="1"/>
    <x v="3"/>
    <x v="120"/>
    <x v="33"/>
    <x v="2"/>
    <x v="6"/>
    <s v="Recycled Eldon Regeneration Jumbo File"/>
    <n v="24.56"/>
    <n v="2"/>
    <n v="6.88"/>
  </r>
  <r>
    <d v="2015-07-12T00:00:00"/>
    <x v="1"/>
    <x v="4"/>
    <x v="154"/>
    <x v="3"/>
    <x v="1"/>
    <x v="1"/>
    <s v="Global Push Button Manager's Chair, Indigo"/>
    <n v="383.61"/>
    <n v="9"/>
    <n v="-5.48"/>
  </r>
  <r>
    <d v="2015-07-12T00:00:00"/>
    <x v="1"/>
    <x v="4"/>
    <x v="154"/>
    <x v="3"/>
    <x v="0"/>
    <x v="2"/>
    <s v="Geemarc AmpliPOWER60"/>
    <n v="148.47999999999999"/>
    <n v="2"/>
    <n v="16.7"/>
  </r>
  <r>
    <d v="2015-07-12T00:00:00"/>
    <x v="1"/>
    <x v="4"/>
    <x v="154"/>
    <x v="3"/>
    <x v="0"/>
    <x v="2"/>
    <s v="Vtech CS6719"/>
    <n v="537.54"/>
    <n v="7"/>
    <n v="53.75"/>
  </r>
  <r>
    <d v="2015-07-12T00:00:00"/>
    <x v="1"/>
    <x v="4"/>
    <x v="154"/>
    <x v="3"/>
    <x v="2"/>
    <x v="9"/>
    <s v="Tuff Stuff Recycled Round Ring Binders"/>
    <n v="1.93"/>
    <n v="2"/>
    <n v="-2.99"/>
  </r>
  <r>
    <d v="2015-07-12T00:00:00"/>
    <x v="1"/>
    <x v="4"/>
    <x v="154"/>
    <x v="3"/>
    <x v="2"/>
    <x v="11"/>
    <s v="Newell 32"/>
    <n v="6.91"/>
    <n v="3"/>
    <n v="0.69"/>
  </r>
  <r>
    <d v="2015-07-12T00:00:00"/>
    <x v="1"/>
    <x v="4"/>
    <x v="154"/>
    <x v="3"/>
    <x v="1"/>
    <x v="5"/>
    <s v="Floodlight Indoor Halogen Bulbs, 1 Bulb per Pack, 60 Watts"/>
    <n v="7.76"/>
    <n v="1"/>
    <n v="-2.13"/>
  </r>
  <r>
    <d v="2015-07-12T00:00:00"/>
    <x v="1"/>
    <x v="4"/>
    <x v="154"/>
    <x v="3"/>
    <x v="0"/>
    <x v="2"/>
    <s v="GE 2-Jack Phone Line Splitter"/>
    <n v="659.17"/>
    <n v="4"/>
    <n v="49.44"/>
  </r>
  <r>
    <d v="2015-07-12T00:00:00"/>
    <x v="1"/>
    <x v="4"/>
    <x v="470"/>
    <x v="4"/>
    <x v="0"/>
    <x v="2"/>
    <s v="Vtech CS6719"/>
    <n v="307.17"/>
    <n v="4"/>
    <n v="30.72"/>
  </r>
  <r>
    <d v="2015-09-12T00:00:00"/>
    <x v="1"/>
    <x v="6"/>
    <x v="275"/>
    <x v="2"/>
    <x v="0"/>
    <x v="12"/>
    <s v="Hewlett Packard 310 Color Digital Copier"/>
    <n v="479.98"/>
    <n v="2"/>
    <n v="60"/>
  </r>
  <r>
    <d v="2015-09-12T00:00:00"/>
    <x v="1"/>
    <x v="6"/>
    <x v="275"/>
    <x v="2"/>
    <x v="2"/>
    <x v="8"/>
    <s v="Avery 520"/>
    <n v="12.6"/>
    <n v="4"/>
    <n v="6.05"/>
  </r>
  <r>
    <d v="2015-09-12T00:00:00"/>
    <x v="1"/>
    <x v="6"/>
    <x v="214"/>
    <x v="2"/>
    <x v="2"/>
    <x v="11"/>
    <s v="Binney &amp; Smith Crayola Metallic Colored Pencils, 8-Color Set"/>
    <n v="9.26"/>
    <n v="2"/>
    <n v="3.06"/>
  </r>
  <r>
    <d v="2015-09-12T00:00:00"/>
    <x v="1"/>
    <x v="6"/>
    <x v="214"/>
    <x v="2"/>
    <x v="2"/>
    <x v="6"/>
    <s v="Gould Plastics 9-Pocket Panel Bin, 18-3/8w x 5-1/4d x 20-1/2h, Black"/>
    <n v="105.98"/>
    <n v="2"/>
    <n v="4.24"/>
  </r>
  <r>
    <d v="2015-09-12T00:00:00"/>
    <x v="1"/>
    <x v="6"/>
    <x v="214"/>
    <x v="2"/>
    <x v="2"/>
    <x v="4"/>
    <s v="OIC Binder Clips, Mini, 1/4&quot; Capacity, Black"/>
    <n v="1.24"/>
    <n v="1"/>
    <n v="0.57999999999999996"/>
  </r>
  <r>
    <d v="2015-09-12T00:00:00"/>
    <x v="1"/>
    <x v="6"/>
    <x v="214"/>
    <x v="2"/>
    <x v="2"/>
    <x v="8"/>
    <s v="Avery 489"/>
    <n v="20.7"/>
    <n v="2"/>
    <n v="9.94"/>
  </r>
  <r>
    <d v="2015-09-12T00:00:00"/>
    <x v="1"/>
    <x v="6"/>
    <x v="214"/>
    <x v="2"/>
    <x v="2"/>
    <x v="3"/>
    <s v="HP Office Recycled Paper (20Lb. and 87 Bright)"/>
    <n v="28.9"/>
    <n v="5"/>
    <n v="14.16"/>
  </r>
  <r>
    <d v="2015-09-12T00:00:00"/>
    <x v="1"/>
    <x v="6"/>
    <x v="214"/>
    <x v="2"/>
    <x v="2"/>
    <x v="13"/>
    <s v="Tyvek  Top-Opening Peel &amp; Seel Envelopes, Plain White"/>
    <n v="27.18"/>
    <n v="1"/>
    <n v="12.77"/>
  </r>
  <r>
    <d v="2015-09-12T00:00:00"/>
    <x v="1"/>
    <x v="6"/>
    <x v="509"/>
    <x v="1"/>
    <x v="0"/>
    <x v="0"/>
    <s v="Memorex Froggy Flash Drive 4 GB"/>
    <n v="21.98"/>
    <n v="2"/>
    <n v="8.57"/>
  </r>
  <r>
    <d v="2015-10-12T00:00:00"/>
    <x v="1"/>
    <x v="7"/>
    <x v="110"/>
    <x v="2"/>
    <x v="1"/>
    <x v="16"/>
    <s v="Atlantic Metals Mobile 4-Shelf Bookcases, Custom Colors"/>
    <n v="899.14"/>
    <n v="4"/>
    <n v="112.39"/>
  </r>
  <r>
    <d v="2015-10-12T00:00:00"/>
    <x v="1"/>
    <x v="7"/>
    <x v="110"/>
    <x v="2"/>
    <x v="0"/>
    <x v="2"/>
    <s v="I Need's 3d Hello Kitty Hybrid Silicone Case Cover for HTC One X 4g with 3d Hello Kitty Stylus Pen Green/pink"/>
    <n v="71.760000000000005"/>
    <n v="6"/>
    <n v="20.09"/>
  </r>
  <r>
    <d v="2015-10-12T00:00:00"/>
    <x v="1"/>
    <x v="7"/>
    <x v="110"/>
    <x v="2"/>
    <x v="2"/>
    <x v="3"/>
    <s v="Xerox 205"/>
    <n v="51.84"/>
    <n v="8"/>
    <n v="24.88"/>
  </r>
  <r>
    <d v="2015-10-12T00:00:00"/>
    <x v="1"/>
    <x v="7"/>
    <x v="110"/>
    <x v="2"/>
    <x v="1"/>
    <x v="16"/>
    <s v="Atlantic Metals Mobile 3-Shelf Bookcases, Custom Colors"/>
    <n v="626.35"/>
    <n v="3"/>
    <n v="46.98"/>
  </r>
  <r>
    <d v="2015-10-12T00:00:00"/>
    <x v="1"/>
    <x v="7"/>
    <x v="110"/>
    <x v="2"/>
    <x v="2"/>
    <x v="11"/>
    <s v="4009 Highlighters by Sanford"/>
    <n v="19.899999999999999"/>
    <n v="5"/>
    <n v="6.57"/>
  </r>
  <r>
    <d v="2015-10-12T00:00:00"/>
    <x v="1"/>
    <x v="7"/>
    <x v="510"/>
    <x v="2"/>
    <x v="1"/>
    <x v="7"/>
    <s v="SAFCO PlanMaster Heigh-Adjustable Drafting Table Base, 43w x 30d x 30-37h, Black"/>
    <n v="209.67"/>
    <n v="1"/>
    <n v="-13.98"/>
  </r>
  <r>
    <d v="2015-10-12T00:00:00"/>
    <x v="1"/>
    <x v="7"/>
    <x v="27"/>
    <x v="33"/>
    <x v="0"/>
    <x v="2"/>
    <s v="AT&amp;T 17929 Lendline Telephone"/>
    <n v="135.72"/>
    <n v="3"/>
    <n v="35.29"/>
  </r>
  <r>
    <d v="2015-10-12T00:00:00"/>
    <x v="1"/>
    <x v="7"/>
    <x v="27"/>
    <x v="33"/>
    <x v="2"/>
    <x v="9"/>
    <s v="GBC Standard Plastic Binding Systems' Combs"/>
    <n v="12.56"/>
    <n v="2"/>
    <n v="5.65"/>
  </r>
  <r>
    <d v="2015-10-12T00:00:00"/>
    <x v="1"/>
    <x v="7"/>
    <x v="27"/>
    <x v="33"/>
    <x v="0"/>
    <x v="2"/>
    <s v="Samsung Rugby III"/>
    <n v="263.95999999999998"/>
    <n v="4"/>
    <n v="71.27"/>
  </r>
  <r>
    <d v="2015-10-12T00:00:00"/>
    <x v="1"/>
    <x v="7"/>
    <x v="269"/>
    <x v="1"/>
    <x v="0"/>
    <x v="0"/>
    <s v="Kingston Digital DataTraveler 16GB USB 2.0"/>
    <n v="17.899999999999999"/>
    <n v="2"/>
    <n v="3.4"/>
  </r>
  <r>
    <d v="2015-10-12T00:00:00"/>
    <x v="1"/>
    <x v="7"/>
    <x v="269"/>
    <x v="1"/>
    <x v="2"/>
    <x v="6"/>
    <s v="Contico 72&quot;H Heavy-Duty Storage System"/>
    <n v="81.96"/>
    <n v="2"/>
    <n v="0"/>
  </r>
  <r>
    <d v="2015-11-12T00:00:00"/>
    <x v="1"/>
    <x v="8"/>
    <x v="511"/>
    <x v="5"/>
    <x v="2"/>
    <x v="3"/>
    <s v="Adams &quot;While You Were Out&quot; Message Pads"/>
    <n v="15.7"/>
    <n v="5"/>
    <n v="7.07"/>
  </r>
  <r>
    <d v="2015-11-12T00:00:00"/>
    <x v="1"/>
    <x v="8"/>
    <x v="42"/>
    <x v="11"/>
    <x v="2"/>
    <x v="11"/>
    <s v="Newell 317"/>
    <n v="11.76"/>
    <n v="5"/>
    <n v="1.32"/>
  </r>
  <r>
    <d v="2015-11-12T00:00:00"/>
    <x v="1"/>
    <x v="8"/>
    <x v="42"/>
    <x v="11"/>
    <x v="2"/>
    <x v="9"/>
    <s v="Wilson Jones Leather-Like Binders with DublLock Round Rings"/>
    <n v="5.24"/>
    <n v="2"/>
    <n v="-4.0199999999999996"/>
  </r>
  <r>
    <d v="2015-11-12T00:00:00"/>
    <x v="1"/>
    <x v="8"/>
    <x v="42"/>
    <x v="11"/>
    <x v="2"/>
    <x v="9"/>
    <s v="SlimView Poly Binder, 3/8&quot;"/>
    <n v="4.66"/>
    <n v="3"/>
    <n v="-3.73"/>
  </r>
  <r>
    <d v="2015-11-12T00:00:00"/>
    <x v="1"/>
    <x v="8"/>
    <x v="42"/>
    <x v="11"/>
    <x v="1"/>
    <x v="1"/>
    <s v="Office Star - Contemporary Task Swivel chair with Loop Arms, Charcoal"/>
    <n v="523.91999999999996"/>
    <n v="5"/>
    <n v="-72.040000000000006"/>
  </r>
  <r>
    <d v="2015-11-12T00:00:00"/>
    <x v="1"/>
    <x v="8"/>
    <x v="42"/>
    <x v="11"/>
    <x v="0"/>
    <x v="2"/>
    <s v="VTech DS6151"/>
    <n v="100.79"/>
    <n v="1"/>
    <n v="10.08"/>
  </r>
  <r>
    <d v="2015-11-12T00:00:00"/>
    <x v="1"/>
    <x v="8"/>
    <x v="42"/>
    <x v="11"/>
    <x v="1"/>
    <x v="1"/>
    <s v="Global Push Button Manager's Chair, Indigo"/>
    <n v="146.13999999999999"/>
    <n v="3"/>
    <n v="16.440000000000001"/>
  </r>
  <r>
    <d v="2015-11-12T00:00:00"/>
    <x v="1"/>
    <x v="8"/>
    <x v="468"/>
    <x v="4"/>
    <x v="2"/>
    <x v="6"/>
    <s v="Carina 42&quot;Hx23 3/4&quot;W Media Storage Unit"/>
    <n v="64.78"/>
    <n v="1"/>
    <n v="-14.58"/>
  </r>
  <r>
    <d v="2015-11-12T00:00:00"/>
    <x v="1"/>
    <x v="8"/>
    <x v="468"/>
    <x v="4"/>
    <x v="2"/>
    <x v="3"/>
    <s v="Xerox 1957"/>
    <n v="15.55"/>
    <n v="3"/>
    <n v="5.64"/>
  </r>
  <r>
    <d v="2015-11-12T00:00:00"/>
    <x v="1"/>
    <x v="8"/>
    <x v="468"/>
    <x v="4"/>
    <x v="2"/>
    <x v="13"/>
    <s v="Blue String-Tie &amp; Button Interoffice Envelopes, 10 x 13"/>
    <n v="223.89"/>
    <n v="7"/>
    <n v="69.97"/>
  </r>
  <r>
    <d v="2015-11-12T00:00:00"/>
    <x v="1"/>
    <x v="8"/>
    <x v="512"/>
    <x v="2"/>
    <x v="2"/>
    <x v="13"/>
    <s v="Staple envelope"/>
    <n v="15.56"/>
    <n v="2"/>
    <n v="7.31"/>
  </r>
  <r>
    <d v="2015-12-12T00:00:00"/>
    <x v="1"/>
    <x v="9"/>
    <x v="10"/>
    <x v="5"/>
    <x v="1"/>
    <x v="1"/>
    <s v="Lifetime Advantage Folding Chairs, 4/Carton"/>
    <n v="348.93"/>
    <n v="2"/>
    <n v="34.89"/>
  </r>
  <r>
    <d v="2015-12-12T00:00:00"/>
    <x v="1"/>
    <x v="9"/>
    <x v="194"/>
    <x v="5"/>
    <x v="2"/>
    <x v="4"/>
    <s v="Staples"/>
    <n v="7.86"/>
    <n v="2"/>
    <n v="3.62"/>
  </r>
  <r>
    <d v="2015-12-12T00:00:00"/>
    <x v="1"/>
    <x v="9"/>
    <x v="194"/>
    <x v="5"/>
    <x v="2"/>
    <x v="9"/>
    <s v="Recycled Premium Regency Composition Covers"/>
    <n v="24.45"/>
    <n v="2"/>
    <n v="8.86"/>
  </r>
  <r>
    <d v="2015-12-12T00:00:00"/>
    <x v="1"/>
    <x v="9"/>
    <x v="328"/>
    <x v="24"/>
    <x v="2"/>
    <x v="11"/>
    <s v="Rogers Handheld Barrel Pencil Sharpener"/>
    <n v="8.2200000000000006"/>
    <n v="3"/>
    <n v="2.2200000000000002"/>
  </r>
  <r>
    <d v="2015-12-12T00:00:00"/>
    <x v="1"/>
    <x v="9"/>
    <x v="155"/>
    <x v="4"/>
    <x v="0"/>
    <x v="0"/>
    <s v="AmazonBasics 3-Button USB Wired Mouse"/>
    <n v="22.37"/>
    <n v="4"/>
    <n v="6.43"/>
  </r>
  <r>
    <d v="2015-12-12T00:00:00"/>
    <x v="1"/>
    <x v="9"/>
    <x v="175"/>
    <x v="5"/>
    <x v="2"/>
    <x v="11"/>
    <s v="Newell 311"/>
    <n v="2.21"/>
    <n v="1"/>
    <n v="0.6"/>
  </r>
  <r>
    <d v="2015-12-12T00:00:00"/>
    <x v="1"/>
    <x v="9"/>
    <x v="175"/>
    <x v="5"/>
    <x v="2"/>
    <x v="13"/>
    <s v="Peel &amp; Seel Envelopes"/>
    <n v="15.52"/>
    <n v="4"/>
    <n v="7.45"/>
  </r>
  <r>
    <d v="2015-12-12T00:00:00"/>
    <x v="1"/>
    <x v="9"/>
    <x v="175"/>
    <x v="5"/>
    <x v="2"/>
    <x v="3"/>
    <s v="Black Print Carbonless Snap-Off Rapid Letter, 8 1/2&quot; x 7&quot;"/>
    <n v="36.44"/>
    <n v="4"/>
    <n v="16.399999999999999"/>
  </r>
  <r>
    <d v="2015-12-12T00:00:00"/>
    <x v="1"/>
    <x v="9"/>
    <x v="454"/>
    <x v="5"/>
    <x v="1"/>
    <x v="5"/>
    <s v="Eldon Cleatmat Chair Mats for Medium Pile Carpets"/>
    <n v="166.5"/>
    <n v="3"/>
    <n v="21.65"/>
  </r>
  <r>
    <d v="2015-12-12T00:00:00"/>
    <x v="1"/>
    <x v="9"/>
    <x v="454"/>
    <x v="5"/>
    <x v="2"/>
    <x v="6"/>
    <s v="Standard Rollaway File with Lock"/>
    <n v="360.38"/>
    <n v="2"/>
    <n v="93.7"/>
  </r>
  <r>
    <d v="2015-12-12T00:00:00"/>
    <x v="1"/>
    <x v="9"/>
    <x v="513"/>
    <x v="14"/>
    <x v="2"/>
    <x v="3"/>
    <s v="Xerox 1930"/>
    <n v="32.4"/>
    <n v="5"/>
    <n v="15.88"/>
  </r>
  <r>
    <d v="2015-12-12T00:00:00"/>
    <x v="1"/>
    <x v="9"/>
    <x v="513"/>
    <x v="14"/>
    <x v="2"/>
    <x v="3"/>
    <s v="Xerox 1916"/>
    <n v="97.88"/>
    <n v="2"/>
    <n v="48.94"/>
  </r>
  <r>
    <d v="2015-12-12T00:00:00"/>
    <x v="1"/>
    <x v="9"/>
    <x v="293"/>
    <x v="5"/>
    <x v="0"/>
    <x v="0"/>
    <s v="Logitech Wireless Marathon Mouse M705"/>
    <n v="299.94"/>
    <n v="6"/>
    <n v="128.97"/>
  </r>
  <r>
    <d v="2015-12-12T00:00:00"/>
    <x v="1"/>
    <x v="9"/>
    <x v="293"/>
    <x v="5"/>
    <x v="2"/>
    <x v="15"/>
    <s v="Staple remover"/>
    <n v="25.76"/>
    <n v="7"/>
    <n v="0.52"/>
  </r>
  <r>
    <d v="2016-02-01T00:00:00"/>
    <x v="2"/>
    <x v="0"/>
    <x v="182"/>
    <x v="20"/>
    <x v="2"/>
    <x v="6"/>
    <s v="X-Rack File for Hanging Folders"/>
    <n v="56.45"/>
    <n v="5"/>
    <n v="14.68"/>
  </r>
  <r>
    <d v="2016-02-01T00:00:00"/>
    <x v="2"/>
    <x v="0"/>
    <x v="24"/>
    <x v="5"/>
    <x v="2"/>
    <x v="3"/>
    <s v="Xerox 1883"/>
    <n v="105.52"/>
    <n v="4"/>
    <n v="48.54"/>
  </r>
  <r>
    <d v="2016-03-01T00:00:00"/>
    <x v="2"/>
    <x v="1"/>
    <x v="293"/>
    <x v="2"/>
    <x v="1"/>
    <x v="7"/>
    <s v="Chromcraft Round Conference Tables"/>
    <n v="836.59"/>
    <n v="8"/>
    <n v="-264.92"/>
  </r>
  <r>
    <d v="2016-03-01T00:00:00"/>
    <x v="2"/>
    <x v="1"/>
    <x v="293"/>
    <x v="2"/>
    <x v="2"/>
    <x v="3"/>
    <s v="Easy-staple paper"/>
    <n v="26.38"/>
    <n v="1"/>
    <n v="12.13"/>
  </r>
  <r>
    <d v="2016-03-01T00:00:00"/>
    <x v="2"/>
    <x v="1"/>
    <x v="293"/>
    <x v="2"/>
    <x v="2"/>
    <x v="6"/>
    <s v="Adjustable Depth Letter/Legal Cart"/>
    <n v="362.92"/>
    <n v="2"/>
    <n v="105.25"/>
  </r>
  <r>
    <d v="2016-03-01T00:00:00"/>
    <x v="2"/>
    <x v="1"/>
    <x v="293"/>
    <x v="2"/>
    <x v="0"/>
    <x v="14"/>
    <s v="Ativa V4110MDD Micro-Cut Shredder"/>
    <n v="4899.93"/>
    <n v="7"/>
    <n v="2400.9699999999998"/>
  </r>
  <r>
    <d v="2016-03-01T00:00:00"/>
    <x v="2"/>
    <x v="1"/>
    <x v="67"/>
    <x v="15"/>
    <x v="0"/>
    <x v="2"/>
    <s v="RCA ViSYS 25423RE1 Corded phone"/>
    <n v="159.97999999999999"/>
    <n v="2"/>
    <n v="14"/>
  </r>
  <r>
    <d v="2016-04-01T00:00:00"/>
    <x v="2"/>
    <x v="2"/>
    <x v="514"/>
    <x v="2"/>
    <x v="2"/>
    <x v="11"/>
    <s v="Newell 345"/>
    <n v="59.52"/>
    <n v="3"/>
    <n v="15.48"/>
  </r>
  <r>
    <d v="2016-04-01T00:00:00"/>
    <x v="2"/>
    <x v="2"/>
    <x v="514"/>
    <x v="2"/>
    <x v="2"/>
    <x v="6"/>
    <s v="Fellowes Bankers Box Recycled Super Stor/Drawer"/>
    <n v="161.94"/>
    <n v="3"/>
    <n v="9.7200000000000006"/>
  </r>
  <r>
    <d v="2016-04-01T00:00:00"/>
    <x v="2"/>
    <x v="2"/>
    <x v="514"/>
    <x v="2"/>
    <x v="2"/>
    <x v="11"/>
    <s v="Boston 1645 Deluxe Heavier-Duty Electric Pencil Sharpener"/>
    <n v="263.88"/>
    <n v="6"/>
    <n v="71.25"/>
  </r>
  <r>
    <d v="2016-04-01T00:00:00"/>
    <x v="2"/>
    <x v="2"/>
    <x v="514"/>
    <x v="2"/>
    <x v="2"/>
    <x v="11"/>
    <s v="50 Colored Long Pencils"/>
    <n v="30.48"/>
    <n v="3"/>
    <n v="7.92"/>
  </r>
  <r>
    <d v="2016-04-01T00:00:00"/>
    <x v="2"/>
    <x v="2"/>
    <x v="514"/>
    <x v="2"/>
    <x v="2"/>
    <x v="11"/>
    <s v="Newell 342"/>
    <n v="9.84"/>
    <n v="3"/>
    <n v="2.85"/>
  </r>
  <r>
    <d v="2016-04-01T00:00:00"/>
    <x v="2"/>
    <x v="2"/>
    <x v="514"/>
    <x v="2"/>
    <x v="0"/>
    <x v="2"/>
    <s v="Belkin Grip Candy Sheer Case / Cover for iPhone 5 and 5S"/>
    <n v="35.119999999999997"/>
    <n v="4"/>
    <n v="9.1300000000000008"/>
  </r>
  <r>
    <d v="2016-04-01T00:00:00"/>
    <x v="2"/>
    <x v="2"/>
    <x v="358"/>
    <x v="23"/>
    <x v="2"/>
    <x v="4"/>
    <s v="Staples"/>
    <n v="31.56"/>
    <n v="5"/>
    <n v="9.86"/>
  </r>
  <r>
    <d v="2016-04-01T00:00:00"/>
    <x v="2"/>
    <x v="2"/>
    <x v="358"/>
    <x v="23"/>
    <x v="2"/>
    <x v="10"/>
    <s v="Belkin F9H710-06 7 Outlet SurgeMaster Surge Protector"/>
    <n v="30.14"/>
    <n v="2"/>
    <n v="3.01"/>
  </r>
  <r>
    <d v="2016-04-01T00:00:00"/>
    <x v="2"/>
    <x v="2"/>
    <x v="515"/>
    <x v="2"/>
    <x v="2"/>
    <x v="11"/>
    <s v="Boston 16801 Nautilus Battery Pencil Sharpener"/>
    <n v="88.04"/>
    <n v="4"/>
    <n v="22.89"/>
  </r>
  <r>
    <d v="2016-04-01T00:00:00"/>
    <x v="2"/>
    <x v="2"/>
    <x v="228"/>
    <x v="2"/>
    <x v="2"/>
    <x v="8"/>
    <s v="Avery 473"/>
    <n v="20.7"/>
    <n v="2"/>
    <n v="9.94"/>
  </r>
  <r>
    <d v="2016-04-01T00:00:00"/>
    <x v="2"/>
    <x v="2"/>
    <x v="228"/>
    <x v="2"/>
    <x v="2"/>
    <x v="15"/>
    <s v="Acme Value Line Scissors"/>
    <n v="10.95"/>
    <n v="3"/>
    <n v="3.29"/>
  </r>
  <r>
    <d v="2016-04-01T00:00:00"/>
    <x v="2"/>
    <x v="2"/>
    <x v="228"/>
    <x v="2"/>
    <x v="2"/>
    <x v="9"/>
    <s v="Avery Hanging File Binders"/>
    <n v="14.35"/>
    <n v="3"/>
    <n v="4.66"/>
  </r>
  <r>
    <d v="2016-04-01T00:00:00"/>
    <x v="2"/>
    <x v="2"/>
    <x v="201"/>
    <x v="2"/>
    <x v="1"/>
    <x v="1"/>
    <s v="Hon Deluxe Fabric Upholstered Stacking Chairs, Rounded Back"/>
    <n v="1317.49"/>
    <n v="6"/>
    <n v="292.77999999999997"/>
  </r>
  <r>
    <d v="2016-04-01T00:00:00"/>
    <x v="2"/>
    <x v="2"/>
    <x v="201"/>
    <x v="2"/>
    <x v="2"/>
    <x v="15"/>
    <s v="Staple remover"/>
    <n v="63.84"/>
    <n v="8"/>
    <n v="18.510000000000002"/>
  </r>
  <r>
    <d v="2016-04-01T00:00:00"/>
    <x v="2"/>
    <x v="2"/>
    <x v="201"/>
    <x v="2"/>
    <x v="2"/>
    <x v="9"/>
    <s v="Avery Non-Stick Binders"/>
    <n v="3.59"/>
    <n v="1"/>
    <n v="1.1200000000000001"/>
  </r>
  <r>
    <d v="2016-04-01T00:00:00"/>
    <x v="2"/>
    <x v="2"/>
    <x v="516"/>
    <x v="19"/>
    <x v="1"/>
    <x v="5"/>
    <s v="Regeneration Desk Collection"/>
    <n v="7.04"/>
    <n v="4"/>
    <n v="3.1"/>
  </r>
  <r>
    <d v="2016-04-01T00:00:00"/>
    <x v="2"/>
    <x v="2"/>
    <x v="517"/>
    <x v="0"/>
    <x v="0"/>
    <x v="2"/>
    <s v="Cyber Acoustics AC-202b Speech Recognition Stereo Headset"/>
    <n v="12.99"/>
    <n v="1"/>
    <n v="0.26"/>
  </r>
  <r>
    <d v="2016-05-01T00:00:00"/>
    <x v="2"/>
    <x v="10"/>
    <x v="518"/>
    <x v="26"/>
    <x v="2"/>
    <x v="8"/>
    <s v="Avery 499"/>
    <n v="3.98"/>
    <n v="1"/>
    <n v="1.29"/>
  </r>
  <r>
    <d v="2016-05-01T00:00:00"/>
    <x v="2"/>
    <x v="10"/>
    <x v="518"/>
    <x v="26"/>
    <x v="1"/>
    <x v="7"/>
    <s v="Bevis 44 x 96 Conference Tables"/>
    <n v="370.62"/>
    <n v="3"/>
    <n v="-142.07"/>
  </r>
  <r>
    <d v="2016-05-01T00:00:00"/>
    <x v="2"/>
    <x v="10"/>
    <x v="518"/>
    <x v="26"/>
    <x v="2"/>
    <x v="9"/>
    <s v="Newell 3-Hole Punched Plastic Slotted Magazine Holders for Binders"/>
    <n v="2.74"/>
    <n v="2"/>
    <n v="-2.0099999999999998"/>
  </r>
  <r>
    <d v="2016-05-01T00:00:00"/>
    <x v="2"/>
    <x v="10"/>
    <x v="519"/>
    <x v="9"/>
    <x v="2"/>
    <x v="3"/>
    <s v="Xerox 1914"/>
    <n v="109.92"/>
    <n v="2"/>
    <n v="53.86"/>
  </r>
  <r>
    <d v="2016-05-01T00:00:00"/>
    <x v="2"/>
    <x v="10"/>
    <x v="519"/>
    <x v="9"/>
    <x v="2"/>
    <x v="3"/>
    <s v="Xerox 1994"/>
    <n v="19.440000000000001"/>
    <n v="3"/>
    <n v="9.33"/>
  </r>
  <r>
    <d v="2016-05-01T00:00:00"/>
    <x v="2"/>
    <x v="10"/>
    <x v="519"/>
    <x v="9"/>
    <x v="2"/>
    <x v="11"/>
    <s v="DIXON Ticonderoga Erasable Checking Pencils"/>
    <n v="11.16"/>
    <n v="2"/>
    <n v="4.3499999999999996"/>
  </r>
  <r>
    <d v="2016-07-01T00:00:00"/>
    <x v="2"/>
    <x v="4"/>
    <x v="520"/>
    <x v="29"/>
    <x v="2"/>
    <x v="9"/>
    <s v="Wilson Jones Hanging View Binder, White, 1&quot;"/>
    <n v="14.2"/>
    <n v="2"/>
    <n v="6.53"/>
  </r>
  <r>
    <d v="2016-07-01T00:00:00"/>
    <x v="2"/>
    <x v="4"/>
    <x v="520"/>
    <x v="29"/>
    <x v="2"/>
    <x v="3"/>
    <s v="Xerox 210"/>
    <n v="12.96"/>
    <n v="2"/>
    <n v="6.22"/>
  </r>
  <r>
    <d v="2016-07-01T00:00:00"/>
    <x v="2"/>
    <x v="4"/>
    <x v="520"/>
    <x v="29"/>
    <x v="2"/>
    <x v="9"/>
    <s v="Binding Machine Supplies"/>
    <n v="58.34"/>
    <n v="2"/>
    <n v="28"/>
  </r>
  <r>
    <d v="2016-07-01T00:00:00"/>
    <x v="2"/>
    <x v="4"/>
    <x v="429"/>
    <x v="21"/>
    <x v="0"/>
    <x v="12"/>
    <s v="Hewlett Packard 310 Color Digital Copier"/>
    <n v="1499.95"/>
    <n v="5"/>
    <n v="449.99"/>
  </r>
  <r>
    <d v="2016-07-01T00:00:00"/>
    <x v="2"/>
    <x v="4"/>
    <x v="411"/>
    <x v="2"/>
    <x v="2"/>
    <x v="8"/>
    <s v="Avery 477"/>
    <n v="30.53"/>
    <n v="1"/>
    <n v="14.04"/>
  </r>
  <r>
    <d v="2016-07-01T00:00:00"/>
    <x v="2"/>
    <x v="4"/>
    <x v="411"/>
    <x v="2"/>
    <x v="0"/>
    <x v="0"/>
    <s v="KeyTronicÂ KT400U2 -Â KeyboardÂ - Black"/>
    <n v="30.84"/>
    <n v="3"/>
    <n v="6.17"/>
  </r>
  <r>
    <d v="2016-07-01T00:00:00"/>
    <x v="2"/>
    <x v="4"/>
    <x v="411"/>
    <x v="2"/>
    <x v="2"/>
    <x v="3"/>
    <s v="Southworth 25% Cotton Antique Laid Paper &amp; Envelopes"/>
    <n v="75.06"/>
    <n v="9"/>
    <n v="33.78"/>
  </r>
  <r>
    <d v="2016-07-01T00:00:00"/>
    <x v="2"/>
    <x v="4"/>
    <x v="48"/>
    <x v="1"/>
    <x v="2"/>
    <x v="9"/>
    <s v="Zipper Ring Binder Pockets"/>
    <n v="2.5"/>
    <n v="1"/>
    <n v="0.9"/>
  </r>
  <r>
    <d v="2016-08-01T00:00:00"/>
    <x v="2"/>
    <x v="5"/>
    <x v="521"/>
    <x v="4"/>
    <x v="2"/>
    <x v="3"/>
    <s v="Easy-staple paper"/>
    <n v="19.649999999999999"/>
    <n v="2"/>
    <n v="6.63"/>
  </r>
  <r>
    <d v="2016-08-01T00:00:00"/>
    <x v="2"/>
    <x v="5"/>
    <x v="238"/>
    <x v="5"/>
    <x v="0"/>
    <x v="2"/>
    <s v="Apple iPhone 5"/>
    <n v="1039.73"/>
    <n v="2"/>
    <n v="90.98"/>
  </r>
  <r>
    <d v="2016-08-01T00:00:00"/>
    <x v="2"/>
    <x v="5"/>
    <x v="238"/>
    <x v="5"/>
    <x v="2"/>
    <x v="10"/>
    <s v="Belkin F5C206VTEL 6 Outlet Surge"/>
    <n v="45.96"/>
    <n v="2"/>
    <n v="13.79"/>
  </r>
  <r>
    <d v="2016-08-01T00:00:00"/>
    <x v="2"/>
    <x v="5"/>
    <x v="484"/>
    <x v="13"/>
    <x v="1"/>
    <x v="5"/>
    <s v="Eldon 500 Class Desk Accessories"/>
    <n v="19.309999999999999"/>
    <n v="2"/>
    <n v="3.14"/>
  </r>
  <r>
    <d v="2016-09-01T00:00:00"/>
    <x v="2"/>
    <x v="6"/>
    <x v="522"/>
    <x v="2"/>
    <x v="0"/>
    <x v="0"/>
    <s v="Sabrent 4-Port USB 2.0 Hub"/>
    <n v="6.79"/>
    <n v="1"/>
    <n v="2.31"/>
  </r>
  <r>
    <d v="2016-09-01T00:00:00"/>
    <x v="2"/>
    <x v="6"/>
    <x v="522"/>
    <x v="2"/>
    <x v="2"/>
    <x v="3"/>
    <s v="Xerox 1881"/>
    <n v="24.56"/>
    <n v="2"/>
    <n v="11.54"/>
  </r>
  <r>
    <d v="2016-09-01T00:00:00"/>
    <x v="2"/>
    <x v="6"/>
    <x v="522"/>
    <x v="2"/>
    <x v="2"/>
    <x v="9"/>
    <s v="Acco Hanging Data Binders"/>
    <n v="3.05"/>
    <n v="1"/>
    <n v="1.07"/>
  </r>
  <r>
    <d v="2016-09-01T00:00:00"/>
    <x v="2"/>
    <x v="6"/>
    <x v="522"/>
    <x v="2"/>
    <x v="2"/>
    <x v="3"/>
    <s v="Xerox 1881"/>
    <n v="49.12"/>
    <n v="4"/>
    <n v="23.09"/>
  </r>
  <r>
    <d v="2016-09-01T00:00:00"/>
    <x v="2"/>
    <x v="6"/>
    <x v="522"/>
    <x v="2"/>
    <x v="2"/>
    <x v="9"/>
    <s v="GBC DocuBind P400 Electric Binding System"/>
    <n v="4355.17"/>
    <n v="4"/>
    <n v="1415.43"/>
  </r>
  <r>
    <d v="2016-09-01T00:00:00"/>
    <x v="2"/>
    <x v="6"/>
    <x v="523"/>
    <x v="5"/>
    <x v="2"/>
    <x v="13"/>
    <s v="White Business Envelopes with Contemporary Seam, Recycled White Business Envelopes"/>
    <n v="21.88"/>
    <n v="2"/>
    <n v="10.94"/>
  </r>
  <r>
    <d v="2016-09-01T00:00:00"/>
    <x v="2"/>
    <x v="6"/>
    <x v="373"/>
    <x v="13"/>
    <x v="2"/>
    <x v="3"/>
    <s v="Telephone Message Books with Fax/Mobile Section, 5 1/2&quot; x 3 3/16&quot;"/>
    <n v="30.48"/>
    <n v="6"/>
    <n v="9.91"/>
  </r>
  <r>
    <d v="2016-09-01T00:00:00"/>
    <x v="2"/>
    <x v="6"/>
    <x v="373"/>
    <x v="13"/>
    <x v="0"/>
    <x v="2"/>
    <s v="Anker 36W 4-Port USB Wall Charger Travel Power Adapter for iPhone 5s 5c 5"/>
    <n v="23.99"/>
    <n v="2"/>
    <n v="-4.8"/>
  </r>
  <r>
    <d v="2016-09-01T00:00:00"/>
    <x v="2"/>
    <x v="6"/>
    <x v="373"/>
    <x v="13"/>
    <x v="2"/>
    <x v="4"/>
    <s v="Staples"/>
    <n v="16.690000000000001"/>
    <n v="7"/>
    <n v="5.42"/>
  </r>
  <r>
    <d v="2016-09-01T00:00:00"/>
    <x v="2"/>
    <x v="6"/>
    <x v="233"/>
    <x v="2"/>
    <x v="0"/>
    <x v="0"/>
    <s v="Enermax Aurora Lite Keyboard"/>
    <n v="468.9"/>
    <n v="6"/>
    <n v="206.32"/>
  </r>
  <r>
    <d v="2016-09-01T00:00:00"/>
    <x v="2"/>
    <x v="6"/>
    <x v="233"/>
    <x v="2"/>
    <x v="0"/>
    <x v="0"/>
    <s v="Memorex Mini Travel Drive 64 GB USB 2.0 Flash Drive"/>
    <n v="72.48"/>
    <n v="2"/>
    <n v="30.44"/>
  </r>
  <r>
    <d v="2016-09-01T00:00:00"/>
    <x v="2"/>
    <x v="6"/>
    <x v="233"/>
    <x v="2"/>
    <x v="2"/>
    <x v="15"/>
    <s v="Acme Value Line Scissors"/>
    <n v="10.95"/>
    <n v="3"/>
    <n v="3.29"/>
  </r>
  <r>
    <d v="2016-09-01T00:00:00"/>
    <x v="2"/>
    <x v="6"/>
    <x v="233"/>
    <x v="2"/>
    <x v="1"/>
    <x v="5"/>
    <s v="Howard Miller 14-1/2&quot; Diameter Chrome Round Wall Clock"/>
    <n v="191.82"/>
    <n v="3"/>
    <n v="61.38"/>
  </r>
  <r>
    <d v="2016-09-01T00:00:00"/>
    <x v="2"/>
    <x v="6"/>
    <x v="313"/>
    <x v="10"/>
    <x v="2"/>
    <x v="9"/>
    <s v="Wilson Jones Turn Tabs Binder Tool for Ring Binders"/>
    <n v="24.1"/>
    <n v="5"/>
    <n v="11.09"/>
  </r>
  <r>
    <d v="2016-09-01T00:00:00"/>
    <x v="2"/>
    <x v="6"/>
    <x v="313"/>
    <x v="10"/>
    <x v="0"/>
    <x v="2"/>
    <s v="Belkin Grip Candy Sheer Case / Cover for iPhone 5 and 5S"/>
    <n v="8.7799999999999994"/>
    <n v="1"/>
    <n v="2.2799999999999998"/>
  </r>
  <r>
    <d v="2016-09-01T00:00:00"/>
    <x v="2"/>
    <x v="6"/>
    <x v="313"/>
    <x v="10"/>
    <x v="2"/>
    <x v="10"/>
    <s v="Eureka The Boss Plus 12-Amp Hard Box Upright Vacuum, Red"/>
    <n v="376.74"/>
    <n v="4"/>
    <n v="71.16"/>
  </r>
  <r>
    <d v="2016-09-01T00:00:00"/>
    <x v="2"/>
    <x v="6"/>
    <x v="313"/>
    <x v="10"/>
    <x v="2"/>
    <x v="9"/>
    <s v="GBC Plastic Binding Combs"/>
    <n v="29.52"/>
    <n v="4"/>
    <n v="14.46"/>
  </r>
  <r>
    <d v="2016-09-01T00:00:00"/>
    <x v="2"/>
    <x v="6"/>
    <x v="313"/>
    <x v="10"/>
    <x v="2"/>
    <x v="11"/>
    <s v="Newell 315"/>
    <n v="11.96"/>
    <n v="2"/>
    <n v="2.99"/>
  </r>
  <r>
    <d v="2016-09-01T00:00:00"/>
    <x v="2"/>
    <x v="6"/>
    <x v="313"/>
    <x v="10"/>
    <x v="2"/>
    <x v="9"/>
    <s v="Wilson Jones 1&quot; Hanging DublLock Ring Binders"/>
    <n v="26.4"/>
    <n v="5"/>
    <n v="12.67"/>
  </r>
  <r>
    <d v="2016-09-01T00:00:00"/>
    <x v="2"/>
    <x v="6"/>
    <x v="524"/>
    <x v="5"/>
    <x v="2"/>
    <x v="13"/>
    <s v="Globe Weis Peel &amp; Seel First Class Envelopes"/>
    <n v="12.78"/>
    <n v="1"/>
    <n v="5.75"/>
  </r>
  <r>
    <d v="2016-10-01T00:00:00"/>
    <x v="2"/>
    <x v="7"/>
    <x v="525"/>
    <x v="5"/>
    <x v="1"/>
    <x v="1"/>
    <s v="Global Value Mid-Back Manager's Chair, Gray"/>
    <n v="194.85"/>
    <n v="4"/>
    <n v="12.18"/>
  </r>
  <r>
    <d v="2016-10-01T00:00:00"/>
    <x v="2"/>
    <x v="7"/>
    <x v="116"/>
    <x v="33"/>
    <x v="0"/>
    <x v="2"/>
    <s v="Plantronics CordlessÂ Phone HeadsetÂ with In-line Volume - M214C"/>
    <n v="69.900000000000006"/>
    <n v="2"/>
    <n v="18.87"/>
  </r>
  <r>
    <d v="2016-10-01T00:00:00"/>
    <x v="2"/>
    <x v="7"/>
    <x v="116"/>
    <x v="33"/>
    <x v="1"/>
    <x v="5"/>
    <s v="Westinghouse Clip-On Gooseneck Lamps"/>
    <n v="41.85"/>
    <n v="5"/>
    <n v="10.88"/>
  </r>
  <r>
    <d v="2016-10-01T00:00:00"/>
    <x v="2"/>
    <x v="7"/>
    <x v="256"/>
    <x v="2"/>
    <x v="1"/>
    <x v="7"/>
    <s v="Chromcraft Bull-Nose Wood 48&quot; x 96&quot; Rectangular Conference Tables"/>
    <n v="330.59"/>
    <n v="1"/>
    <n v="-115.71"/>
  </r>
  <r>
    <d v="2016-10-01T00:00:00"/>
    <x v="2"/>
    <x v="7"/>
    <x v="526"/>
    <x v="4"/>
    <x v="0"/>
    <x v="0"/>
    <s v="ImationÂ 16GB Mini TravelDrive USB 2.0Â Flash Drive"/>
    <n v="79.510000000000005"/>
    <n v="3"/>
    <n v="20.87"/>
  </r>
  <r>
    <d v="2016-10-01T00:00:00"/>
    <x v="2"/>
    <x v="7"/>
    <x v="526"/>
    <x v="4"/>
    <x v="2"/>
    <x v="3"/>
    <s v="Easy-staple paper"/>
    <n v="28.35"/>
    <n v="1"/>
    <n v="9.57"/>
  </r>
  <r>
    <d v="2016-10-01T00:00:00"/>
    <x v="2"/>
    <x v="7"/>
    <x v="283"/>
    <x v="11"/>
    <x v="2"/>
    <x v="9"/>
    <s v="Avery Non-Stick Binders"/>
    <n v="5.39"/>
    <n v="4"/>
    <n v="-4.49"/>
  </r>
  <r>
    <d v="2016-10-01T00:00:00"/>
    <x v="2"/>
    <x v="7"/>
    <x v="283"/>
    <x v="11"/>
    <x v="2"/>
    <x v="11"/>
    <s v="Staples in misc. colors"/>
    <n v="30.98"/>
    <n v="8"/>
    <n v="5.03"/>
  </r>
  <r>
    <d v="2016-11-01T00:00:00"/>
    <x v="2"/>
    <x v="8"/>
    <x v="425"/>
    <x v="20"/>
    <x v="0"/>
    <x v="2"/>
    <s v="LF Elite 3D Dazzle Designer Hard Case Cover, Lf Stylus Pen and Wiper For Apple Iphone 5c Mini Lite"/>
    <n v="21.8"/>
    <n v="2"/>
    <n v="6.1"/>
  </r>
  <r>
    <d v="2016-11-01T00:00:00"/>
    <x v="2"/>
    <x v="8"/>
    <x v="425"/>
    <x v="20"/>
    <x v="2"/>
    <x v="13"/>
    <s v="Airmail Envelopes"/>
    <n v="251.79"/>
    <n v="3"/>
    <n v="118.34"/>
  </r>
  <r>
    <d v="2016-11-01T00:00:00"/>
    <x v="2"/>
    <x v="8"/>
    <x v="500"/>
    <x v="4"/>
    <x v="2"/>
    <x v="6"/>
    <s v="Tenex Personal Filing Tote With Secure Closure Lid, Black/Frost"/>
    <n v="111.67"/>
    <n v="9"/>
    <n v="6.98"/>
  </r>
  <r>
    <d v="2016-11-01T00:00:00"/>
    <x v="2"/>
    <x v="8"/>
    <x v="175"/>
    <x v="3"/>
    <x v="0"/>
    <x v="0"/>
    <s v="Maxell 4.7GB DVD-R"/>
    <n v="68.11"/>
    <n v="3"/>
    <n v="17.88"/>
  </r>
  <r>
    <d v="2016-12-01T00:00:00"/>
    <x v="2"/>
    <x v="9"/>
    <x v="141"/>
    <x v="7"/>
    <x v="2"/>
    <x v="3"/>
    <s v="Universal Premium White Copier/Laser Paper (20Lb. and 87 Bright)"/>
    <n v="23.92"/>
    <n v="4"/>
    <n v="11.72"/>
  </r>
  <r>
    <d v="2016-12-01T00:00:00"/>
    <x v="2"/>
    <x v="9"/>
    <x v="527"/>
    <x v="24"/>
    <x v="1"/>
    <x v="1"/>
    <s v="Harbour Creations Steel Folding Chair"/>
    <n v="172.5"/>
    <n v="2"/>
    <n v="51.75"/>
  </r>
  <r>
    <d v="2016-12-01T00:00:00"/>
    <x v="2"/>
    <x v="9"/>
    <x v="527"/>
    <x v="24"/>
    <x v="0"/>
    <x v="2"/>
    <s v="JBL Micro Wireless Portable Bluetooth Speaker"/>
    <n v="179.97"/>
    <n v="3"/>
    <n v="44.99"/>
  </r>
  <r>
    <d v="2016-12-01T00:00:00"/>
    <x v="2"/>
    <x v="9"/>
    <x v="209"/>
    <x v="33"/>
    <x v="1"/>
    <x v="5"/>
    <s v="DAX Cubicle Frames - 8x10"/>
    <n v="17.309999999999999"/>
    <n v="3"/>
    <n v="5.19"/>
  </r>
  <r>
    <d v="2016-12-01T00:00:00"/>
    <x v="2"/>
    <x v="9"/>
    <x v="84"/>
    <x v="26"/>
    <x v="2"/>
    <x v="11"/>
    <s v="Newell 343"/>
    <n v="4.7"/>
    <n v="2"/>
    <n v="0.41"/>
  </r>
  <r>
    <d v="2016-12-01T00:00:00"/>
    <x v="2"/>
    <x v="9"/>
    <x v="528"/>
    <x v="5"/>
    <x v="1"/>
    <x v="5"/>
    <s v="Westinghouse Clip-On Gooseneck Lamps"/>
    <n v="16.739999999999998"/>
    <n v="2"/>
    <n v="4.3499999999999996"/>
  </r>
  <r>
    <d v="2016-12-01T00:00:00"/>
    <x v="2"/>
    <x v="9"/>
    <x v="248"/>
    <x v="25"/>
    <x v="2"/>
    <x v="9"/>
    <s v="XtraLife ClearVue Slant-D Ring Binder, White, 3&quot;"/>
    <n v="88.08"/>
    <n v="6"/>
    <n v="40.520000000000003"/>
  </r>
  <r>
    <d v="2016-12-01T00:00:00"/>
    <x v="2"/>
    <x v="9"/>
    <x v="248"/>
    <x v="25"/>
    <x v="1"/>
    <x v="1"/>
    <s v="Hon Every-Day Series Multi-Task Chairs"/>
    <n v="751.92"/>
    <n v="4"/>
    <n v="150.38"/>
  </r>
  <r>
    <d v="2016-12-01T00:00:00"/>
    <x v="2"/>
    <x v="9"/>
    <x v="395"/>
    <x v="12"/>
    <x v="0"/>
    <x v="2"/>
    <s v="Jabra Supreme Plus Driver EditionÂ Headset"/>
    <n v="863.93"/>
    <n v="9"/>
    <n v="86.39"/>
  </r>
  <r>
    <d v="2016-12-01T00:00:00"/>
    <x v="2"/>
    <x v="9"/>
    <x v="529"/>
    <x v="4"/>
    <x v="1"/>
    <x v="1"/>
    <s v="Situations Contoured Folding Chairs, 4/Set"/>
    <n v="248.43"/>
    <n v="5"/>
    <n v="-17.75"/>
  </r>
  <r>
    <d v="2016-12-01T00:00:00"/>
    <x v="2"/>
    <x v="9"/>
    <x v="529"/>
    <x v="4"/>
    <x v="2"/>
    <x v="10"/>
    <s v="Acco 6 Outlet Guardian Premium Surge Suppressor"/>
    <n v="11.65"/>
    <n v="4"/>
    <n v="-30.87"/>
  </r>
  <r>
    <d v="2016-12-01T00:00:00"/>
    <x v="2"/>
    <x v="9"/>
    <x v="529"/>
    <x v="4"/>
    <x v="1"/>
    <x v="1"/>
    <s v="Global Push Button Manager's Chair, Indigo"/>
    <n v="85.25"/>
    <n v="2"/>
    <n v="-1.22"/>
  </r>
  <r>
    <d v="2016-12-01T00:00:00"/>
    <x v="2"/>
    <x v="9"/>
    <x v="74"/>
    <x v="6"/>
    <x v="0"/>
    <x v="2"/>
    <s v="Jensen SMPS-640 -Â speaker phone"/>
    <n v="137.94"/>
    <n v="3"/>
    <n v="35.86"/>
  </r>
  <r>
    <d v="2016-12-01T00:00:00"/>
    <x v="2"/>
    <x v="9"/>
    <x v="74"/>
    <x v="6"/>
    <x v="1"/>
    <x v="5"/>
    <s v="Executive Impressions 14&quot;"/>
    <n v="111.15"/>
    <n v="5"/>
    <n v="48.91"/>
  </r>
  <r>
    <d v="2016-12-01T00:00:00"/>
    <x v="2"/>
    <x v="9"/>
    <x v="74"/>
    <x v="6"/>
    <x v="2"/>
    <x v="10"/>
    <s v="Honeywell Enviracaire Portable HEPA Air Cleaner for 17' x 22' Room"/>
    <n v="901.95"/>
    <n v="3"/>
    <n v="297.64"/>
  </r>
  <r>
    <d v="2016-12-01T00:00:00"/>
    <x v="2"/>
    <x v="9"/>
    <x v="74"/>
    <x v="6"/>
    <x v="1"/>
    <x v="7"/>
    <s v="Chromcraft Round Conference Tables"/>
    <n v="366.01"/>
    <n v="3"/>
    <n v="-47.06"/>
  </r>
  <r>
    <d v="2016-12-01T00:00:00"/>
    <x v="2"/>
    <x v="9"/>
    <x v="513"/>
    <x v="20"/>
    <x v="2"/>
    <x v="10"/>
    <s v="Honeywell Enviracaire Portable HEPA Air Cleaner for 17' x 22' Room"/>
    <n v="2104.5500000000002"/>
    <n v="7"/>
    <n v="694.5"/>
  </r>
  <r>
    <d v="2016-12-01T00:00:00"/>
    <x v="2"/>
    <x v="9"/>
    <x v="513"/>
    <x v="20"/>
    <x v="2"/>
    <x v="15"/>
    <s v="Acme Softgrip Scissors"/>
    <n v="40.700000000000003"/>
    <n v="5"/>
    <n v="11.8"/>
  </r>
  <r>
    <d v="2016-12-01T00:00:00"/>
    <x v="2"/>
    <x v="9"/>
    <x v="524"/>
    <x v="5"/>
    <x v="1"/>
    <x v="5"/>
    <s v="Tenex Chairmats For Use With Carpeted Floors"/>
    <n v="31.96"/>
    <n v="2"/>
    <n v="1.6"/>
  </r>
  <r>
    <d v="2016-12-01T00:00:00"/>
    <x v="2"/>
    <x v="9"/>
    <x v="524"/>
    <x v="5"/>
    <x v="2"/>
    <x v="3"/>
    <s v="Xerox 1886"/>
    <n v="47.9"/>
    <n v="1"/>
    <n v="22.99"/>
  </r>
  <r>
    <d v="2016-12-01T00:00:00"/>
    <x v="2"/>
    <x v="9"/>
    <x v="524"/>
    <x v="5"/>
    <x v="2"/>
    <x v="6"/>
    <s v="Sauder Facets Collection Locker/File Cabinet, Sky Alder Finish"/>
    <n v="1112.94"/>
    <n v="3"/>
    <n v="222.59"/>
  </r>
  <r>
    <d v="2016-12-01T00:00:00"/>
    <x v="2"/>
    <x v="9"/>
    <x v="524"/>
    <x v="5"/>
    <x v="2"/>
    <x v="13"/>
    <s v="#10- 4 1/8&quot; x 9 1/2&quot; Security-Tint Envelopes"/>
    <n v="22.92"/>
    <n v="3"/>
    <n v="11.23"/>
  </r>
  <r>
    <d v="2016-12-01T00:00:00"/>
    <x v="2"/>
    <x v="9"/>
    <x v="372"/>
    <x v="5"/>
    <x v="2"/>
    <x v="11"/>
    <s v="Sanford Colorific Colored Pencils, 12/Box"/>
    <n v="23.04"/>
    <n v="8"/>
    <n v="6.91"/>
  </r>
  <r>
    <d v="2016-01-02T00:00:00"/>
    <x v="2"/>
    <x v="11"/>
    <x v="530"/>
    <x v="24"/>
    <x v="1"/>
    <x v="16"/>
    <s v="Bush Westfield Collection Bookcases, Medium Cherry Finish"/>
    <n v="173.94"/>
    <n v="3"/>
    <n v="38.270000000000003"/>
  </r>
  <r>
    <d v="2016-01-02T00:00:00"/>
    <x v="2"/>
    <x v="11"/>
    <x v="530"/>
    <x v="24"/>
    <x v="0"/>
    <x v="2"/>
    <s v="GE 30522EE2"/>
    <n v="231.98"/>
    <n v="2"/>
    <n v="67.27"/>
  </r>
  <r>
    <d v="2016-02-02T00:00:00"/>
    <x v="2"/>
    <x v="0"/>
    <x v="443"/>
    <x v="2"/>
    <x v="2"/>
    <x v="6"/>
    <s v="Belkin 19&quot; Center-Weighted Shelf, Gray"/>
    <n v="117.96"/>
    <n v="2"/>
    <n v="5.9"/>
  </r>
  <r>
    <d v="2016-02-02T00:00:00"/>
    <x v="2"/>
    <x v="0"/>
    <x v="272"/>
    <x v="20"/>
    <x v="0"/>
    <x v="14"/>
    <s v="HP Designjet T520 Inkjet Large Format Printer - 24&quot; Color"/>
    <n v="8749.9500000000007"/>
    <n v="5"/>
    <n v="2799.98"/>
  </r>
  <r>
    <d v="2016-02-02T00:00:00"/>
    <x v="2"/>
    <x v="0"/>
    <x v="272"/>
    <x v="20"/>
    <x v="2"/>
    <x v="9"/>
    <s v="Presstex Flexible Ring Binders"/>
    <n v="36.4"/>
    <n v="8"/>
    <n v="18.2"/>
  </r>
  <r>
    <d v="2016-02-02T00:00:00"/>
    <x v="2"/>
    <x v="0"/>
    <x v="272"/>
    <x v="20"/>
    <x v="1"/>
    <x v="5"/>
    <s v="Acrylic Self-Standing Desk Frames"/>
    <n v="18.690000000000001"/>
    <n v="7"/>
    <n v="7.1"/>
  </r>
  <r>
    <d v="2016-02-02T00:00:00"/>
    <x v="2"/>
    <x v="0"/>
    <x v="433"/>
    <x v="4"/>
    <x v="1"/>
    <x v="5"/>
    <s v="Deflect-o RollaMat Studded, Beveled Mat for Medium Pile Carpeting"/>
    <n v="73.78"/>
    <n v="2"/>
    <n v="-77.47"/>
  </r>
  <r>
    <d v="2016-04-02T00:00:00"/>
    <x v="2"/>
    <x v="2"/>
    <x v="231"/>
    <x v="0"/>
    <x v="1"/>
    <x v="1"/>
    <s v="Global Executive Mid-Back Manager's Chair"/>
    <n v="1454.9"/>
    <n v="5"/>
    <n v="378.27"/>
  </r>
  <r>
    <d v="2016-05-02T00:00:00"/>
    <x v="2"/>
    <x v="10"/>
    <x v="531"/>
    <x v="4"/>
    <x v="2"/>
    <x v="11"/>
    <s v="Panasonic KP-380BK Classic Electric Pencil Sharpener"/>
    <n v="86.35"/>
    <n v="3"/>
    <n v="5.4"/>
  </r>
  <r>
    <d v="2016-05-02T00:00:00"/>
    <x v="2"/>
    <x v="10"/>
    <x v="532"/>
    <x v="2"/>
    <x v="2"/>
    <x v="6"/>
    <s v="Super Decoflex Portable Personal File"/>
    <n v="44.94"/>
    <n v="3"/>
    <n v="12.58"/>
  </r>
  <r>
    <d v="2016-05-02T00:00:00"/>
    <x v="2"/>
    <x v="10"/>
    <x v="532"/>
    <x v="2"/>
    <x v="2"/>
    <x v="9"/>
    <s v="Poly Designer Cover &amp; Back"/>
    <n v="45.58"/>
    <n v="3"/>
    <n v="15.95"/>
  </r>
  <r>
    <d v="2016-05-02T00:00:00"/>
    <x v="2"/>
    <x v="10"/>
    <x v="533"/>
    <x v="12"/>
    <x v="1"/>
    <x v="1"/>
    <s v="Global Stack Chair without Arms, Black"/>
    <n v="187.06"/>
    <n v="9"/>
    <n v="11.69"/>
  </r>
  <r>
    <d v="2016-05-02T00:00:00"/>
    <x v="2"/>
    <x v="10"/>
    <x v="472"/>
    <x v="4"/>
    <x v="2"/>
    <x v="6"/>
    <s v="Akro Stacking Bins"/>
    <n v="18.940000000000001"/>
    <n v="3"/>
    <n v="-3.79"/>
  </r>
  <r>
    <d v="2016-05-02T00:00:00"/>
    <x v="2"/>
    <x v="10"/>
    <x v="472"/>
    <x v="4"/>
    <x v="2"/>
    <x v="6"/>
    <s v="Sterilite Show Offs Storage Containers"/>
    <n v="12.67"/>
    <n v="3"/>
    <n v="-3.17"/>
  </r>
  <r>
    <d v="2016-05-02T00:00:00"/>
    <x v="2"/>
    <x v="10"/>
    <x v="472"/>
    <x v="4"/>
    <x v="2"/>
    <x v="8"/>
    <s v="Avery 502"/>
    <n v="5.04"/>
    <n v="2"/>
    <n v="1.76"/>
  </r>
  <r>
    <d v="2016-05-02T00:00:00"/>
    <x v="2"/>
    <x v="10"/>
    <x v="191"/>
    <x v="4"/>
    <x v="1"/>
    <x v="1"/>
    <s v="Office Star - Contemporary Task Swivel chair with Loop Arms, Charcoal"/>
    <n v="366.74"/>
    <n v="4"/>
    <n v="-110.02"/>
  </r>
  <r>
    <d v="2016-05-02T00:00:00"/>
    <x v="2"/>
    <x v="10"/>
    <x v="297"/>
    <x v="2"/>
    <x v="1"/>
    <x v="5"/>
    <s v="Eldon 200 Class Desk Accessories"/>
    <n v="12.56"/>
    <n v="2"/>
    <n v="4.0199999999999996"/>
  </r>
  <r>
    <d v="2016-05-02T00:00:00"/>
    <x v="2"/>
    <x v="10"/>
    <x v="297"/>
    <x v="2"/>
    <x v="2"/>
    <x v="9"/>
    <s v="Vinyl Sectional Post Binders"/>
    <n v="90.48"/>
    <n v="3"/>
    <n v="33.93"/>
  </r>
  <r>
    <d v="2016-05-02T00:00:00"/>
    <x v="2"/>
    <x v="10"/>
    <x v="297"/>
    <x v="2"/>
    <x v="2"/>
    <x v="3"/>
    <s v="Southworth Parchment Paper &amp; Envelopes"/>
    <n v="13.08"/>
    <n v="2"/>
    <n v="6.02"/>
  </r>
  <r>
    <d v="2016-05-02T00:00:00"/>
    <x v="2"/>
    <x v="10"/>
    <x v="297"/>
    <x v="2"/>
    <x v="1"/>
    <x v="5"/>
    <s v="Howard Miller 13&quot; Diameter Pewter Finish Round Wall Clock"/>
    <n v="214.7"/>
    <n v="5"/>
    <n v="83.73"/>
  </r>
  <r>
    <d v="2016-06-02T00:00:00"/>
    <x v="2"/>
    <x v="3"/>
    <x v="219"/>
    <x v="13"/>
    <x v="2"/>
    <x v="6"/>
    <s v="Carina Double Wide Media Storage Towers in Natural &amp; Black"/>
    <n v="64.78"/>
    <n v="1"/>
    <n v="-12.96"/>
  </r>
  <r>
    <d v="2016-06-02T00:00:00"/>
    <x v="2"/>
    <x v="3"/>
    <x v="297"/>
    <x v="1"/>
    <x v="2"/>
    <x v="3"/>
    <s v="Riverleaf Stik-Withit Designer Note Cubes"/>
    <n v="30.18"/>
    <n v="3"/>
    <n v="13.88"/>
  </r>
  <r>
    <d v="2016-06-02T00:00:00"/>
    <x v="2"/>
    <x v="3"/>
    <x v="297"/>
    <x v="1"/>
    <x v="2"/>
    <x v="9"/>
    <s v="Acco PRESSTEX Data Binder with Storage Hooks, Dark Blue, 14 7/8&quot; X 11&quot;"/>
    <n v="51.65"/>
    <n v="12"/>
    <n v="18.72"/>
  </r>
  <r>
    <d v="2016-06-02T00:00:00"/>
    <x v="2"/>
    <x v="3"/>
    <x v="297"/>
    <x v="1"/>
    <x v="2"/>
    <x v="9"/>
    <s v="Acco Translucent Poly Ring Binders"/>
    <n v="11.23"/>
    <n v="3"/>
    <n v="3.93"/>
  </r>
  <r>
    <d v="2016-07-02T00:00:00"/>
    <x v="2"/>
    <x v="4"/>
    <x v="408"/>
    <x v="5"/>
    <x v="1"/>
    <x v="1"/>
    <s v="Hon Deluxe Fabric Upholstered Stacking Chairs"/>
    <n v="195.18"/>
    <n v="1"/>
    <n v="19.52"/>
  </r>
  <r>
    <d v="2016-07-02T00:00:00"/>
    <x v="2"/>
    <x v="4"/>
    <x v="534"/>
    <x v="20"/>
    <x v="2"/>
    <x v="11"/>
    <s v="Avery Hi-Liter Pen Style Six-Color Fluorescent Set"/>
    <n v="7.7"/>
    <n v="2"/>
    <n v="3.16"/>
  </r>
  <r>
    <d v="2016-07-02T00:00:00"/>
    <x v="2"/>
    <x v="4"/>
    <x v="29"/>
    <x v="4"/>
    <x v="1"/>
    <x v="1"/>
    <s v="Global Airflow Leather Mesh Back Chair, Black"/>
    <n v="528.42999999999995"/>
    <n v="5"/>
    <n v="0"/>
  </r>
  <r>
    <d v="2016-07-02T00:00:00"/>
    <x v="2"/>
    <x v="4"/>
    <x v="29"/>
    <x v="4"/>
    <x v="2"/>
    <x v="3"/>
    <s v="Xerox 201"/>
    <n v="41.47"/>
    <n v="8"/>
    <n v="14.52"/>
  </r>
  <r>
    <d v="2016-08-02T00:00:00"/>
    <x v="2"/>
    <x v="5"/>
    <x v="535"/>
    <x v="5"/>
    <x v="1"/>
    <x v="7"/>
    <s v="Barricks Non-Folding Utility Table with Steel Legs, Laminate Tops"/>
    <n v="136.46"/>
    <n v="2"/>
    <n v="15.35"/>
  </r>
  <r>
    <d v="2016-08-02T00:00:00"/>
    <x v="2"/>
    <x v="5"/>
    <x v="535"/>
    <x v="5"/>
    <x v="0"/>
    <x v="2"/>
    <s v="Nortel Business Series Terminal T7208 Digital phone"/>
    <n v="333.58"/>
    <n v="3"/>
    <n v="33.36"/>
  </r>
  <r>
    <d v="2016-08-02T00:00:00"/>
    <x v="2"/>
    <x v="5"/>
    <x v="535"/>
    <x v="5"/>
    <x v="2"/>
    <x v="9"/>
    <s v="XtraLife ClearVue Slant-D Ring Binders by Cardinal"/>
    <n v="12.54"/>
    <n v="2"/>
    <n v="4.7"/>
  </r>
  <r>
    <d v="2016-09-02T00:00:00"/>
    <x v="2"/>
    <x v="6"/>
    <x v="293"/>
    <x v="2"/>
    <x v="2"/>
    <x v="11"/>
    <s v="Panasonic KP-150 Electric Pencil Sharpener"/>
    <n v="75.48"/>
    <n v="2"/>
    <n v="19.62"/>
  </r>
  <r>
    <d v="2016-09-02T00:00:00"/>
    <x v="2"/>
    <x v="6"/>
    <x v="293"/>
    <x v="2"/>
    <x v="1"/>
    <x v="5"/>
    <s v="Telescoping Adjustable Floor Lamp"/>
    <n v="39.979999999999997"/>
    <n v="2"/>
    <n v="10"/>
  </r>
  <r>
    <d v="2016-09-02T00:00:00"/>
    <x v="2"/>
    <x v="6"/>
    <x v="139"/>
    <x v="0"/>
    <x v="2"/>
    <x v="4"/>
    <s v="Colored Push Pins"/>
    <n v="1.81"/>
    <n v="1"/>
    <n v="0.65"/>
  </r>
  <r>
    <d v="2016-09-02T00:00:00"/>
    <x v="2"/>
    <x v="6"/>
    <x v="139"/>
    <x v="0"/>
    <x v="2"/>
    <x v="9"/>
    <s v="ACCOHIDE 3-Ring Binder, Blue, 1&quot;"/>
    <n v="8.26"/>
    <n v="2"/>
    <n v="3.88"/>
  </r>
  <r>
    <d v="2016-09-02T00:00:00"/>
    <x v="2"/>
    <x v="6"/>
    <x v="120"/>
    <x v="5"/>
    <x v="2"/>
    <x v="6"/>
    <s v="Tenex File Box, Personal Filing Tote with Lid, Black"/>
    <n v="46.53"/>
    <n v="3"/>
    <n v="12.1"/>
  </r>
  <r>
    <d v="2016-09-02T00:00:00"/>
    <x v="2"/>
    <x v="6"/>
    <x v="154"/>
    <x v="3"/>
    <x v="2"/>
    <x v="8"/>
    <s v="Self-Adhesive Address Labels for Typewriters by Universal"/>
    <n v="29.24"/>
    <n v="5"/>
    <n v="9.8699999999999992"/>
  </r>
  <r>
    <d v="2016-09-02T00:00:00"/>
    <x v="2"/>
    <x v="6"/>
    <x v="154"/>
    <x v="3"/>
    <x v="2"/>
    <x v="6"/>
    <s v="Rogers Deluxe File Chest"/>
    <n v="35.17"/>
    <n v="2"/>
    <n v="-8.35"/>
  </r>
  <r>
    <d v="2016-09-02T00:00:00"/>
    <x v="2"/>
    <x v="6"/>
    <x v="154"/>
    <x v="3"/>
    <x v="0"/>
    <x v="14"/>
    <s v="Okidata C610n Printer"/>
    <n v="1362.9"/>
    <n v="3"/>
    <n v="-19.47"/>
  </r>
  <r>
    <d v="2016-09-02T00:00:00"/>
    <x v="2"/>
    <x v="6"/>
    <x v="309"/>
    <x v="3"/>
    <x v="1"/>
    <x v="5"/>
    <s v="Deflect-o DuraMat Antistatic Studded Beveled Mat for Medium Pile Carpeting"/>
    <n v="84.27"/>
    <n v="2"/>
    <n v="-75.84"/>
  </r>
  <r>
    <d v="2016-09-02T00:00:00"/>
    <x v="2"/>
    <x v="6"/>
    <x v="536"/>
    <x v="12"/>
    <x v="2"/>
    <x v="9"/>
    <s v="Heavy-Duty E-Z-D Binders"/>
    <n v="22.91"/>
    <n v="7"/>
    <n v="-17.57"/>
  </r>
  <r>
    <d v="2016-09-02T00:00:00"/>
    <x v="2"/>
    <x v="6"/>
    <x v="536"/>
    <x v="12"/>
    <x v="2"/>
    <x v="10"/>
    <s v="Belkin F9M820V08 8 Outlet Surge"/>
    <n v="309.45999999999998"/>
    <n v="9"/>
    <n v="34.81"/>
  </r>
  <r>
    <d v="2016-09-02T00:00:00"/>
    <x v="2"/>
    <x v="6"/>
    <x v="536"/>
    <x v="12"/>
    <x v="2"/>
    <x v="11"/>
    <s v="Zebra Zazzle Fluorescent Highlighters"/>
    <n v="19.46"/>
    <n v="4"/>
    <n v="3.4"/>
  </r>
  <r>
    <d v="2016-09-02T00:00:00"/>
    <x v="2"/>
    <x v="6"/>
    <x v="536"/>
    <x v="12"/>
    <x v="1"/>
    <x v="7"/>
    <s v="Hon Racetrack Conference Tables"/>
    <n v="472.52"/>
    <n v="3"/>
    <n v="-149.63"/>
  </r>
  <r>
    <d v="2016-09-02T00:00:00"/>
    <x v="2"/>
    <x v="6"/>
    <x v="536"/>
    <x v="12"/>
    <x v="0"/>
    <x v="0"/>
    <s v="Plantronics Savi W720 Multi-Device Wireless Headset System"/>
    <n v="1012.68"/>
    <n v="3"/>
    <n v="303.8"/>
  </r>
  <r>
    <d v="2016-09-02T00:00:00"/>
    <x v="2"/>
    <x v="6"/>
    <x v="536"/>
    <x v="12"/>
    <x v="2"/>
    <x v="9"/>
    <s v="GBC Plasticlear Binding Covers"/>
    <n v="17.22"/>
    <n v="5"/>
    <n v="-12.63"/>
  </r>
  <r>
    <d v="2016-09-02T00:00:00"/>
    <x v="2"/>
    <x v="6"/>
    <x v="462"/>
    <x v="1"/>
    <x v="0"/>
    <x v="12"/>
    <s v="Hewlett Packard 610 Color Digital Copier / Printer"/>
    <n v="999.98"/>
    <n v="2"/>
    <n v="449.99"/>
  </r>
  <r>
    <d v="2016-09-02T00:00:00"/>
    <x v="2"/>
    <x v="6"/>
    <x v="537"/>
    <x v="4"/>
    <x v="2"/>
    <x v="9"/>
    <s v="Acco PRESSTEX Data Binder with Storage Hooks, Dark Blue, 9 1/2&quot; X 11&quot;"/>
    <n v="8.61"/>
    <n v="8"/>
    <n v="-13.34"/>
  </r>
  <r>
    <d v="2016-09-02T00:00:00"/>
    <x v="2"/>
    <x v="6"/>
    <x v="537"/>
    <x v="4"/>
    <x v="0"/>
    <x v="0"/>
    <s v="LogitechÂ MX Performance Wireless Mouse"/>
    <n v="159.56"/>
    <n v="5"/>
    <n v="33.909999999999997"/>
  </r>
  <r>
    <d v="2016-09-02T00:00:00"/>
    <x v="2"/>
    <x v="6"/>
    <x v="217"/>
    <x v="1"/>
    <x v="1"/>
    <x v="1"/>
    <s v="Global Leather Task Chair, Black"/>
    <n v="215.98"/>
    <n v="3"/>
    <n v="-2.7"/>
  </r>
  <r>
    <d v="2016-09-02T00:00:00"/>
    <x v="2"/>
    <x v="6"/>
    <x v="217"/>
    <x v="1"/>
    <x v="2"/>
    <x v="13"/>
    <s v="Inter-Office Recycled Envelopes, Brown Kraft, Button-String,10&quot; x 13&quot; , 100/Box"/>
    <n v="65.94"/>
    <n v="3"/>
    <n v="30.99"/>
  </r>
  <r>
    <d v="2016-09-02T00:00:00"/>
    <x v="2"/>
    <x v="6"/>
    <x v="212"/>
    <x v="5"/>
    <x v="1"/>
    <x v="5"/>
    <s v="Ultra Door Pull Handle"/>
    <n v="94.68"/>
    <n v="9"/>
    <n v="31.24"/>
  </r>
  <r>
    <d v="2016-09-02T00:00:00"/>
    <x v="2"/>
    <x v="6"/>
    <x v="212"/>
    <x v="5"/>
    <x v="2"/>
    <x v="6"/>
    <s v="Akro Stacking Bins"/>
    <n v="23.67"/>
    <n v="3"/>
    <n v="0.95"/>
  </r>
  <r>
    <d v="2016-09-02T00:00:00"/>
    <x v="2"/>
    <x v="6"/>
    <x v="212"/>
    <x v="5"/>
    <x v="0"/>
    <x v="2"/>
    <s v="Cisco Unified IP Phone 7945G VoIP phone"/>
    <n v="1091.17"/>
    <n v="4"/>
    <n v="68.2"/>
  </r>
  <r>
    <d v="2016-09-02T00:00:00"/>
    <x v="2"/>
    <x v="6"/>
    <x v="212"/>
    <x v="5"/>
    <x v="2"/>
    <x v="11"/>
    <s v="Blackstonian Pencils"/>
    <n v="18.690000000000001"/>
    <n v="7"/>
    <n v="5.23"/>
  </r>
  <r>
    <d v="2016-09-02T00:00:00"/>
    <x v="2"/>
    <x v="6"/>
    <x v="212"/>
    <x v="5"/>
    <x v="1"/>
    <x v="7"/>
    <s v="Chromcraft Rectangular Conference Tables"/>
    <n v="568.73"/>
    <n v="3"/>
    <n v="28.44"/>
  </r>
  <r>
    <d v="2016-09-02T00:00:00"/>
    <x v="2"/>
    <x v="6"/>
    <x v="212"/>
    <x v="5"/>
    <x v="2"/>
    <x v="9"/>
    <s v="SpineVue Locking Slant-D Ring Binders by Cardinal"/>
    <n v="7.31"/>
    <n v="1"/>
    <n v="2.56"/>
  </r>
  <r>
    <d v="2016-10-02T00:00:00"/>
    <x v="2"/>
    <x v="7"/>
    <x v="538"/>
    <x v="2"/>
    <x v="2"/>
    <x v="10"/>
    <s v="Kensington 6 Outlet Guardian Standard Surge Protector"/>
    <n v="61.44"/>
    <n v="3"/>
    <n v="16.59"/>
  </r>
  <r>
    <d v="2016-10-02T00:00:00"/>
    <x v="2"/>
    <x v="7"/>
    <x v="539"/>
    <x v="23"/>
    <x v="2"/>
    <x v="9"/>
    <s v="Premier Elliptical Ring Binder, Black"/>
    <n v="54.79"/>
    <n v="6"/>
    <n v="-40.18"/>
  </r>
  <r>
    <d v="2016-10-02T00:00:00"/>
    <x v="2"/>
    <x v="7"/>
    <x v="198"/>
    <x v="33"/>
    <x v="2"/>
    <x v="6"/>
    <s v="Acco Perma 4000 Stacking Storage Drawers"/>
    <n v="32.479999999999997"/>
    <n v="2"/>
    <n v="4.87"/>
  </r>
  <r>
    <d v="2016-10-02T00:00:00"/>
    <x v="2"/>
    <x v="7"/>
    <x v="198"/>
    <x v="33"/>
    <x v="0"/>
    <x v="12"/>
    <s v="Canon imageCLASS 2200 Advanced Copier"/>
    <n v="17499.95"/>
    <n v="5"/>
    <n v="8399.98"/>
  </r>
  <r>
    <d v="2016-10-02T00:00:00"/>
    <x v="2"/>
    <x v="7"/>
    <x v="198"/>
    <x v="33"/>
    <x v="2"/>
    <x v="9"/>
    <s v="Ibico Ibimaster 300 Manual Binding System"/>
    <n v="735.98"/>
    <n v="2"/>
    <n v="331.19"/>
  </r>
  <r>
    <d v="2016-10-02T00:00:00"/>
    <x v="2"/>
    <x v="7"/>
    <x v="198"/>
    <x v="33"/>
    <x v="2"/>
    <x v="9"/>
    <s v="Acco Pressboard Covers with Storage Hooks, 14 7/8&quot; x 11&quot;, Light Blue"/>
    <n v="34.369999999999997"/>
    <n v="7"/>
    <n v="16.84"/>
  </r>
  <r>
    <d v="2016-10-02T00:00:00"/>
    <x v="2"/>
    <x v="7"/>
    <x v="198"/>
    <x v="33"/>
    <x v="2"/>
    <x v="11"/>
    <s v="Stanley Bostitch Contemporary Electric Pencil Sharpeners"/>
    <n v="33.96"/>
    <n v="2"/>
    <n v="9.51"/>
  </r>
  <r>
    <d v="2016-12-02T00:00:00"/>
    <x v="2"/>
    <x v="9"/>
    <x v="540"/>
    <x v="5"/>
    <x v="2"/>
    <x v="3"/>
    <s v="Xerox 192"/>
    <n v="25.92"/>
    <n v="4"/>
    <n v="12.44"/>
  </r>
  <r>
    <d v="2016-12-02T00:00:00"/>
    <x v="2"/>
    <x v="9"/>
    <x v="540"/>
    <x v="5"/>
    <x v="2"/>
    <x v="3"/>
    <s v="HP Office Recycled Paper (20Lb. and 87 Bright)"/>
    <n v="40.46"/>
    <n v="7"/>
    <n v="19.829999999999998"/>
  </r>
  <r>
    <d v="2016-12-02T00:00:00"/>
    <x v="2"/>
    <x v="9"/>
    <x v="540"/>
    <x v="5"/>
    <x v="2"/>
    <x v="6"/>
    <s v="X-Rack File for Hanging Folders"/>
    <n v="33.869999999999997"/>
    <n v="3"/>
    <n v="8.81"/>
  </r>
  <r>
    <d v="2016-12-02T00:00:00"/>
    <x v="2"/>
    <x v="9"/>
    <x v="333"/>
    <x v="5"/>
    <x v="2"/>
    <x v="9"/>
    <s v="GBC VeloBind Cover Sets"/>
    <n v="24.7"/>
    <n v="2"/>
    <n v="9.26"/>
  </r>
  <r>
    <d v="2016-12-02T00:00:00"/>
    <x v="2"/>
    <x v="9"/>
    <x v="333"/>
    <x v="5"/>
    <x v="2"/>
    <x v="10"/>
    <s v="Holmes Cool Mist Humidifier for the Whole House with 8-Gallon Output per Day, Extended Life Filter"/>
    <n v="59.7"/>
    <n v="3"/>
    <n v="26.87"/>
  </r>
  <r>
    <d v="2016-12-02T00:00:00"/>
    <x v="2"/>
    <x v="9"/>
    <x v="333"/>
    <x v="5"/>
    <x v="1"/>
    <x v="5"/>
    <s v="Eldon Regeneration Recycled Desk Accessories, Black"/>
    <n v="14.52"/>
    <n v="3"/>
    <n v="5.66"/>
  </r>
  <r>
    <d v="2016-12-02T00:00:00"/>
    <x v="2"/>
    <x v="9"/>
    <x v="333"/>
    <x v="5"/>
    <x v="2"/>
    <x v="9"/>
    <s v="Satellite Sectional Post Binders"/>
    <n v="104.18"/>
    <n v="3"/>
    <n v="33.86"/>
  </r>
  <r>
    <d v="2016-12-02T00:00:00"/>
    <x v="2"/>
    <x v="9"/>
    <x v="100"/>
    <x v="40"/>
    <x v="2"/>
    <x v="6"/>
    <s v="Deluxe Rollaway Locking File with Drawer"/>
    <n v="2079.4"/>
    <n v="5"/>
    <n v="582.23"/>
  </r>
  <r>
    <d v="2016-12-02T00:00:00"/>
    <x v="2"/>
    <x v="9"/>
    <x v="100"/>
    <x v="40"/>
    <x v="0"/>
    <x v="2"/>
    <s v="VTech DS6151"/>
    <n v="629.95000000000005"/>
    <n v="5"/>
    <n v="176.39"/>
  </r>
  <r>
    <d v="2016-12-02T00:00:00"/>
    <x v="2"/>
    <x v="9"/>
    <x v="100"/>
    <x v="40"/>
    <x v="1"/>
    <x v="5"/>
    <s v="Eldon 500 Class Desk Accessories"/>
    <n v="72.42"/>
    <n v="6"/>
    <n v="23.9"/>
  </r>
  <r>
    <d v="2016-12-02T00:00:00"/>
    <x v="2"/>
    <x v="9"/>
    <x v="541"/>
    <x v="2"/>
    <x v="2"/>
    <x v="9"/>
    <s v="Ibico EB-19 Dual Function Manual Binding System"/>
    <n v="415.18"/>
    <n v="3"/>
    <n v="134.93"/>
  </r>
  <r>
    <d v="2016-12-02T00:00:00"/>
    <x v="2"/>
    <x v="9"/>
    <x v="541"/>
    <x v="2"/>
    <x v="2"/>
    <x v="9"/>
    <s v="XtraLife ClearVue Slant-D Ring Binder, White, 3&quot;"/>
    <n v="35.229999999999997"/>
    <n v="3"/>
    <n v="11.45"/>
  </r>
  <r>
    <d v="2016-12-02T00:00:00"/>
    <x v="2"/>
    <x v="9"/>
    <x v="541"/>
    <x v="2"/>
    <x v="2"/>
    <x v="3"/>
    <s v="Green Bar Computer Printout Paper"/>
    <n v="54.96"/>
    <n v="1"/>
    <n v="26.93"/>
  </r>
  <r>
    <d v="2016-12-02T00:00:00"/>
    <x v="2"/>
    <x v="9"/>
    <x v="378"/>
    <x v="15"/>
    <x v="0"/>
    <x v="0"/>
    <s v="WD My Passport Ultra 1TB Portable External Hard Drive"/>
    <n v="165.6"/>
    <n v="3"/>
    <n v="-6.21"/>
  </r>
  <r>
    <d v="2016-12-02T00:00:00"/>
    <x v="2"/>
    <x v="9"/>
    <x v="364"/>
    <x v="43"/>
    <x v="2"/>
    <x v="9"/>
    <s v="GBC White Gloss Covers, Plain Front"/>
    <n v="115.84"/>
    <n v="8"/>
    <n v="54.44"/>
  </r>
  <r>
    <d v="2016-12-02T00:00:00"/>
    <x v="2"/>
    <x v="9"/>
    <x v="517"/>
    <x v="4"/>
    <x v="1"/>
    <x v="16"/>
    <s v="Sauder Camden County Collection Library"/>
    <n v="781.86"/>
    <n v="10"/>
    <n v="-137.97999999999999"/>
  </r>
  <r>
    <d v="2016-12-02T00:00:00"/>
    <x v="2"/>
    <x v="9"/>
    <x v="517"/>
    <x v="4"/>
    <x v="2"/>
    <x v="3"/>
    <s v="Xerox 1962"/>
    <n v="30.82"/>
    <n v="9"/>
    <n v="9.6300000000000008"/>
  </r>
  <r>
    <d v="2016-01-03T00:00:00"/>
    <x v="2"/>
    <x v="11"/>
    <x v="212"/>
    <x v="5"/>
    <x v="2"/>
    <x v="6"/>
    <s v="Recycled Steel Personal File for Hanging File Folders"/>
    <n v="114.46"/>
    <n v="2"/>
    <n v="28.62"/>
  </r>
  <r>
    <d v="2016-01-03T00:00:00"/>
    <x v="2"/>
    <x v="11"/>
    <x v="542"/>
    <x v="4"/>
    <x v="0"/>
    <x v="0"/>
    <s v="ImationÂ Clip USBÂ flash driveÂ - 8 GB"/>
    <n v="30.08"/>
    <n v="2"/>
    <n v="-5.26"/>
  </r>
  <r>
    <d v="2016-01-03T00:00:00"/>
    <x v="2"/>
    <x v="11"/>
    <x v="542"/>
    <x v="4"/>
    <x v="0"/>
    <x v="0"/>
    <s v="WD My Passport Ultra 1TB Portable External Hard Drive"/>
    <n v="165.6"/>
    <n v="3"/>
    <n v="-6.21"/>
  </r>
  <r>
    <d v="2016-01-03T00:00:00"/>
    <x v="2"/>
    <x v="11"/>
    <x v="542"/>
    <x v="4"/>
    <x v="0"/>
    <x v="2"/>
    <s v="AT&amp;T 17929 Lendline Telephone"/>
    <n v="180.96"/>
    <n v="5"/>
    <n v="13.57"/>
  </r>
  <r>
    <d v="2016-01-03T00:00:00"/>
    <x v="2"/>
    <x v="11"/>
    <x v="543"/>
    <x v="28"/>
    <x v="1"/>
    <x v="7"/>
    <s v="Hon Practical Foundations 30 x 60 Training Table, Light Gray/Charcoal"/>
    <n v="1592.85"/>
    <n v="7"/>
    <n v="350.43"/>
  </r>
  <r>
    <d v="2016-01-03T00:00:00"/>
    <x v="2"/>
    <x v="11"/>
    <x v="543"/>
    <x v="28"/>
    <x v="2"/>
    <x v="9"/>
    <s v="Storex Dura Pro Binders"/>
    <n v="11.88"/>
    <n v="2"/>
    <n v="5.35"/>
  </r>
  <r>
    <d v="2016-02-03T00:00:00"/>
    <x v="2"/>
    <x v="0"/>
    <x v="59"/>
    <x v="17"/>
    <x v="1"/>
    <x v="1"/>
    <s v="Hon Multipurpose Stacking Arm Chairs"/>
    <n v="866.4"/>
    <n v="4"/>
    <n v="225.26"/>
  </r>
  <r>
    <d v="2016-03-03T00:00:00"/>
    <x v="2"/>
    <x v="1"/>
    <x v="234"/>
    <x v="37"/>
    <x v="2"/>
    <x v="9"/>
    <s v="GBC ProClick Punch Binding System"/>
    <n v="447.86"/>
    <n v="7"/>
    <n v="219.45"/>
  </r>
  <r>
    <d v="2016-03-03T00:00:00"/>
    <x v="2"/>
    <x v="1"/>
    <x v="234"/>
    <x v="37"/>
    <x v="0"/>
    <x v="2"/>
    <s v="Pyle PMP37LED"/>
    <n v="479.95"/>
    <n v="5"/>
    <n v="129.59"/>
  </r>
  <r>
    <d v="2016-03-03T00:00:00"/>
    <x v="2"/>
    <x v="1"/>
    <x v="234"/>
    <x v="37"/>
    <x v="2"/>
    <x v="3"/>
    <s v="Xerox 194"/>
    <n v="166.44"/>
    <n v="3"/>
    <n v="79.89"/>
  </r>
  <r>
    <d v="2016-03-03T00:00:00"/>
    <x v="2"/>
    <x v="1"/>
    <x v="544"/>
    <x v="4"/>
    <x v="2"/>
    <x v="3"/>
    <s v="Rediform Wirebound &quot;Phone Memo&quot; Message Book, 11 x 5-3/4"/>
    <n v="42.78"/>
    <n v="7"/>
    <n v="15.51"/>
  </r>
  <r>
    <d v="2016-03-03T00:00:00"/>
    <x v="2"/>
    <x v="1"/>
    <x v="544"/>
    <x v="4"/>
    <x v="1"/>
    <x v="1"/>
    <s v="Office Star - Mid Back Dual function Ergonomic High Back Chair with 2-Way Adjustable Arms"/>
    <n v="563.42999999999995"/>
    <n v="5"/>
    <n v="-56.34"/>
  </r>
  <r>
    <d v="2016-03-03T00:00:00"/>
    <x v="2"/>
    <x v="1"/>
    <x v="509"/>
    <x v="33"/>
    <x v="0"/>
    <x v="2"/>
    <s v="Plantronics Encore H101 Dual EarpiecesÂ Headset"/>
    <n v="134.85"/>
    <n v="3"/>
    <n v="37.76"/>
  </r>
  <r>
    <d v="2016-03-03T00:00:00"/>
    <x v="2"/>
    <x v="1"/>
    <x v="116"/>
    <x v="4"/>
    <x v="1"/>
    <x v="7"/>
    <s v="Office Impressions End Table, 20-1/2&quot;H x 24&quot;W x 20&quot;D"/>
    <n v="637.9"/>
    <n v="3"/>
    <n v="-127.58"/>
  </r>
  <r>
    <d v="2016-03-03T00:00:00"/>
    <x v="2"/>
    <x v="1"/>
    <x v="116"/>
    <x v="4"/>
    <x v="0"/>
    <x v="14"/>
    <s v="Canon PC170 Desktop Personal Copier"/>
    <n v="287.91000000000003"/>
    <n v="3"/>
    <n v="33.590000000000003"/>
  </r>
  <r>
    <d v="2016-03-03T00:00:00"/>
    <x v="2"/>
    <x v="1"/>
    <x v="116"/>
    <x v="4"/>
    <x v="2"/>
    <x v="13"/>
    <s v="White Envelopes, White Envelopes with Clear Poly Window"/>
    <n v="36.6"/>
    <n v="3"/>
    <n v="11.9"/>
  </r>
  <r>
    <d v="2016-03-03T00:00:00"/>
    <x v="2"/>
    <x v="1"/>
    <x v="545"/>
    <x v="5"/>
    <x v="2"/>
    <x v="15"/>
    <s v="Elite 5&quot; Scissors"/>
    <n v="25.35"/>
    <n v="3"/>
    <n v="7.61"/>
  </r>
  <r>
    <d v="2016-03-03T00:00:00"/>
    <x v="2"/>
    <x v="1"/>
    <x v="545"/>
    <x v="5"/>
    <x v="1"/>
    <x v="5"/>
    <s v="Executive Impressions 10&quot; Spectator Wall Clock"/>
    <n v="35.28"/>
    <n v="3"/>
    <n v="12"/>
  </r>
  <r>
    <d v="2016-03-03T00:00:00"/>
    <x v="2"/>
    <x v="1"/>
    <x v="386"/>
    <x v="4"/>
    <x v="2"/>
    <x v="15"/>
    <s v="High Speed Automatic Electric Letter Opener"/>
    <n v="3930.07"/>
    <n v="3"/>
    <n v="-786.01"/>
  </r>
  <r>
    <d v="2016-03-03T00:00:00"/>
    <x v="2"/>
    <x v="1"/>
    <x v="386"/>
    <x v="4"/>
    <x v="2"/>
    <x v="4"/>
    <s v="Acco Banker's Clasps, 5 3/4&quot;-Long"/>
    <n v="2.2999999999999998"/>
    <n v="1"/>
    <n v="0.78"/>
  </r>
  <r>
    <d v="2016-03-03T00:00:00"/>
    <x v="2"/>
    <x v="1"/>
    <x v="386"/>
    <x v="4"/>
    <x v="0"/>
    <x v="2"/>
    <s v="Polycom VVX 310 VoIP phone"/>
    <n v="431.98"/>
    <n v="3"/>
    <n v="32.4"/>
  </r>
  <r>
    <d v="2016-03-03T00:00:00"/>
    <x v="2"/>
    <x v="1"/>
    <x v="386"/>
    <x v="4"/>
    <x v="0"/>
    <x v="0"/>
    <s v="Verbatim 25 GB 6x Blu-ray Single Layer Recordable Disc, 1/Pack"/>
    <n v="41.72"/>
    <n v="7"/>
    <n v="5.74"/>
  </r>
  <r>
    <d v="2016-04-03T00:00:00"/>
    <x v="2"/>
    <x v="2"/>
    <x v="208"/>
    <x v="13"/>
    <x v="2"/>
    <x v="9"/>
    <s v="GBC Velobind Prepunched Cover Sets, Regency Series"/>
    <n v="99.85"/>
    <n v="9"/>
    <n v="-83.21"/>
  </r>
  <r>
    <d v="2016-04-03T00:00:00"/>
    <x v="2"/>
    <x v="2"/>
    <x v="546"/>
    <x v="33"/>
    <x v="1"/>
    <x v="5"/>
    <s v="Seth Thomas 13 1/2&quot; Wall Clock"/>
    <n v="71.12"/>
    <n v="4"/>
    <n v="22.05"/>
  </r>
  <r>
    <d v="2016-04-03T00:00:00"/>
    <x v="2"/>
    <x v="2"/>
    <x v="546"/>
    <x v="33"/>
    <x v="0"/>
    <x v="2"/>
    <s v="Plantronics Voyager Pro HD - Bluetooth Headset"/>
    <n v="259.95999999999998"/>
    <n v="4"/>
    <n v="124.78"/>
  </r>
  <r>
    <d v="2016-04-03T00:00:00"/>
    <x v="2"/>
    <x v="2"/>
    <x v="147"/>
    <x v="4"/>
    <x v="2"/>
    <x v="3"/>
    <s v="Xerox 1962"/>
    <n v="10.27"/>
    <n v="3"/>
    <n v="3.21"/>
  </r>
  <r>
    <d v="2016-05-03T00:00:00"/>
    <x v="2"/>
    <x v="10"/>
    <x v="409"/>
    <x v="3"/>
    <x v="2"/>
    <x v="9"/>
    <s v="Heavy-Duty E-Z-D Binders"/>
    <n v="2.1800000000000002"/>
    <n v="1"/>
    <n v="-3.6"/>
  </r>
  <r>
    <d v="2016-05-03T00:00:00"/>
    <x v="2"/>
    <x v="10"/>
    <x v="409"/>
    <x v="3"/>
    <x v="2"/>
    <x v="11"/>
    <s v="Newell 316"/>
    <n v="27.38"/>
    <n v="7"/>
    <n v="2.74"/>
  </r>
  <r>
    <d v="2016-05-03T00:00:00"/>
    <x v="2"/>
    <x v="10"/>
    <x v="409"/>
    <x v="3"/>
    <x v="2"/>
    <x v="10"/>
    <s v="Acco Smartsocket Color-Coded Six-Outlet AC Adapter Model Surge Protectors"/>
    <n v="26.41"/>
    <n v="3"/>
    <n v="-71.3"/>
  </r>
  <r>
    <d v="2016-05-03T00:00:00"/>
    <x v="2"/>
    <x v="10"/>
    <x v="547"/>
    <x v="18"/>
    <x v="0"/>
    <x v="0"/>
    <s v="ImationÂ 16GB Mini TravelDrive USB 2.0Â Flash Drive"/>
    <n v="132.52000000000001"/>
    <n v="5"/>
    <n v="34.79"/>
  </r>
  <r>
    <d v="2016-05-03T00:00:00"/>
    <x v="2"/>
    <x v="10"/>
    <x v="547"/>
    <x v="18"/>
    <x v="2"/>
    <x v="6"/>
    <s v="Tennsco Industrial Shelving"/>
    <n v="195.64"/>
    <n v="5"/>
    <n v="-44.02"/>
  </r>
  <r>
    <d v="2016-05-03T00:00:00"/>
    <x v="2"/>
    <x v="10"/>
    <x v="547"/>
    <x v="18"/>
    <x v="1"/>
    <x v="5"/>
    <s v="Computer Room Manger, 14&quot;"/>
    <n v="51.97"/>
    <n v="2"/>
    <n v="10.39"/>
  </r>
  <r>
    <d v="2016-05-03T00:00:00"/>
    <x v="2"/>
    <x v="10"/>
    <x v="547"/>
    <x v="18"/>
    <x v="0"/>
    <x v="0"/>
    <s v="LogitechÂ VX Revolution Cordless Laser Mouse for Notebooks (Black)"/>
    <n v="431.98"/>
    <n v="3"/>
    <n v="-75.599999999999994"/>
  </r>
  <r>
    <d v="2016-05-03T00:00:00"/>
    <x v="2"/>
    <x v="10"/>
    <x v="547"/>
    <x v="18"/>
    <x v="0"/>
    <x v="14"/>
    <s v="Cisco 8961 IP Phone Charcoal"/>
    <n v="224.94"/>
    <n v="3"/>
    <n v="-164.95"/>
  </r>
  <r>
    <d v="2016-05-03T00:00:00"/>
    <x v="2"/>
    <x v="10"/>
    <x v="547"/>
    <x v="18"/>
    <x v="2"/>
    <x v="8"/>
    <s v="Avery 496"/>
    <n v="6"/>
    <n v="2"/>
    <n v="2.1"/>
  </r>
  <r>
    <d v="2016-06-03T00:00:00"/>
    <x v="2"/>
    <x v="3"/>
    <x v="441"/>
    <x v="5"/>
    <x v="1"/>
    <x v="7"/>
    <s v="Hon 61000 Series Interactive Training Tables"/>
    <n v="71.09"/>
    <n v="2"/>
    <n v="-1.78"/>
  </r>
  <r>
    <d v="2016-07-03T00:00:00"/>
    <x v="2"/>
    <x v="4"/>
    <x v="548"/>
    <x v="5"/>
    <x v="2"/>
    <x v="3"/>
    <s v="Xerox 200"/>
    <n v="12.96"/>
    <n v="2"/>
    <n v="6.22"/>
  </r>
  <r>
    <d v="2016-07-03T00:00:00"/>
    <x v="2"/>
    <x v="4"/>
    <x v="548"/>
    <x v="5"/>
    <x v="2"/>
    <x v="4"/>
    <s v="Brites Rubber Bands, 1 1/2 oz. Box"/>
    <n v="3.96"/>
    <n v="2"/>
    <n v="0.08"/>
  </r>
  <r>
    <d v="2016-07-03T00:00:00"/>
    <x v="2"/>
    <x v="4"/>
    <x v="373"/>
    <x v="2"/>
    <x v="2"/>
    <x v="10"/>
    <s v="Avanti 1.7 Cu. Ft. Refrigerator"/>
    <n v="706.86"/>
    <n v="7"/>
    <n v="197.92"/>
  </r>
  <r>
    <d v="2016-07-03T00:00:00"/>
    <x v="2"/>
    <x v="4"/>
    <x v="270"/>
    <x v="13"/>
    <x v="2"/>
    <x v="3"/>
    <s v="Xerox 1925"/>
    <n v="123.92"/>
    <n v="5"/>
    <n v="38.729999999999997"/>
  </r>
  <r>
    <d v="2016-08-03T00:00:00"/>
    <x v="2"/>
    <x v="5"/>
    <x v="549"/>
    <x v="28"/>
    <x v="2"/>
    <x v="13"/>
    <s v="Tyvek  Top-Opening Peel &amp; Seel Envelopes, Plain White"/>
    <n v="81.540000000000006"/>
    <n v="3"/>
    <n v="38.32"/>
  </r>
  <r>
    <d v="2016-08-03T00:00:00"/>
    <x v="2"/>
    <x v="5"/>
    <x v="549"/>
    <x v="28"/>
    <x v="0"/>
    <x v="0"/>
    <s v="Sony Micro Vault Click 4 GB USB 2.0 Flash Drive"/>
    <n v="167.28"/>
    <n v="12"/>
    <n v="23.42"/>
  </r>
  <r>
    <d v="2016-09-03T00:00:00"/>
    <x v="2"/>
    <x v="6"/>
    <x v="102"/>
    <x v="13"/>
    <x v="2"/>
    <x v="9"/>
    <s v="GBC Ibimaster 500 Manual ProClick Binding System"/>
    <n v="1141.47"/>
    <n v="5"/>
    <n v="-760.98"/>
  </r>
  <r>
    <d v="2016-09-03T00:00:00"/>
    <x v="2"/>
    <x v="6"/>
    <x v="102"/>
    <x v="13"/>
    <x v="0"/>
    <x v="2"/>
    <s v="Cisco SPA301"/>
    <n v="280.77999999999997"/>
    <n v="3"/>
    <n v="-46.8"/>
  </r>
  <r>
    <d v="2016-09-03T00:00:00"/>
    <x v="2"/>
    <x v="6"/>
    <x v="60"/>
    <x v="3"/>
    <x v="1"/>
    <x v="5"/>
    <s v="Tenex &quot;The Solids&quot; Textured Chair Mats"/>
    <n v="83.95"/>
    <n v="3"/>
    <n v="-90.25"/>
  </r>
  <r>
    <d v="2016-09-03T00:00:00"/>
    <x v="2"/>
    <x v="6"/>
    <x v="208"/>
    <x v="3"/>
    <x v="2"/>
    <x v="9"/>
    <s v="XtraLife ClearVue Slant-D Ring Binder, White, 3&quot;"/>
    <n v="8.81"/>
    <n v="3"/>
    <n v="-14.97"/>
  </r>
  <r>
    <d v="2016-09-03T00:00:00"/>
    <x v="2"/>
    <x v="6"/>
    <x v="270"/>
    <x v="25"/>
    <x v="2"/>
    <x v="3"/>
    <s v="Adams Phone Message Book, 200 Message Capacity, 8 1/16Â” x 11Â”"/>
    <n v="48.16"/>
    <n v="7"/>
    <n v="22.15"/>
  </r>
  <r>
    <d v="2016-09-03T00:00:00"/>
    <x v="2"/>
    <x v="6"/>
    <x v="396"/>
    <x v="0"/>
    <x v="2"/>
    <x v="6"/>
    <s v="Crate-A-Files"/>
    <n v="54.5"/>
    <n v="5"/>
    <n v="14.17"/>
  </r>
  <r>
    <d v="2016-09-03T00:00:00"/>
    <x v="2"/>
    <x v="6"/>
    <x v="315"/>
    <x v="30"/>
    <x v="2"/>
    <x v="9"/>
    <s v="Heavy-Duty E-Z-D Binders"/>
    <n v="87.28"/>
    <n v="8"/>
    <n v="41.02"/>
  </r>
  <r>
    <d v="2016-09-03T00:00:00"/>
    <x v="2"/>
    <x v="6"/>
    <x v="518"/>
    <x v="24"/>
    <x v="1"/>
    <x v="16"/>
    <s v="Sauder Camden County Collection Libraries, Planked Cherry Finish"/>
    <n v="344.94"/>
    <n v="3"/>
    <n v="31.04"/>
  </r>
  <r>
    <d v="2016-09-03T00:00:00"/>
    <x v="2"/>
    <x v="6"/>
    <x v="518"/>
    <x v="24"/>
    <x v="1"/>
    <x v="5"/>
    <s v="Eldon Expressions Wood Desk Accessories, Oak"/>
    <n v="14.76"/>
    <n v="2"/>
    <n v="4.28"/>
  </r>
  <r>
    <d v="2016-09-03T00:00:00"/>
    <x v="2"/>
    <x v="6"/>
    <x v="518"/>
    <x v="24"/>
    <x v="2"/>
    <x v="9"/>
    <s v="Acco Expandable Hanging Binders"/>
    <n v="12.76"/>
    <n v="2"/>
    <n v="5.87"/>
  </r>
  <r>
    <d v="2016-09-03T00:00:00"/>
    <x v="2"/>
    <x v="6"/>
    <x v="518"/>
    <x v="24"/>
    <x v="2"/>
    <x v="8"/>
    <s v="Avery 486"/>
    <n v="58.48"/>
    <n v="8"/>
    <n v="27.49"/>
  </r>
  <r>
    <d v="2016-09-03T00:00:00"/>
    <x v="2"/>
    <x v="6"/>
    <x v="550"/>
    <x v="3"/>
    <x v="1"/>
    <x v="16"/>
    <s v="Safco Value Mate Steel Bookcase, Baked Enamel Finish on Steel, Black"/>
    <n v="198.74"/>
    <n v="4"/>
    <n v="0"/>
  </r>
  <r>
    <d v="2016-09-03T00:00:00"/>
    <x v="2"/>
    <x v="6"/>
    <x v="410"/>
    <x v="18"/>
    <x v="2"/>
    <x v="3"/>
    <s v="Wirebound Four 2-3/4 x 5 Forms per Page, 400 Sets per Book"/>
    <n v="30.96"/>
    <n v="6"/>
    <n v="11.22"/>
  </r>
  <r>
    <d v="2016-10-03T00:00:00"/>
    <x v="2"/>
    <x v="7"/>
    <x v="298"/>
    <x v="4"/>
    <x v="2"/>
    <x v="13"/>
    <s v="Staple envelope"/>
    <n v="15.65"/>
    <n v="2"/>
    <n v="5.09"/>
  </r>
  <r>
    <d v="2016-10-03T00:00:00"/>
    <x v="2"/>
    <x v="7"/>
    <x v="131"/>
    <x v="2"/>
    <x v="1"/>
    <x v="1"/>
    <s v="Office Star - Contemporary Task Swivel Chair"/>
    <n v="599.29"/>
    <n v="6"/>
    <n v="93.22"/>
  </r>
  <r>
    <d v="2016-10-03T00:00:00"/>
    <x v="2"/>
    <x v="7"/>
    <x v="320"/>
    <x v="4"/>
    <x v="1"/>
    <x v="5"/>
    <s v="Eldon Expressions Desk Accessory, Wood Photo Frame, Mahogany"/>
    <n v="38.08"/>
    <n v="5"/>
    <n v="-29.51"/>
  </r>
  <r>
    <d v="2016-10-03T00:00:00"/>
    <x v="2"/>
    <x v="7"/>
    <x v="516"/>
    <x v="5"/>
    <x v="2"/>
    <x v="8"/>
    <s v="Smead Alpha-Z Color-Coded Second Alphabetical Labels and Starter Set"/>
    <n v="6.16"/>
    <n v="2"/>
    <n v="2.96"/>
  </r>
  <r>
    <d v="2016-10-03T00:00:00"/>
    <x v="2"/>
    <x v="7"/>
    <x v="516"/>
    <x v="5"/>
    <x v="1"/>
    <x v="1"/>
    <s v="Global Deluxe High-Back Manager's Chair"/>
    <n v="915.14"/>
    <n v="4"/>
    <n v="102.95"/>
  </r>
  <r>
    <d v="2016-10-03T00:00:00"/>
    <x v="2"/>
    <x v="7"/>
    <x v="516"/>
    <x v="5"/>
    <x v="2"/>
    <x v="3"/>
    <s v="Xerox 1900"/>
    <n v="8.56"/>
    <n v="2"/>
    <n v="3.85"/>
  </r>
  <r>
    <d v="2016-10-03T00:00:00"/>
    <x v="2"/>
    <x v="7"/>
    <x v="516"/>
    <x v="5"/>
    <x v="2"/>
    <x v="3"/>
    <s v="Xerox 1891"/>
    <n v="97.82"/>
    <n v="2"/>
    <n v="45.98"/>
  </r>
  <r>
    <d v="2016-11-03T00:00:00"/>
    <x v="2"/>
    <x v="8"/>
    <x v="50"/>
    <x v="43"/>
    <x v="2"/>
    <x v="11"/>
    <s v="Hunt PowerHouse Electric Pencil Sharpener, Blue"/>
    <n v="75.959999999999994"/>
    <n v="2"/>
    <n v="22.79"/>
  </r>
  <r>
    <d v="2016-11-03T00:00:00"/>
    <x v="2"/>
    <x v="8"/>
    <x v="50"/>
    <x v="43"/>
    <x v="2"/>
    <x v="9"/>
    <s v="Avery Durable Plastic 1&quot; Binders"/>
    <n v="27.24"/>
    <n v="6"/>
    <n v="13.35"/>
  </r>
  <r>
    <d v="2016-11-03T00:00:00"/>
    <x v="2"/>
    <x v="8"/>
    <x v="393"/>
    <x v="1"/>
    <x v="2"/>
    <x v="11"/>
    <s v="Newell 332"/>
    <n v="8.82"/>
    <n v="3"/>
    <n v="2.38"/>
  </r>
  <r>
    <d v="2016-11-03T00:00:00"/>
    <x v="2"/>
    <x v="8"/>
    <x v="551"/>
    <x v="5"/>
    <x v="1"/>
    <x v="1"/>
    <s v="Global Deluxe High-Back Office Chair in Storm"/>
    <n v="217.58"/>
    <n v="2"/>
    <n v="-29.92"/>
  </r>
  <r>
    <d v="2016-11-03T00:00:00"/>
    <x v="2"/>
    <x v="8"/>
    <x v="551"/>
    <x v="5"/>
    <x v="0"/>
    <x v="0"/>
    <s v="Kensington K72356US Mouse-in-a-Box USB Desktop Mouse"/>
    <n v="82.95"/>
    <n v="5"/>
    <n v="29.03"/>
  </r>
  <r>
    <d v="2016-11-03T00:00:00"/>
    <x v="2"/>
    <x v="8"/>
    <x v="551"/>
    <x v="5"/>
    <x v="2"/>
    <x v="8"/>
    <s v="Avery 50"/>
    <n v="87.71"/>
    <n v="7"/>
    <n v="41.22"/>
  </r>
  <r>
    <d v="2016-11-03T00:00:00"/>
    <x v="2"/>
    <x v="8"/>
    <x v="551"/>
    <x v="5"/>
    <x v="2"/>
    <x v="10"/>
    <s v="Honeywell Enviracaire Portable HEPA Air Cleaner for 16' x 20' Room"/>
    <n v="1101.48"/>
    <n v="4"/>
    <n v="429.58"/>
  </r>
  <r>
    <d v="2016-11-03T00:00:00"/>
    <x v="2"/>
    <x v="8"/>
    <x v="294"/>
    <x v="17"/>
    <x v="2"/>
    <x v="4"/>
    <s v="Advantus Plastic Paper Clips"/>
    <n v="20"/>
    <n v="4"/>
    <n v="9.6"/>
  </r>
  <r>
    <d v="2016-11-03T00:00:00"/>
    <x v="2"/>
    <x v="8"/>
    <x v="294"/>
    <x v="17"/>
    <x v="2"/>
    <x v="11"/>
    <s v="Economy #2 Pencils"/>
    <n v="7.98"/>
    <n v="3"/>
    <n v="2.0699999999999998"/>
  </r>
  <r>
    <d v="2016-11-03T00:00:00"/>
    <x v="2"/>
    <x v="8"/>
    <x v="294"/>
    <x v="17"/>
    <x v="1"/>
    <x v="5"/>
    <s v="Magna Visual Magnetic Picture Hangers"/>
    <n v="24.1"/>
    <n v="5"/>
    <n v="9.16"/>
  </r>
  <r>
    <d v="2016-11-03T00:00:00"/>
    <x v="2"/>
    <x v="8"/>
    <x v="294"/>
    <x v="17"/>
    <x v="2"/>
    <x v="11"/>
    <s v="Boston 16750 Black Compact Battery Pencil Sharpener"/>
    <n v="8.75"/>
    <n v="1"/>
    <n v="2.63"/>
  </r>
  <r>
    <d v="2016-11-03T00:00:00"/>
    <x v="2"/>
    <x v="8"/>
    <x v="294"/>
    <x v="17"/>
    <x v="1"/>
    <x v="7"/>
    <s v="Global Adaptabilities Conference Tables"/>
    <n v="842.94"/>
    <n v="3"/>
    <n v="160.16"/>
  </r>
  <r>
    <d v="2016-11-03T00:00:00"/>
    <x v="2"/>
    <x v="8"/>
    <x v="175"/>
    <x v="5"/>
    <x v="2"/>
    <x v="4"/>
    <s v="Stockwell Push Pins"/>
    <n v="15.26"/>
    <n v="7"/>
    <n v="5.04"/>
  </r>
  <r>
    <d v="2016-11-03T00:00:00"/>
    <x v="2"/>
    <x v="8"/>
    <x v="175"/>
    <x v="5"/>
    <x v="2"/>
    <x v="10"/>
    <s v="Holmes 99% HEPA Air Purifier"/>
    <n v="43.32"/>
    <n v="2"/>
    <n v="14.3"/>
  </r>
  <r>
    <d v="2016-11-03T00:00:00"/>
    <x v="2"/>
    <x v="8"/>
    <x v="175"/>
    <x v="5"/>
    <x v="2"/>
    <x v="9"/>
    <s v="Avery Durable Plastic 1&quot; Binders"/>
    <n v="43.58"/>
    <n v="12"/>
    <n v="15.8"/>
  </r>
  <r>
    <d v="2016-11-03T00:00:00"/>
    <x v="2"/>
    <x v="8"/>
    <x v="175"/>
    <x v="5"/>
    <x v="2"/>
    <x v="3"/>
    <s v="Xerox 1892"/>
    <n v="116.28"/>
    <n v="3"/>
    <n v="56.98"/>
  </r>
  <r>
    <d v="2016-11-03T00:00:00"/>
    <x v="2"/>
    <x v="8"/>
    <x v="175"/>
    <x v="5"/>
    <x v="2"/>
    <x v="9"/>
    <s v="Fellowes Black Plastic Comb Bindings"/>
    <n v="9.3000000000000007"/>
    <n v="2"/>
    <n v="3.02"/>
  </r>
  <r>
    <d v="2016-11-03T00:00:00"/>
    <x v="2"/>
    <x v="8"/>
    <x v="175"/>
    <x v="5"/>
    <x v="2"/>
    <x v="3"/>
    <s v="Xerox 22"/>
    <n v="19.440000000000001"/>
    <n v="3"/>
    <n v="9.33"/>
  </r>
  <r>
    <d v="2016-11-03T00:00:00"/>
    <x v="2"/>
    <x v="8"/>
    <x v="175"/>
    <x v="5"/>
    <x v="2"/>
    <x v="3"/>
    <s v="Multicolor Computer Printout Paper"/>
    <n v="314.55"/>
    <n v="3"/>
    <n v="150.97999999999999"/>
  </r>
  <r>
    <d v="2016-11-03T00:00:00"/>
    <x v="2"/>
    <x v="8"/>
    <x v="552"/>
    <x v="4"/>
    <x v="2"/>
    <x v="3"/>
    <s v="Xerox 1978"/>
    <n v="9.25"/>
    <n v="2"/>
    <n v="3.35"/>
  </r>
  <r>
    <d v="2016-11-03T00:00:00"/>
    <x v="2"/>
    <x v="8"/>
    <x v="448"/>
    <x v="16"/>
    <x v="2"/>
    <x v="9"/>
    <s v="Avery Reinforcements for Hole-Punch Pages"/>
    <n v="4.16"/>
    <n v="7"/>
    <n v="-3.47"/>
  </r>
  <r>
    <d v="2016-11-03T00:00:00"/>
    <x v="2"/>
    <x v="8"/>
    <x v="448"/>
    <x v="16"/>
    <x v="0"/>
    <x v="14"/>
    <s v="Okidata B401 Printer"/>
    <n v="179.99"/>
    <n v="3"/>
    <n v="-251.99"/>
  </r>
  <r>
    <d v="2016-11-03T00:00:00"/>
    <x v="2"/>
    <x v="8"/>
    <x v="383"/>
    <x v="13"/>
    <x v="0"/>
    <x v="0"/>
    <s v="NETGEAR N750 Dual Band Wi-Fi Gigabit Router"/>
    <n v="72"/>
    <n v="1"/>
    <n v="14.4"/>
  </r>
  <r>
    <d v="2016-11-03T00:00:00"/>
    <x v="2"/>
    <x v="8"/>
    <x v="383"/>
    <x v="13"/>
    <x v="1"/>
    <x v="1"/>
    <s v="Bevis Steel Folding Chairs"/>
    <n v="470.16"/>
    <n v="7"/>
    <n v="-13.43"/>
  </r>
  <r>
    <d v="2016-12-03T00:00:00"/>
    <x v="2"/>
    <x v="9"/>
    <x v="359"/>
    <x v="2"/>
    <x v="2"/>
    <x v="3"/>
    <s v="Xerox 1964"/>
    <n v="182.72"/>
    <n v="8"/>
    <n v="84.05"/>
  </r>
  <r>
    <d v="2016-12-03T00:00:00"/>
    <x v="2"/>
    <x v="9"/>
    <x v="359"/>
    <x v="2"/>
    <x v="1"/>
    <x v="7"/>
    <s v="Bevis Traditional Conference Table Top, Plinth Base"/>
    <n v="400.03"/>
    <n v="2"/>
    <n v="-153.35"/>
  </r>
  <r>
    <d v="2016-12-03T00:00:00"/>
    <x v="2"/>
    <x v="9"/>
    <x v="359"/>
    <x v="2"/>
    <x v="2"/>
    <x v="6"/>
    <s v="Personal Folder Holder, Ebony"/>
    <n v="33.630000000000003"/>
    <n v="3"/>
    <n v="10.09"/>
  </r>
  <r>
    <d v="2016-12-03T00:00:00"/>
    <x v="2"/>
    <x v="9"/>
    <x v="359"/>
    <x v="2"/>
    <x v="1"/>
    <x v="1"/>
    <s v="Global Leather Highback Executive Chair with Pneumatic Height Adjustment, Black"/>
    <n v="542.65"/>
    <n v="3"/>
    <n v="102.5"/>
  </r>
  <r>
    <d v="2016-12-03T00:00:00"/>
    <x v="2"/>
    <x v="9"/>
    <x v="359"/>
    <x v="2"/>
    <x v="2"/>
    <x v="8"/>
    <s v="Avery 520"/>
    <n v="6.3"/>
    <n v="2"/>
    <n v="3.02"/>
  </r>
  <r>
    <d v="2016-12-03T00:00:00"/>
    <x v="2"/>
    <x v="9"/>
    <x v="553"/>
    <x v="13"/>
    <x v="2"/>
    <x v="10"/>
    <s v="Honeywell Enviracaire Portable HEPA Air Cleaner for up to 10 x 16 Room"/>
    <n v="394.82"/>
    <n v="4"/>
    <n v="93.77"/>
  </r>
  <r>
    <d v="2016-12-03T00:00:00"/>
    <x v="2"/>
    <x v="9"/>
    <x v="553"/>
    <x v="13"/>
    <x v="2"/>
    <x v="9"/>
    <s v="GBC Clear Cover, 8-1/2 x 11, unpunched, 25 covers per pack"/>
    <n v="18.190000000000001"/>
    <n v="4"/>
    <n v="-14.55"/>
  </r>
  <r>
    <d v="2016-12-03T00:00:00"/>
    <x v="2"/>
    <x v="9"/>
    <x v="331"/>
    <x v="5"/>
    <x v="0"/>
    <x v="0"/>
    <s v="LogitechÂ Z-906 Speaker sys - home theater - 5.1-CH"/>
    <n v="1649.95"/>
    <n v="5"/>
    <n v="659.98"/>
  </r>
  <r>
    <d v="2016-12-03T00:00:00"/>
    <x v="2"/>
    <x v="9"/>
    <x v="331"/>
    <x v="5"/>
    <x v="1"/>
    <x v="5"/>
    <s v="3M Polarizing Light Filter Sleeves"/>
    <n v="111.9"/>
    <n v="6"/>
    <n v="51.47"/>
  </r>
  <r>
    <d v="2016-12-03T00:00:00"/>
    <x v="2"/>
    <x v="9"/>
    <x v="476"/>
    <x v="33"/>
    <x v="1"/>
    <x v="7"/>
    <s v="Hon 5100 Series Wood Tables"/>
    <n v="581.96"/>
    <n v="2"/>
    <n v="104.75"/>
  </r>
  <r>
    <d v="2016-12-03T00:00:00"/>
    <x v="2"/>
    <x v="9"/>
    <x v="476"/>
    <x v="33"/>
    <x v="1"/>
    <x v="1"/>
    <s v="Global Stack Chair with Arms, Black"/>
    <n v="29.98"/>
    <n v="1"/>
    <n v="8.09"/>
  </r>
  <r>
    <d v="2016-12-03T00:00:00"/>
    <x v="2"/>
    <x v="9"/>
    <x v="554"/>
    <x v="5"/>
    <x v="2"/>
    <x v="6"/>
    <s v="Fellowes Staxonsteel Drawer Files"/>
    <n v="772.68"/>
    <n v="4"/>
    <n v="108.18"/>
  </r>
  <r>
    <d v="2016-12-03T00:00:00"/>
    <x v="2"/>
    <x v="9"/>
    <x v="57"/>
    <x v="5"/>
    <x v="1"/>
    <x v="7"/>
    <s v="Hon 4060 Series Tables"/>
    <n v="268.7"/>
    <n v="3"/>
    <n v="6.72"/>
  </r>
  <r>
    <d v="2016-12-03T00:00:00"/>
    <x v="2"/>
    <x v="9"/>
    <x v="57"/>
    <x v="5"/>
    <x v="2"/>
    <x v="11"/>
    <s v="Rogers Handheld Barrel Pencil Sharpener"/>
    <n v="21.92"/>
    <n v="8"/>
    <n v="5.92"/>
  </r>
  <r>
    <d v="2016-12-03T00:00:00"/>
    <x v="2"/>
    <x v="9"/>
    <x v="57"/>
    <x v="5"/>
    <x v="2"/>
    <x v="6"/>
    <s v="Acco Perma 4000 Stacking Storage Drawers"/>
    <n v="48.72"/>
    <n v="3"/>
    <n v="7.31"/>
  </r>
  <r>
    <d v="2016-12-03T00:00:00"/>
    <x v="2"/>
    <x v="9"/>
    <x v="57"/>
    <x v="5"/>
    <x v="1"/>
    <x v="16"/>
    <s v="O'Sullivan Living Dimensions 2-Shelf Bookcases"/>
    <n v="205.67"/>
    <n v="2"/>
    <n v="-12.1"/>
  </r>
  <r>
    <d v="2016-01-04T00:00:00"/>
    <x v="2"/>
    <x v="11"/>
    <x v="555"/>
    <x v="12"/>
    <x v="0"/>
    <x v="12"/>
    <s v="Hewlett Packard 310 Color Digital Copier"/>
    <n v="959.97"/>
    <n v="4"/>
    <n v="120"/>
  </r>
  <r>
    <d v="2016-01-04T00:00:00"/>
    <x v="2"/>
    <x v="11"/>
    <x v="556"/>
    <x v="13"/>
    <x v="2"/>
    <x v="11"/>
    <s v="Newell 312"/>
    <n v="4.67"/>
    <n v="1"/>
    <n v="0.57999999999999996"/>
  </r>
  <r>
    <d v="2016-01-04T00:00:00"/>
    <x v="2"/>
    <x v="11"/>
    <x v="556"/>
    <x v="13"/>
    <x v="2"/>
    <x v="9"/>
    <s v="Avery Arch Ring Binders"/>
    <n v="104.58"/>
    <n v="6"/>
    <n v="-80.180000000000007"/>
  </r>
  <r>
    <d v="2016-02-04T00:00:00"/>
    <x v="2"/>
    <x v="0"/>
    <x v="557"/>
    <x v="23"/>
    <x v="1"/>
    <x v="5"/>
    <s v="Nu-Dell Float Frame 11 x 14 1/2"/>
    <n v="14.37"/>
    <n v="2"/>
    <n v="3.95"/>
  </r>
  <r>
    <d v="2016-02-04T00:00:00"/>
    <x v="2"/>
    <x v="0"/>
    <x v="199"/>
    <x v="24"/>
    <x v="0"/>
    <x v="2"/>
    <s v="AT&amp;T 17929 Lendline Telephone"/>
    <n v="90.48"/>
    <n v="2"/>
    <n v="23.52"/>
  </r>
  <r>
    <d v="2016-02-04T00:00:00"/>
    <x v="2"/>
    <x v="0"/>
    <x v="321"/>
    <x v="5"/>
    <x v="2"/>
    <x v="6"/>
    <s v="Safco Commercial Shelving"/>
    <n v="93.02"/>
    <n v="2"/>
    <n v="3.72"/>
  </r>
  <r>
    <d v="2016-03-04T00:00:00"/>
    <x v="2"/>
    <x v="1"/>
    <x v="558"/>
    <x v="5"/>
    <x v="2"/>
    <x v="11"/>
    <s v="Berol Giant Pencil Sharpener"/>
    <n v="16.989999999999998"/>
    <n v="1"/>
    <n v="4.93"/>
  </r>
  <r>
    <d v="2016-03-04T00:00:00"/>
    <x v="2"/>
    <x v="1"/>
    <x v="559"/>
    <x v="11"/>
    <x v="2"/>
    <x v="8"/>
    <s v="Avery 518"/>
    <n v="10.08"/>
    <n v="4"/>
    <n v="3.53"/>
  </r>
  <r>
    <d v="2016-03-04T00:00:00"/>
    <x v="2"/>
    <x v="1"/>
    <x v="209"/>
    <x v="33"/>
    <x v="2"/>
    <x v="9"/>
    <s v="Green Canvas Binder for 8-1/2&quot; x 14&quot; Sheets"/>
    <n v="128.4"/>
    <n v="3"/>
    <n v="64.2"/>
  </r>
  <r>
    <d v="2016-03-04T00:00:00"/>
    <x v="2"/>
    <x v="1"/>
    <x v="432"/>
    <x v="41"/>
    <x v="0"/>
    <x v="0"/>
    <s v="Logitech G602 Wireless Gaming Mouse"/>
    <n v="159.97999999999999"/>
    <n v="2"/>
    <n v="57.59"/>
  </r>
  <r>
    <d v="2016-04-04T00:00:00"/>
    <x v="2"/>
    <x v="2"/>
    <x v="157"/>
    <x v="20"/>
    <x v="0"/>
    <x v="2"/>
    <s v="Anker Astro 15000mAh USB Portable Charger"/>
    <n v="149.97"/>
    <n v="3"/>
    <n v="6"/>
  </r>
  <r>
    <d v="2016-04-04T00:00:00"/>
    <x v="2"/>
    <x v="2"/>
    <x v="157"/>
    <x v="20"/>
    <x v="2"/>
    <x v="3"/>
    <s v="Wirebound Message Books, Four 2 3/4&quot; x 5&quot; Forms per Page, 600 Sets per Book"/>
    <n v="27.81"/>
    <n v="3"/>
    <n v="13.07"/>
  </r>
  <r>
    <d v="2016-04-04T00:00:00"/>
    <x v="2"/>
    <x v="2"/>
    <x v="560"/>
    <x v="2"/>
    <x v="2"/>
    <x v="9"/>
    <s v="Ibico Ibimaster 300 Manual Binding System"/>
    <n v="588.78"/>
    <n v="2"/>
    <n v="184"/>
  </r>
  <r>
    <d v="2016-04-04T00:00:00"/>
    <x v="2"/>
    <x v="2"/>
    <x v="171"/>
    <x v="2"/>
    <x v="1"/>
    <x v="5"/>
    <s v="Deflect-o EconoMat Studded, No Bevel Mat for Low Pile Carpeting"/>
    <n v="82.64"/>
    <n v="2"/>
    <n v="7.44"/>
  </r>
  <r>
    <d v="2016-04-04T00:00:00"/>
    <x v="2"/>
    <x v="2"/>
    <x v="171"/>
    <x v="2"/>
    <x v="2"/>
    <x v="6"/>
    <s v="Tenex File Box, Personal Filing Tote with Lid, Black"/>
    <n v="31.02"/>
    <n v="2"/>
    <n v="8.07"/>
  </r>
  <r>
    <d v="2016-04-04T00:00:00"/>
    <x v="2"/>
    <x v="2"/>
    <x v="171"/>
    <x v="2"/>
    <x v="0"/>
    <x v="0"/>
    <s v="Logitech Trackman Marble Mouse"/>
    <n v="89.97"/>
    <n v="3"/>
    <n v="37.79"/>
  </r>
  <r>
    <d v="2016-06-04T00:00:00"/>
    <x v="2"/>
    <x v="3"/>
    <x v="293"/>
    <x v="20"/>
    <x v="2"/>
    <x v="3"/>
    <s v="Snap-A-Way Black Print Carbonless Ruled Speed Letter, Triplicate"/>
    <n v="75.88"/>
    <n v="2"/>
    <n v="35.659999999999997"/>
  </r>
  <r>
    <d v="2016-06-04T00:00:00"/>
    <x v="2"/>
    <x v="3"/>
    <x v="284"/>
    <x v="3"/>
    <x v="2"/>
    <x v="3"/>
    <s v="Xerox 1957"/>
    <n v="25.92"/>
    <n v="5"/>
    <n v="9.4"/>
  </r>
  <r>
    <d v="2016-06-04T00:00:00"/>
    <x v="2"/>
    <x v="3"/>
    <x v="284"/>
    <x v="3"/>
    <x v="1"/>
    <x v="5"/>
    <s v="Luxo Professional Fluorescent Magnifier Lamp with Clamp-Mount Base"/>
    <n v="419.68"/>
    <n v="5"/>
    <n v="-356.73"/>
  </r>
  <r>
    <d v="2016-06-04T00:00:00"/>
    <x v="2"/>
    <x v="3"/>
    <x v="284"/>
    <x v="3"/>
    <x v="1"/>
    <x v="5"/>
    <s v="Staple-based wall hangings"/>
    <n v="11.69"/>
    <n v="3"/>
    <n v="-4.68"/>
  </r>
  <r>
    <d v="2016-06-04T00:00:00"/>
    <x v="2"/>
    <x v="3"/>
    <x v="284"/>
    <x v="3"/>
    <x v="0"/>
    <x v="2"/>
    <s v="PureGear Roll-On Screen Protector"/>
    <n v="31.98"/>
    <n v="2"/>
    <n v="11.19"/>
  </r>
  <r>
    <d v="2016-06-04T00:00:00"/>
    <x v="2"/>
    <x v="3"/>
    <x v="284"/>
    <x v="3"/>
    <x v="1"/>
    <x v="7"/>
    <s v="KI Conference Tables"/>
    <n v="177.23"/>
    <n v="5"/>
    <n v="-120.51"/>
  </r>
  <r>
    <d v="2016-06-04T00:00:00"/>
    <x v="2"/>
    <x v="3"/>
    <x v="284"/>
    <x v="3"/>
    <x v="1"/>
    <x v="5"/>
    <s v="Eldon 100 Class Desk Accessories"/>
    <n v="4.04"/>
    <n v="3"/>
    <n v="-2.83"/>
  </r>
  <r>
    <d v="2016-06-04T00:00:00"/>
    <x v="2"/>
    <x v="3"/>
    <x v="284"/>
    <x v="3"/>
    <x v="2"/>
    <x v="11"/>
    <s v="Binney &amp; Smith Crayola Metallic Colored Pencils, 8-Color Set"/>
    <n v="7.41"/>
    <n v="2"/>
    <n v="1.2"/>
  </r>
  <r>
    <d v="2016-06-04T00:00:00"/>
    <x v="2"/>
    <x v="3"/>
    <x v="561"/>
    <x v="2"/>
    <x v="2"/>
    <x v="3"/>
    <s v="Easy-staple paper"/>
    <n v="14.94"/>
    <n v="3"/>
    <n v="7.02"/>
  </r>
  <r>
    <d v="2016-06-04T00:00:00"/>
    <x v="2"/>
    <x v="3"/>
    <x v="561"/>
    <x v="2"/>
    <x v="0"/>
    <x v="14"/>
    <s v="Panasonic KX MC6040 Color Laser Multifunction Printer"/>
    <n v="1349.85"/>
    <n v="3"/>
    <n v="364.46"/>
  </r>
  <r>
    <d v="2016-06-04T00:00:00"/>
    <x v="2"/>
    <x v="3"/>
    <x v="561"/>
    <x v="2"/>
    <x v="1"/>
    <x v="16"/>
    <s v="Sauder Inglewood Library Bookcases"/>
    <n v="136.78"/>
    <n v="1"/>
    <n v="5.13"/>
  </r>
  <r>
    <d v="2016-06-04T00:00:00"/>
    <x v="2"/>
    <x v="3"/>
    <x v="561"/>
    <x v="2"/>
    <x v="1"/>
    <x v="5"/>
    <s v="Linden 10&quot; Round Wall Clock, Black"/>
    <n v="61.12"/>
    <n v="4"/>
    <n v="20.78"/>
  </r>
  <r>
    <d v="2016-07-04T00:00:00"/>
    <x v="2"/>
    <x v="4"/>
    <x v="35"/>
    <x v="5"/>
    <x v="1"/>
    <x v="5"/>
    <s v="Master Caster Door Stop, Brown"/>
    <n v="25.4"/>
    <n v="5"/>
    <n v="8.64"/>
  </r>
  <r>
    <d v="2016-07-04T00:00:00"/>
    <x v="2"/>
    <x v="4"/>
    <x v="35"/>
    <x v="5"/>
    <x v="2"/>
    <x v="13"/>
    <s v="Inter-Office Recycled Envelopes, Brown Kraft, Button-String,10&quot; x 13&quot; , 100/Box"/>
    <n v="43.96"/>
    <n v="2"/>
    <n v="20.66"/>
  </r>
  <r>
    <d v="2016-07-04T00:00:00"/>
    <x v="2"/>
    <x v="4"/>
    <x v="35"/>
    <x v="5"/>
    <x v="1"/>
    <x v="16"/>
    <s v="Atlantic Metals Mobile 5-Shelf Bookcases, Custom Colors"/>
    <n v="1279.17"/>
    <n v="5"/>
    <n v="225.74"/>
  </r>
  <r>
    <d v="2016-07-04T00:00:00"/>
    <x v="2"/>
    <x v="4"/>
    <x v="35"/>
    <x v="5"/>
    <x v="2"/>
    <x v="6"/>
    <s v="Eldon Shelf Savers Cubes and Bins"/>
    <n v="27.92"/>
    <n v="4"/>
    <n v="0.56000000000000005"/>
  </r>
  <r>
    <d v="2016-07-04T00:00:00"/>
    <x v="2"/>
    <x v="4"/>
    <x v="195"/>
    <x v="1"/>
    <x v="1"/>
    <x v="5"/>
    <s v="Master Caster Door Stop, Brown"/>
    <n v="25.4"/>
    <n v="5"/>
    <n v="8.64"/>
  </r>
  <r>
    <d v="2016-07-04T00:00:00"/>
    <x v="2"/>
    <x v="4"/>
    <x v="195"/>
    <x v="1"/>
    <x v="0"/>
    <x v="2"/>
    <s v="Avaya 4621SW VoIP phone"/>
    <n v="177.48"/>
    <n v="3"/>
    <n v="19.97"/>
  </r>
  <r>
    <d v="2016-07-04T00:00:00"/>
    <x v="2"/>
    <x v="4"/>
    <x v="195"/>
    <x v="1"/>
    <x v="0"/>
    <x v="2"/>
    <s v="OtterBox Defender Series Case - Samsung Galaxy S4"/>
    <n v="71.98"/>
    <n v="3"/>
    <n v="9"/>
  </r>
  <r>
    <d v="2016-08-04T00:00:00"/>
    <x v="2"/>
    <x v="5"/>
    <x v="562"/>
    <x v="20"/>
    <x v="2"/>
    <x v="15"/>
    <s v="Acme 10&quot; Easy Grip Assistive Scissors"/>
    <n v="35.06"/>
    <n v="2"/>
    <n v="10.52"/>
  </r>
  <r>
    <d v="2016-08-04T00:00:00"/>
    <x v="2"/>
    <x v="5"/>
    <x v="562"/>
    <x v="20"/>
    <x v="2"/>
    <x v="8"/>
    <s v="Avery 476"/>
    <n v="4.13"/>
    <n v="1"/>
    <n v="1.9"/>
  </r>
  <r>
    <d v="2016-08-04T00:00:00"/>
    <x v="2"/>
    <x v="5"/>
    <x v="562"/>
    <x v="20"/>
    <x v="1"/>
    <x v="5"/>
    <s v="Advantus Panel Wall Certificate Holder - 8.5x11"/>
    <n v="109.8"/>
    <n v="9"/>
    <n v="46.12"/>
  </r>
  <r>
    <d v="2016-08-04T00:00:00"/>
    <x v="2"/>
    <x v="5"/>
    <x v="562"/>
    <x v="20"/>
    <x v="2"/>
    <x v="8"/>
    <s v="Avery 478"/>
    <n v="9.82"/>
    <n v="2"/>
    <n v="4.8099999999999996"/>
  </r>
  <r>
    <d v="2016-08-04T00:00:00"/>
    <x v="2"/>
    <x v="5"/>
    <x v="563"/>
    <x v="3"/>
    <x v="2"/>
    <x v="9"/>
    <s v="Ibico Presentation Index for Binding Systems"/>
    <n v="3.98"/>
    <n v="5"/>
    <n v="-6.57"/>
  </r>
  <r>
    <d v="2016-08-04T00:00:00"/>
    <x v="2"/>
    <x v="5"/>
    <x v="564"/>
    <x v="5"/>
    <x v="0"/>
    <x v="2"/>
    <s v="Mitel 5320 IP Phone VoIP phone"/>
    <n v="302.38"/>
    <n v="2"/>
    <n v="30.24"/>
  </r>
  <r>
    <d v="2016-08-04T00:00:00"/>
    <x v="2"/>
    <x v="5"/>
    <x v="564"/>
    <x v="5"/>
    <x v="2"/>
    <x v="9"/>
    <s v="Wilson Jones Leather-Like Binders with DublLock Round Rings"/>
    <n v="20.95"/>
    <n v="3"/>
    <n v="7.07"/>
  </r>
  <r>
    <d v="2016-08-04T00:00:00"/>
    <x v="2"/>
    <x v="5"/>
    <x v="564"/>
    <x v="5"/>
    <x v="2"/>
    <x v="9"/>
    <s v="Pressboard Covers with Storage Hooks, 9 1/2&quot; x 11&quot;, Light Blue"/>
    <n v="11.78"/>
    <n v="3"/>
    <n v="3.98"/>
  </r>
  <r>
    <d v="2016-09-04T00:00:00"/>
    <x v="2"/>
    <x v="6"/>
    <x v="15"/>
    <x v="4"/>
    <x v="2"/>
    <x v="11"/>
    <s v="Faber Castell Col-Erase Pencils"/>
    <n v="3.91"/>
    <n v="1"/>
    <n v="1.03"/>
  </r>
  <r>
    <d v="2016-09-04T00:00:00"/>
    <x v="2"/>
    <x v="6"/>
    <x v="15"/>
    <x v="4"/>
    <x v="2"/>
    <x v="11"/>
    <s v="BOSTON Ranger #55 Pencil Sharpener, Black"/>
    <n v="62.38"/>
    <n v="3"/>
    <n v="7.02"/>
  </r>
  <r>
    <d v="2016-09-04T00:00:00"/>
    <x v="2"/>
    <x v="6"/>
    <x v="52"/>
    <x v="2"/>
    <x v="1"/>
    <x v="5"/>
    <s v="Howard Miller 16&quot; Diameter Gallery Wall Clock"/>
    <n v="63.94"/>
    <n v="1"/>
    <n v="24.94"/>
  </r>
  <r>
    <d v="2016-09-04T00:00:00"/>
    <x v="2"/>
    <x v="6"/>
    <x v="52"/>
    <x v="2"/>
    <x v="2"/>
    <x v="9"/>
    <s v="Plastic Binding Combs"/>
    <n v="60.6"/>
    <n v="5"/>
    <n v="20.45"/>
  </r>
  <r>
    <d v="2016-09-04T00:00:00"/>
    <x v="2"/>
    <x v="6"/>
    <x v="52"/>
    <x v="2"/>
    <x v="2"/>
    <x v="15"/>
    <s v="Acme Preferred Stainless Steel Scissors"/>
    <n v="22.72"/>
    <n v="4"/>
    <n v="6.59"/>
  </r>
  <r>
    <d v="2016-09-04T00:00:00"/>
    <x v="2"/>
    <x v="6"/>
    <x v="159"/>
    <x v="26"/>
    <x v="2"/>
    <x v="3"/>
    <s v="RSVP Cards &amp; Envelopes, Blank White, 8-1/2&quot; X 11&quot;, 24 Cards/25 Envelopes/Set"/>
    <n v="12.19"/>
    <n v="3"/>
    <n v="4.1100000000000003"/>
  </r>
  <r>
    <d v="2016-09-04T00:00:00"/>
    <x v="2"/>
    <x v="6"/>
    <x v="159"/>
    <x v="26"/>
    <x v="2"/>
    <x v="10"/>
    <s v="Belkin 5 Outlet SurgeMaster Power Centers"/>
    <n v="87.17"/>
    <n v="2"/>
    <n v="8.7200000000000006"/>
  </r>
  <r>
    <d v="2016-09-04T00:00:00"/>
    <x v="2"/>
    <x v="6"/>
    <x v="159"/>
    <x v="26"/>
    <x v="2"/>
    <x v="11"/>
    <s v="Prismacolor Color Pencil Set"/>
    <n v="31.74"/>
    <n v="2"/>
    <n v="8.33"/>
  </r>
  <r>
    <d v="2016-09-04T00:00:00"/>
    <x v="2"/>
    <x v="6"/>
    <x v="35"/>
    <x v="17"/>
    <x v="1"/>
    <x v="5"/>
    <s v="Coloredge Poster Frame"/>
    <n v="42.6"/>
    <n v="3"/>
    <n v="16.61"/>
  </r>
  <r>
    <d v="2016-09-04T00:00:00"/>
    <x v="2"/>
    <x v="6"/>
    <x v="35"/>
    <x v="17"/>
    <x v="2"/>
    <x v="9"/>
    <s v="Poly Designer Cover &amp; Back"/>
    <n v="113.94"/>
    <n v="6"/>
    <n v="54.69"/>
  </r>
  <r>
    <d v="2016-09-04T00:00:00"/>
    <x v="2"/>
    <x v="6"/>
    <x v="35"/>
    <x v="17"/>
    <x v="2"/>
    <x v="6"/>
    <s v="Fellowes Neat Ideas Storage Cubes"/>
    <n v="129.91999999999999"/>
    <n v="4"/>
    <n v="5.2"/>
  </r>
  <r>
    <d v="2016-09-04T00:00:00"/>
    <x v="2"/>
    <x v="6"/>
    <x v="35"/>
    <x v="17"/>
    <x v="2"/>
    <x v="11"/>
    <s v="Nontoxic Chalk"/>
    <n v="5.28"/>
    <n v="3"/>
    <n v="2.5299999999999998"/>
  </r>
  <r>
    <d v="2016-09-04T00:00:00"/>
    <x v="2"/>
    <x v="6"/>
    <x v="129"/>
    <x v="7"/>
    <x v="2"/>
    <x v="6"/>
    <s v="Hot File 7-Pocket, Floor Stand"/>
    <n v="535.41"/>
    <n v="3"/>
    <n v="160.62"/>
  </r>
  <r>
    <d v="2016-09-04T00:00:00"/>
    <x v="2"/>
    <x v="6"/>
    <x v="123"/>
    <x v="22"/>
    <x v="2"/>
    <x v="13"/>
    <s v="Staple envelope"/>
    <n v="16.559999999999999"/>
    <n v="2"/>
    <n v="7.78"/>
  </r>
  <r>
    <d v="2016-09-04T00:00:00"/>
    <x v="2"/>
    <x v="6"/>
    <x v="123"/>
    <x v="22"/>
    <x v="0"/>
    <x v="0"/>
    <s v="Sony Micro Vault Click 16 GB USB 2.0 Flash Drive"/>
    <n v="279.95"/>
    <n v="5"/>
    <n v="67.19"/>
  </r>
  <r>
    <d v="2016-09-04T00:00:00"/>
    <x v="2"/>
    <x v="6"/>
    <x v="249"/>
    <x v="9"/>
    <x v="2"/>
    <x v="3"/>
    <s v="Xerox 1886"/>
    <n v="239.5"/>
    <n v="5"/>
    <n v="114.96"/>
  </r>
  <r>
    <d v="2016-09-04T00:00:00"/>
    <x v="2"/>
    <x v="6"/>
    <x v="565"/>
    <x v="5"/>
    <x v="1"/>
    <x v="5"/>
    <s v="6&quot; Cubicle Wall Clock, Black"/>
    <n v="24.27"/>
    <n v="3"/>
    <n v="8.74"/>
  </r>
  <r>
    <d v="2016-09-04T00:00:00"/>
    <x v="2"/>
    <x v="6"/>
    <x v="565"/>
    <x v="5"/>
    <x v="0"/>
    <x v="12"/>
    <s v="Canon PC1060 Personal Laser Copier"/>
    <n v="2799.96"/>
    <n v="5"/>
    <n v="944.99"/>
  </r>
  <r>
    <d v="2016-10-04T00:00:00"/>
    <x v="2"/>
    <x v="7"/>
    <x v="566"/>
    <x v="4"/>
    <x v="2"/>
    <x v="13"/>
    <s v="Laser &amp; Ink Jet Business Envelopes"/>
    <n v="59.75"/>
    <n v="7"/>
    <n v="19.420000000000002"/>
  </r>
  <r>
    <d v="2016-10-04T00:00:00"/>
    <x v="2"/>
    <x v="7"/>
    <x v="325"/>
    <x v="40"/>
    <x v="2"/>
    <x v="9"/>
    <s v="Ibico Plastic Spiral Binding Combs"/>
    <n v="30.4"/>
    <n v="1"/>
    <n v="13.98"/>
  </r>
  <r>
    <d v="2016-10-04T00:00:00"/>
    <x v="2"/>
    <x v="7"/>
    <x v="325"/>
    <x v="40"/>
    <x v="0"/>
    <x v="12"/>
    <s v="Hewlett Packard LaserJet 3310 Copier"/>
    <n v="5399.91"/>
    <n v="9"/>
    <n v="2591.96"/>
  </r>
  <r>
    <d v="2016-10-04T00:00:00"/>
    <x v="2"/>
    <x v="7"/>
    <x v="325"/>
    <x v="40"/>
    <x v="2"/>
    <x v="6"/>
    <s v="Letter Size File"/>
    <n v="119.1"/>
    <n v="3"/>
    <n v="34.54"/>
  </r>
  <r>
    <d v="2016-10-04T00:00:00"/>
    <x v="2"/>
    <x v="7"/>
    <x v="232"/>
    <x v="24"/>
    <x v="1"/>
    <x v="7"/>
    <s v="Bush Andora Conference Table, Maple/Graphite Gray Finish"/>
    <n v="239.37"/>
    <n v="2"/>
    <n v="-23.94"/>
  </r>
  <r>
    <d v="2016-10-04T00:00:00"/>
    <x v="2"/>
    <x v="7"/>
    <x v="42"/>
    <x v="11"/>
    <x v="0"/>
    <x v="2"/>
    <s v="Samsung HM1900 Bluetooth Headset"/>
    <n v="52.68"/>
    <n v="3"/>
    <n v="19.760000000000002"/>
  </r>
  <r>
    <d v="2016-10-04T00:00:00"/>
    <x v="2"/>
    <x v="7"/>
    <x v="42"/>
    <x v="11"/>
    <x v="1"/>
    <x v="5"/>
    <s v="Magna Visual Magnetic Picture Hangers"/>
    <n v="11.57"/>
    <n v="3"/>
    <n v="2.6"/>
  </r>
  <r>
    <d v="2016-11-04T00:00:00"/>
    <x v="2"/>
    <x v="8"/>
    <x v="152"/>
    <x v="17"/>
    <x v="2"/>
    <x v="4"/>
    <s v="OIC Colored Binder Clips, Assorted Sizes"/>
    <n v="10.74"/>
    <n v="3"/>
    <n v="5.26"/>
  </r>
  <r>
    <d v="2016-11-04T00:00:00"/>
    <x v="2"/>
    <x v="8"/>
    <x v="567"/>
    <x v="1"/>
    <x v="1"/>
    <x v="5"/>
    <s v="Tenex &quot;The Solids&quot; Textured Chair Mats"/>
    <n v="209.88"/>
    <n v="3"/>
    <n v="35.68"/>
  </r>
  <r>
    <d v="2016-11-04T00:00:00"/>
    <x v="2"/>
    <x v="8"/>
    <x v="218"/>
    <x v="5"/>
    <x v="1"/>
    <x v="5"/>
    <s v="Advantus Panel Wall Acrylic Frame"/>
    <n v="38.29"/>
    <n v="7"/>
    <n v="16.46"/>
  </r>
  <r>
    <d v="2016-11-04T00:00:00"/>
    <x v="2"/>
    <x v="8"/>
    <x v="414"/>
    <x v="5"/>
    <x v="2"/>
    <x v="11"/>
    <s v="Boston Heavy-Duty Trimline Electric Pencil Sharpeners"/>
    <n v="192.8"/>
    <n v="4"/>
    <n v="55.91"/>
  </r>
  <r>
    <d v="2016-11-04T00:00:00"/>
    <x v="2"/>
    <x v="8"/>
    <x v="320"/>
    <x v="16"/>
    <x v="2"/>
    <x v="15"/>
    <s v="Serrated Blade or Curved Handle Hand Letter Openers"/>
    <n v="17.579999999999998"/>
    <n v="7"/>
    <n v="-4.18"/>
  </r>
  <r>
    <d v="2016-11-04T00:00:00"/>
    <x v="2"/>
    <x v="8"/>
    <x v="320"/>
    <x v="16"/>
    <x v="1"/>
    <x v="1"/>
    <s v="Office Star - Contemporary Task Swivel chair with Loop Arms, Charcoal"/>
    <n v="104.78"/>
    <n v="1"/>
    <n v="-14.41"/>
  </r>
  <r>
    <d v="2016-11-04T00:00:00"/>
    <x v="2"/>
    <x v="8"/>
    <x v="320"/>
    <x v="16"/>
    <x v="2"/>
    <x v="3"/>
    <s v="Southworth 25% Cotton Premium Laser Paper and Envelopes"/>
    <n v="47.95"/>
    <n v="3"/>
    <n v="16.78"/>
  </r>
  <r>
    <d v="2016-11-04T00:00:00"/>
    <x v="2"/>
    <x v="8"/>
    <x v="320"/>
    <x v="16"/>
    <x v="1"/>
    <x v="1"/>
    <s v="Global Enterprise Series Seating High-Back Swivel/Tilt Chairs"/>
    <n v="650.35"/>
    <n v="3"/>
    <n v="-97.55"/>
  </r>
  <r>
    <d v="2016-11-04T00:00:00"/>
    <x v="2"/>
    <x v="8"/>
    <x v="320"/>
    <x v="16"/>
    <x v="2"/>
    <x v="8"/>
    <s v="Dot Matrix Printer Tape Reel Labels, White, 5000/Box"/>
    <n v="629.17999999999995"/>
    <n v="8"/>
    <n v="228.08"/>
  </r>
  <r>
    <d v="2016-11-04T00:00:00"/>
    <x v="2"/>
    <x v="8"/>
    <x v="320"/>
    <x v="16"/>
    <x v="2"/>
    <x v="3"/>
    <s v="Xerox 1887"/>
    <n v="15.18"/>
    <n v="1"/>
    <n v="5.31"/>
  </r>
  <r>
    <d v="2016-11-04T00:00:00"/>
    <x v="2"/>
    <x v="8"/>
    <x v="568"/>
    <x v="11"/>
    <x v="1"/>
    <x v="5"/>
    <s v="Ultra Door Pull Handle"/>
    <n v="50.5"/>
    <n v="6"/>
    <n v="8.2100000000000009"/>
  </r>
  <r>
    <d v="2016-11-04T00:00:00"/>
    <x v="2"/>
    <x v="8"/>
    <x v="235"/>
    <x v="5"/>
    <x v="2"/>
    <x v="9"/>
    <s v="Tuff Stuff Recycled Round Ring Binders"/>
    <n v="7.71"/>
    <n v="2"/>
    <n v="2.8"/>
  </r>
  <r>
    <d v="2016-11-04T00:00:00"/>
    <x v="2"/>
    <x v="8"/>
    <x v="235"/>
    <x v="5"/>
    <x v="2"/>
    <x v="9"/>
    <s v="Acco Economy Flexible Poly Round Ring Binder"/>
    <n v="4.18"/>
    <n v="1"/>
    <n v="1.31"/>
  </r>
  <r>
    <d v="2016-11-04T00:00:00"/>
    <x v="2"/>
    <x v="8"/>
    <x v="235"/>
    <x v="5"/>
    <x v="2"/>
    <x v="3"/>
    <s v="Xerox 229"/>
    <n v="38.880000000000003"/>
    <n v="6"/>
    <n v="18.66"/>
  </r>
  <r>
    <d v="2016-11-04T00:00:00"/>
    <x v="2"/>
    <x v="8"/>
    <x v="569"/>
    <x v="12"/>
    <x v="2"/>
    <x v="6"/>
    <s v="Eldon Portable Mobile Manager"/>
    <n v="45.25"/>
    <n v="2"/>
    <n v="3.96"/>
  </r>
  <r>
    <d v="2016-11-04T00:00:00"/>
    <x v="2"/>
    <x v="8"/>
    <x v="569"/>
    <x v="12"/>
    <x v="1"/>
    <x v="7"/>
    <s v="BPI Conference Tables"/>
    <n v="876.3"/>
    <n v="10"/>
    <n v="-292.10000000000002"/>
  </r>
  <r>
    <d v="2016-11-04T00:00:00"/>
    <x v="2"/>
    <x v="8"/>
    <x v="569"/>
    <x v="12"/>
    <x v="2"/>
    <x v="15"/>
    <s v="Premier Electric Letter Opener"/>
    <n v="185.38"/>
    <n v="2"/>
    <n v="-34.76"/>
  </r>
  <r>
    <d v="2016-11-04T00:00:00"/>
    <x v="2"/>
    <x v="8"/>
    <x v="532"/>
    <x v="5"/>
    <x v="0"/>
    <x v="14"/>
    <s v="Okidata B400 Printer"/>
    <n v="686.4"/>
    <n v="2"/>
    <n v="77.22"/>
  </r>
  <r>
    <d v="2016-11-04T00:00:00"/>
    <x v="2"/>
    <x v="8"/>
    <x v="263"/>
    <x v="4"/>
    <x v="1"/>
    <x v="5"/>
    <s v="DAX Two-Tone Rosewood/Black Document Frame, Desktop, 5 x 7"/>
    <n v="11.38"/>
    <n v="3"/>
    <n v="-5.69"/>
  </r>
  <r>
    <d v="2016-11-04T00:00:00"/>
    <x v="2"/>
    <x v="8"/>
    <x v="263"/>
    <x v="4"/>
    <x v="1"/>
    <x v="5"/>
    <s v="Deflect-o EconoMat Studded, No Bevel Mat for Low Pile Carpeting"/>
    <n v="66.11"/>
    <n v="4"/>
    <n v="-84.29"/>
  </r>
  <r>
    <d v="2016-12-04T00:00:00"/>
    <x v="2"/>
    <x v="9"/>
    <x v="217"/>
    <x v="2"/>
    <x v="1"/>
    <x v="5"/>
    <s v="Eldon Delta Triangular Chair Mat, 52&quot; x 58&quot;, Clear"/>
    <n v="113.79"/>
    <n v="3"/>
    <n v="20.48"/>
  </r>
  <r>
    <d v="2016-12-04T00:00:00"/>
    <x v="2"/>
    <x v="9"/>
    <x v="217"/>
    <x v="2"/>
    <x v="0"/>
    <x v="0"/>
    <s v="Enermax Aurora Lite Keyboard"/>
    <n v="78.150000000000006"/>
    <n v="1"/>
    <n v="34.39"/>
  </r>
  <r>
    <d v="2016-12-04T00:00:00"/>
    <x v="2"/>
    <x v="9"/>
    <x v="217"/>
    <x v="2"/>
    <x v="2"/>
    <x v="9"/>
    <s v="Peel &amp; Stick Add-On Corner Pockets"/>
    <n v="1.73"/>
    <n v="1"/>
    <n v="0.6"/>
  </r>
  <r>
    <d v="2016-12-04T00:00:00"/>
    <x v="2"/>
    <x v="9"/>
    <x v="217"/>
    <x v="2"/>
    <x v="2"/>
    <x v="3"/>
    <s v="Easy-staple paper"/>
    <n v="40.56"/>
    <n v="4"/>
    <n v="19.87"/>
  </r>
  <r>
    <d v="2016-12-04T00:00:00"/>
    <x v="2"/>
    <x v="9"/>
    <x v="217"/>
    <x v="2"/>
    <x v="2"/>
    <x v="6"/>
    <s v="Carina Media Storage Towers in Natural &amp; Black"/>
    <n v="182.94"/>
    <n v="3"/>
    <n v="3.66"/>
  </r>
  <r>
    <d v="2016-12-04T00:00:00"/>
    <x v="2"/>
    <x v="9"/>
    <x v="217"/>
    <x v="2"/>
    <x v="2"/>
    <x v="6"/>
    <s v="Fellowes Econo/Stor Drawers"/>
    <n v="193.86"/>
    <n v="2"/>
    <n v="11.63"/>
  </r>
  <r>
    <d v="2016-12-04T00:00:00"/>
    <x v="2"/>
    <x v="9"/>
    <x v="570"/>
    <x v="2"/>
    <x v="2"/>
    <x v="6"/>
    <s v="Belkin OmniView SE Rackmount Kit"/>
    <n v="212.88"/>
    <n v="6"/>
    <n v="0"/>
  </r>
  <r>
    <d v="2016-12-04T00:00:00"/>
    <x v="2"/>
    <x v="9"/>
    <x v="571"/>
    <x v="2"/>
    <x v="2"/>
    <x v="9"/>
    <s v="GBC Instant Report Kit"/>
    <n v="15.53"/>
    <n v="3"/>
    <n v="5.82"/>
  </r>
  <r>
    <d v="2016-12-04T00:00:00"/>
    <x v="2"/>
    <x v="9"/>
    <x v="223"/>
    <x v="5"/>
    <x v="2"/>
    <x v="3"/>
    <s v="Xerox 1915"/>
    <n v="104.85"/>
    <n v="1"/>
    <n v="50.33"/>
  </r>
  <r>
    <d v="2016-01-05T00:00:00"/>
    <x v="2"/>
    <x v="11"/>
    <x v="572"/>
    <x v="11"/>
    <x v="0"/>
    <x v="0"/>
    <s v="LogitechÂ MX Performance Wireless Mouse"/>
    <n v="191.47"/>
    <n v="6"/>
    <n v="40.69"/>
  </r>
  <r>
    <d v="2016-01-05T00:00:00"/>
    <x v="2"/>
    <x v="11"/>
    <x v="572"/>
    <x v="11"/>
    <x v="2"/>
    <x v="11"/>
    <s v="Newell 337"/>
    <n v="5.25"/>
    <n v="2"/>
    <n v="0.59"/>
  </r>
  <r>
    <d v="2016-01-05T00:00:00"/>
    <x v="2"/>
    <x v="11"/>
    <x v="572"/>
    <x v="11"/>
    <x v="0"/>
    <x v="2"/>
    <s v="Logitech B530 USBÂ HeadsetÂ -Â headsetÂ - Full size, Binaural"/>
    <n v="59.18"/>
    <n v="2"/>
    <n v="5.18"/>
  </r>
  <r>
    <d v="2016-02-05T00:00:00"/>
    <x v="2"/>
    <x v="0"/>
    <x v="224"/>
    <x v="19"/>
    <x v="2"/>
    <x v="6"/>
    <s v="Carina 42&quot;Hx23 3/4&quot;W Media Storage Unit"/>
    <n v="80.98"/>
    <n v="1"/>
    <n v="1.62"/>
  </r>
  <r>
    <d v="2016-02-05T00:00:00"/>
    <x v="2"/>
    <x v="0"/>
    <x v="224"/>
    <x v="19"/>
    <x v="2"/>
    <x v="3"/>
    <s v="White Computer Printout Paper by Universal"/>
    <n v="348.84"/>
    <n v="9"/>
    <n v="170.93"/>
  </r>
  <r>
    <d v="2016-02-05T00:00:00"/>
    <x v="2"/>
    <x v="0"/>
    <x v="224"/>
    <x v="19"/>
    <x v="2"/>
    <x v="4"/>
    <s v="Revere Boxed Rubber Bands by Revere"/>
    <n v="9.4499999999999993"/>
    <n v="5"/>
    <n v="0.19"/>
  </r>
  <r>
    <d v="2016-02-05T00:00:00"/>
    <x v="2"/>
    <x v="0"/>
    <x v="224"/>
    <x v="19"/>
    <x v="1"/>
    <x v="5"/>
    <s v="Eldon 200 Class Desk Accessories, Black"/>
    <n v="18.84"/>
    <n v="3"/>
    <n v="7.16"/>
  </r>
  <r>
    <d v="2016-02-05T00:00:00"/>
    <x v="2"/>
    <x v="0"/>
    <x v="224"/>
    <x v="19"/>
    <x v="1"/>
    <x v="16"/>
    <s v="Bush Andora Bookcase, Maple/Graphite Gray Finish"/>
    <n v="239.98"/>
    <n v="2"/>
    <n v="52.8"/>
  </r>
  <r>
    <d v="2016-02-05T00:00:00"/>
    <x v="2"/>
    <x v="0"/>
    <x v="224"/>
    <x v="19"/>
    <x v="2"/>
    <x v="13"/>
    <s v="Ames Color-File Green Diamond Border X-ray Mailers"/>
    <n v="167.96"/>
    <n v="2"/>
    <n v="78.94"/>
  </r>
  <r>
    <d v="2016-02-05T00:00:00"/>
    <x v="2"/>
    <x v="0"/>
    <x v="224"/>
    <x v="19"/>
    <x v="0"/>
    <x v="2"/>
    <s v="Plantronics CordlessÂ Phone HeadsetÂ with In-line Volume - M214C"/>
    <n v="104.85"/>
    <n v="3"/>
    <n v="28.31"/>
  </r>
  <r>
    <d v="2016-02-05T00:00:00"/>
    <x v="2"/>
    <x v="0"/>
    <x v="224"/>
    <x v="19"/>
    <x v="0"/>
    <x v="2"/>
    <s v="Aastra 57i VoIP phone"/>
    <n v="484.83"/>
    <n v="3"/>
    <n v="126.06"/>
  </r>
  <r>
    <d v="2016-02-05T00:00:00"/>
    <x v="2"/>
    <x v="0"/>
    <x v="224"/>
    <x v="19"/>
    <x v="2"/>
    <x v="3"/>
    <s v="White Dual Perf Computer Printout Paper, 2700 Sheets, 1 Part, Heavyweight, 20 lbs., 14 7/8 x 11"/>
    <n v="122.97"/>
    <n v="3"/>
    <n v="60.26"/>
  </r>
  <r>
    <d v="2016-02-05T00:00:00"/>
    <x v="2"/>
    <x v="0"/>
    <x v="224"/>
    <x v="19"/>
    <x v="2"/>
    <x v="6"/>
    <s v="Belkin 19&quot; Vented Equipment Shelf, Black"/>
    <n v="154.44"/>
    <n v="3"/>
    <n v="1.54"/>
  </r>
  <r>
    <d v="2016-02-05T00:00:00"/>
    <x v="2"/>
    <x v="0"/>
    <x v="224"/>
    <x v="19"/>
    <x v="2"/>
    <x v="3"/>
    <s v="Xerox 1943"/>
    <n v="342.37"/>
    <n v="7"/>
    <n v="160.91"/>
  </r>
  <r>
    <d v="2016-02-05T00:00:00"/>
    <x v="2"/>
    <x v="0"/>
    <x v="504"/>
    <x v="5"/>
    <x v="2"/>
    <x v="8"/>
    <s v="Avery 508"/>
    <n v="14.73"/>
    <n v="3"/>
    <n v="7.22"/>
  </r>
  <r>
    <d v="2016-02-05T00:00:00"/>
    <x v="2"/>
    <x v="0"/>
    <x v="504"/>
    <x v="5"/>
    <x v="2"/>
    <x v="6"/>
    <s v="Fellowes Mobile File Cart, Black"/>
    <n v="186.54"/>
    <n v="3"/>
    <n v="50.37"/>
  </r>
  <r>
    <d v="2016-02-05T00:00:00"/>
    <x v="2"/>
    <x v="0"/>
    <x v="504"/>
    <x v="5"/>
    <x v="1"/>
    <x v="7"/>
    <s v="Chromcraft Round Conference Tables"/>
    <n v="557.73"/>
    <n v="4"/>
    <n v="6.97"/>
  </r>
  <r>
    <d v="2016-02-05T00:00:00"/>
    <x v="2"/>
    <x v="0"/>
    <x v="504"/>
    <x v="5"/>
    <x v="0"/>
    <x v="2"/>
    <s v="Anker Astro 15000mAh USB Portable Charger"/>
    <n v="159.97"/>
    <n v="4"/>
    <n v="-31.99"/>
  </r>
  <r>
    <d v="2016-03-05T00:00:00"/>
    <x v="2"/>
    <x v="1"/>
    <x v="573"/>
    <x v="4"/>
    <x v="2"/>
    <x v="13"/>
    <s v="Cameo Buff Policy Envelopes"/>
    <n v="149.35"/>
    <n v="3"/>
    <n v="50.41"/>
  </r>
  <r>
    <d v="2016-03-05T00:00:00"/>
    <x v="2"/>
    <x v="1"/>
    <x v="573"/>
    <x v="4"/>
    <x v="2"/>
    <x v="6"/>
    <s v="Acco Perma 4000 Stacking Storage Drawers"/>
    <n v="12.99"/>
    <n v="1"/>
    <n v="-0.81"/>
  </r>
  <r>
    <d v="2016-04-05T00:00:00"/>
    <x v="2"/>
    <x v="2"/>
    <x v="273"/>
    <x v="4"/>
    <x v="2"/>
    <x v="6"/>
    <s v="Eldon Portable Mobile Manager"/>
    <n v="158.37"/>
    <n v="7"/>
    <n v="13.86"/>
  </r>
  <r>
    <d v="2016-04-05T00:00:00"/>
    <x v="2"/>
    <x v="2"/>
    <x v="329"/>
    <x v="13"/>
    <x v="0"/>
    <x v="2"/>
    <s v="Clearsounds A400"/>
    <n v="118.78"/>
    <n v="3"/>
    <n v="-27.72"/>
  </r>
  <r>
    <d v="2016-04-05T00:00:00"/>
    <x v="2"/>
    <x v="2"/>
    <x v="329"/>
    <x v="13"/>
    <x v="2"/>
    <x v="15"/>
    <s v="Premier Automatic Letter Opener"/>
    <n v="769.18"/>
    <n v="4"/>
    <n v="-163.44999999999999"/>
  </r>
  <r>
    <d v="2016-05-05T00:00:00"/>
    <x v="2"/>
    <x v="10"/>
    <x v="22"/>
    <x v="17"/>
    <x v="2"/>
    <x v="3"/>
    <s v="Xerox 1909"/>
    <n v="79.14"/>
    <n v="3"/>
    <n v="36.4"/>
  </r>
  <r>
    <d v="2016-05-05T00:00:00"/>
    <x v="2"/>
    <x v="10"/>
    <x v="552"/>
    <x v="26"/>
    <x v="2"/>
    <x v="3"/>
    <s v="Xerox 1965"/>
    <n v="14.35"/>
    <n v="3"/>
    <n v="5.2"/>
  </r>
  <r>
    <d v="2016-05-05T00:00:00"/>
    <x v="2"/>
    <x v="10"/>
    <x v="574"/>
    <x v="5"/>
    <x v="2"/>
    <x v="6"/>
    <s v="Perma STOR-ALL Hanging File Box, 13 1/8&quot;W x 12 1/4&quot;D x 10 1/2&quot;H"/>
    <n v="5.98"/>
    <n v="1"/>
    <n v="1.02"/>
  </r>
  <r>
    <d v="2016-05-05T00:00:00"/>
    <x v="2"/>
    <x v="10"/>
    <x v="574"/>
    <x v="5"/>
    <x v="0"/>
    <x v="2"/>
    <s v="Cisco Small Business SPA 502G VoIP phone"/>
    <n v="246.17"/>
    <n v="3"/>
    <n v="21.54"/>
  </r>
  <r>
    <d v="2016-05-05T00:00:00"/>
    <x v="2"/>
    <x v="10"/>
    <x v="450"/>
    <x v="5"/>
    <x v="2"/>
    <x v="9"/>
    <s v="Computer Printout Index Tabs"/>
    <n v="6.72"/>
    <n v="5"/>
    <n v="2.35"/>
  </r>
  <r>
    <d v="2016-05-05T00:00:00"/>
    <x v="2"/>
    <x v="10"/>
    <x v="450"/>
    <x v="5"/>
    <x v="1"/>
    <x v="7"/>
    <s v="Bevis 36 x 72 Conference Tables"/>
    <n v="298.77999999999997"/>
    <n v="3"/>
    <n v="7.47"/>
  </r>
  <r>
    <d v="2016-05-05T00:00:00"/>
    <x v="2"/>
    <x v="10"/>
    <x v="546"/>
    <x v="26"/>
    <x v="1"/>
    <x v="5"/>
    <s v="Eldon Image Series Desk Accessories, Burgundy"/>
    <n v="16.72"/>
    <n v="5"/>
    <n v="3.34"/>
  </r>
  <r>
    <d v="2016-05-05T00:00:00"/>
    <x v="2"/>
    <x v="10"/>
    <x v="361"/>
    <x v="5"/>
    <x v="1"/>
    <x v="7"/>
    <s v="Hon 61000 Series Interactive Training Tables"/>
    <n v="71.09"/>
    <n v="2"/>
    <n v="-1.78"/>
  </r>
  <r>
    <d v="2016-05-05T00:00:00"/>
    <x v="2"/>
    <x v="10"/>
    <x v="575"/>
    <x v="14"/>
    <x v="1"/>
    <x v="7"/>
    <s v="Global Adaptabilities Conference Tables"/>
    <n v="1685.88"/>
    <n v="6"/>
    <n v="320.32"/>
  </r>
  <r>
    <d v="2016-05-05T00:00:00"/>
    <x v="2"/>
    <x v="10"/>
    <x v="575"/>
    <x v="14"/>
    <x v="2"/>
    <x v="9"/>
    <s v="Avery Poly Binder Pockets"/>
    <n v="5.73"/>
    <n v="2"/>
    <n v="2"/>
  </r>
  <r>
    <d v="2016-05-05T00:00:00"/>
    <x v="2"/>
    <x v="10"/>
    <x v="195"/>
    <x v="11"/>
    <x v="2"/>
    <x v="3"/>
    <s v="Snap-A-Way Black Print Carbonless Speed Message, No Reply Area, Duplicate"/>
    <n v="93.25"/>
    <n v="4"/>
    <n v="31.47"/>
  </r>
  <r>
    <d v="2016-05-05T00:00:00"/>
    <x v="2"/>
    <x v="10"/>
    <x v="195"/>
    <x v="11"/>
    <x v="0"/>
    <x v="2"/>
    <s v="Avaya 4621SW VoIP phone"/>
    <n v="177.48"/>
    <n v="3"/>
    <n v="19.97"/>
  </r>
  <r>
    <d v="2016-06-05T00:00:00"/>
    <x v="2"/>
    <x v="3"/>
    <x v="76"/>
    <x v="13"/>
    <x v="2"/>
    <x v="6"/>
    <s v="Eldon Base for stackable storage shelf, platinum"/>
    <n v="124.61"/>
    <n v="4"/>
    <n v="-23.36"/>
  </r>
  <r>
    <d v="2016-06-05T00:00:00"/>
    <x v="2"/>
    <x v="3"/>
    <x v="76"/>
    <x v="13"/>
    <x v="2"/>
    <x v="8"/>
    <s v="Avery 502"/>
    <n v="7.56"/>
    <n v="3"/>
    <n v="2.65"/>
  </r>
  <r>
    <d v="2016-06-05T00:00:00"/>
    <x v="2"/>
    <x v="3"/>
    <x v="576"/>
    <x v="37"/>
    <x v="2"/>
    <x v="6"/>
    <s v="Standard Rollaway File with Lock"/>
    <n v="360.38"/>
    <n v="2"/>
    <n v="93.7"/>
  </r>
  <r>
    <d v="2016-06-05T00:00:00"/>
    <x v="2"/>
    <x v="3"/>
    <x v="576"/>
    <x v="37"/>
    <x v="2"/>
    <x v="11"/>
    <s v="Newell 314"/>
    <n v="11.16"/>
    <n v="2"/>
    <n v="2.79"/>
  </r>
  <r>
    <d v="2016-06-05T00:00:00"/>
    <x v="2"/>
    <x v="3"/>
    <x v="576"/>
    <x v="37"/>
    <x v="2"/>
    <x v="8"/>
    <s v="Avery White Multi-Purpose Labels"/>
    <n v="14.94"/>
    <n v="3"/>
    <n v="6.87"/>
  </r>
  <r>
    <d v="2016-06-05T00:00:00"/>
    <x v="2"/>
    <x v="3"/>
    <x v="268"/>
    <x v="5"/>
    <x v="2"/>
    <x v="9"/>
    <s v="Avery Non-Stick Binders"/>
    <n v="21.55"/>
    <n v="6"/>
    <n v="7"/>
  </r>
  <r>
    <d v="2016-06-05T00:00:00"/>
    <x v="2"/>
    <x v="3"/>
    <x v="268"/>
    <x v="5"/>
    <x v="2"/>
    <x v="10"/>
    <s v="Acco 6 Outlet Guardian Premium Surge Suppressor"/>
    <n v="58.24"/>
    <n v="4"/>
    <n v="15.72"/>
  </r>
  <r>
    <d v="2016-06-05T00:00:00"/>
    <x v="2"/>
    <x v="3"/>
    <x v="475"/>
    <x v="1"/>
    <x v="2"/>
    <x v="15"/>
    <s v="Acme Box Cutter Scissors"/>
    <n v="61.38"/>
    <n v="6"/>
    <n v="15.96"/>
  </r>
  <r>
    <d v="2016-08-05T00:00:00"/>
    <x v="2"/>
    <x v="5"/>
    <x v="568"/>
    <x v="34"/>
    <x v="2"/>
    <x v="11"/>
    <s v="Boston Model 1800 Electric Pencil Sharpener, Gray"/>
    <n v="197.05"/>
    <n v="7"/>
    <n v="59.12"/>
  </r>
  <r>
    <d v="2016-09-05T00:00:00"/>
    <x v="2"/>
    <x v="6"/>
    <x v="513"/>
    <x v="13"/>
    <x v="1"/>
    <x v="5"/>
    <s v="Howard Miller 13-3/4&quot; Diameter Brushed Chrome Round Wall Clock"/>
    <n v="82.8"/>
    <n v="2"/>
    <n v="10.35"/>
  </r>
  <r>
    <d v="2016-09-05T00:00:00"/>
    <x v="2"/>
    <x v="6"/>
    <x v="291"/>
    <x v="10"/>
    <x v="1"/>
    <x v="5"/>
    <s v="Aluminum Document Frame"/>
    <n v="12.22"/>
    <n v="1"/>
    <n v="3.67"/>
  </r>
  <r>
    <d v="2016-09-05T00:00:00"/>
    <x v="2"/>
    <x v="6"/>
    <x v="291"/>
    <x v="10"/>
    <x v="2"/>
    <x v="6"/>
    <s v="Fellowes Bankers Box Staxonsteel Drawer File/Stacking System"/>
    <n v="194.94"/>
    <n v="3"/>
    <n v="23.39"/>
  </r>
  <r>
    <d v="2016-09-05T00:00:00"/>
    <x v="2"/>
    <x v="6"/>
    <x v="291"/>
    <x v="10"/>
    <x v="2"/>
    <x v="6"/>
    <s v="Eldon Mobile Mega Data Cart  Mega Stackable  Add-On Trays"/>
    <n v="70.95"/>
    <n v="3"/>
    <n v="20.58"/>
  </r>
  <r>
    <d v="2016-09-05T00:00:00"/>
    <x v="2"/>
    <x v="6"/>
    <x v="291"/>
    <x v="10"/>
    <x v="2"/>
    <x v="3"/>
    <s v="Xerox Color Copier Paper, 11&quot; x 17&quot;, Ream"/>
    <n v="91.36"/>
    <n v="4"/>
    <n v="42.03"/>
  </r>
  <r>
    <d v="2016-09-05T00:00:00"/>
    <x v="2"/>
    <x v="6"/>
    <x v="291"/>
    <x v="10"/>
    <x v="1"/>
    <x v="1"/>
    <s v="Office Star - Ergonomically Designed Knee Chair"/>
    <n v="242.94"/>
    <n v="3"/>
    <n v="29.15"/>
  </r>
  <r>
    <d v="2016-09-05T00:00:00"/>
    <x v="2"/>
    <x v="6"/>
    <x v="291"/>
    <x v="10"/>
    <x v="2"/>
    <x v="8"/>
    <s v="Avery 520"/>
    <n v="22.05"/>
    <n v="7"/>
    <n v="10.58"/>
  </r>
  <r>
    <d v="2016-09-05T00:00:00"/>
    <x v="2"/>
    <x v="6"/>
    <x v="31"/>
    <x v="43"/>
    <x v="0"/>
    <x v="2"/>
    <s v="Geemarc AmpliPOWER60"/>
    <n v="278.39999999999998"/>
    <n v="3"/>
    <n v="80.739999999999995"/>
  </r>
  <r>
    <d v="2016-09-05T00:00:00"/>
    <x v="2"/>
    <x v="6"/>
    <x v="348"/>
    <x v="39"/>
    <x v="2"/>
    <x v="11"/>
    <s v="Panasonic KP-380BK Classic Electric Pencil Sharpener"/>
    <n v="107.94"/>
    <n v="3"/>
    <n v="26.99"/>
  </r>
  <r>
    <d v="2016-09-05T00:00:00"/>
    <x v="2"/>
    <x v="6"/>
    <x v="447"/>
    <x v="4"/>
    <x v="1"/>
    <x v="1"/>
    <s v="Situations Contoured Folding Chairs, 4/Set"/>
    <n v="347.8"/>
    <n v="7"/>
    <n v="-24.84"/>
  </r>
  <r>
    <d v="2016-09-05T00:00:00"/>
    <x v="2"/>
    <x v="6"/>
    <x v="113"/>
    <x v="5"/>
    <x v="0"/>
    <x v="0"/>
    <s v="HP Standard 104 key PS/2 Keyboard"/>
    <n v="116"/>
    <n v="8"/>
    <n v="29"/>
  </r>
  <r>
    <d v="2016-09-05T00:00:00"/>
    <x v="2"/>
    <x v="6"/>
    <x v="577"/>
    <x v="13"/>
    <x v="2"/>
    <x v="9"/>
    <s v="C-Line Peel &amp; Stick Add-On Filing Pockets, 8-3/4 x 5-1/8, 10/Pack"/>
    <n v="9.56"/>
    <n v="5"/>
    <n v="-7.33"/>
  </r>
  <r>
    <d v="2016-09-05T00:00:00"/>
    <x v="2"/>
    <x v="6"/>
    <x v="450"/>
    <x v="26"/>
    <x v="2"/>
    <x v="13"/>
    <s v="Staple envelope"/>
    <n v="23.47"/>
    <n v="3"/>
    <n v="7.63"/>
  </r>
  <r>
    <d v="2016-09-05T00:00:00"/>
    <x v="2"/>
    <x v="6"/>
    <x v="450"/>
    <x v="26"/>
    <x v="2"/>
    <x v="9"/>
    <s v="Wilson Jones Ledger-Size, Piano-Hinge Binder, 2&quot;, Blue"/>
    <n v="86.06"/>
    <n v="7"/>
    <n v="-63.11"/>
  </r>
  <r>
    <d v="2016-09-05T00:00:00"/>
    <x v="2"/>
    <x v="6"/>
    <x v="450"/>
    <x v="26"/>
    <x v="0"/>
    <x v="2"/>
    <s v="Nortel Networks T7316 E Nt8 B27"/>
    <n v="108.78"/>
    <n v="2"/>
    <n v="6.8"/>
  </r>
  <r>
    <d v="2016-09-05T00:00:00"/>
    <x v="2"/>
    <x v="6"/>
    <x v="450"/>
    <x v="26"/>
    <x v="2"/>
    <x v="3"/>
    <s v="Xerox 1971"/>
    <n v="10.27"/>
    <n v="3"/>
    <n v="3.21"/>
  </r>
  <r>
    <d v="2016-09-05T00:00:00"/>
    <x v="2"/>
    <x v="6"/>
    <x v="83"/>
    <x v="4"/>
    <x v="2"/>
    <x v="10"/>
    <s v="Eureka The Boss Plus 12-Amp Hard Box Upright Vacuum, Red"/>
    <n v="62.79"/>
    <n v="3"/>
    <n v="-166.39"/>
  </r>
  <r>
    <d v="2016-09-05T00:00:00"/>
    <x v="2"/>
    <x v="6"/>
    <x v="83"/>
    <x v="4"/>
    <x v="2"/>
    <x v="4"/>
    <s v="Advantus Map Pennant Flags and Round Head Tacks"/>
    <n v="28.44"/>
    <n v="9"/>
    <n v="4.2699999999999996"/>
  </r>
  <r>
    <d v="2016-09-05T00:00:00"/>
    <x v="2"/>
    <x v="6"/>
    <x v="243"/>
    <x v="5"/>
    <x v="2"/>
    <x v="3"/>
    <s v="14-7/8 x 11 Blue Bar Computer Printout Paper"/>
    <n v="96.08"/>
    <n v="2"/>
    <n v="46.12"/>
  </r>
  <r>
    <d v="2016-09-05T00:00:00"/>
    <x v="2"/>
    <x v="6"/>
    <x v="243"/>
    <x v="5"/>
    <x v="2"/>
    <x v="9"/>
    <s v="Angle-D Binders with Locking Rings, Label Holders"/>
    <n v="11.68"/>
    <n v="2"/>
    <n v="3.94"/>
  </r>
  <r>
    <d v="2016-09-05T00:00:00"/>
    <x v="2"/>
    <x v="6"/>
    <x v="243"/>
    <x v="5"/>
    <x v="2"/>
    <x v="4"/>
    <s v="Advantus Push Pins"/>
    <n v="4.3600000000000003"/>
    <n v="2"/>
    <n v="1.79"/>
  </r>
  <r>
    <d v="2016-09-05T00:00:00"/>
    <x v="2"/>
    <x v="6"/>
    <x v="137"/>
    <x v="4"/>
    <x v="2"/>
    <x v="3"/>
    <s v="Xerox 202"/>
    <n v="25.92"/>
    <n v="5"/>
    <n v="9.07"/>
  </r>
  <r>
    <d v="2016-09-05T00:00:00"/>
    <x v="2"/>
    <x v="6"/>
    <x v="137"/>
    <x v="4"/>
    <x v="2"/>
    <x v="4"/>
    <s v="Staples"/>
    <n v="15.81"/>
    <n v="8"/>
    <n v="5.34"/>
  </r>
  <r>
    <d v="2016-09-05T00:00:00"/>
    <x v="2"/>
    <x v="6"/>
    <x v="137"/>
    <x v="4"/>
    <x v="2"/>
    <x v="3"/>
    <s v="Xerox 1930"/>
    <n v="10.37"/>
    <n v="2"/>
    <n v="3.76"/>
  </r>
  <r>
    <d v="2016-09-05T00:00:00"/>
    <x v="2"/>
    <x v="6"/>
    <x v="578"/>
    <x v="2"/>
    <x v="2"/>
    <x v="3"/>
    <s v="Xerox 1885"/>
    <n v="192.16"/>
    <n v="4"/>
    <n v="92.24"/>
  </r>
  <r>
    <d v="2016-09-05T00:00:00"/>
    <x v="2"/>
    <x v="6"/>
    <x v="308"/>
    <x v="4"/>
    <x v="2"/>
    <x v="6"/>
    <s v="Eldon Base for stackable storage shelf, platinum"/>
    <n v="93.46"/>
    <n v="3"/>
    <n v="-17.52"/>
  </r>
  <r>
    <d v="2016-09-05T00:00:00"/>
    <x v="2"/>
    <x v="6"/>
    <x v="476"/>
    <x v="20"/>
    <x v="2"/>
    <x v="8"/>
    <s v="Avery 50"/>
    <n v="25.06"/>
    <n v="2"/>
    <n v="11.78"/>
  </r>
  <r>
    <d v="2016-09-05T00:00:00"/>
    <x v="2"/>
    <x v="6"/>
    <x v="476"/>
    <x v="20"/>
    <x v="1"/>
    <x v="7"/>
    <s v="Chromcraft Bull-Nose Wood 48&quot; x 96&quot; Rectangular Conference Tables"/>
    <n v="1652.94"/>
    <n v="3"/>
    <n v="314.06"/>
  </r>
  <r>
    <d v="2016-09-05T00:00:00"/>
    <x v="2"/>
    <x v="6"/>
    <x v="411"/>
    <x v="3"/>
    <x v="2"/>
    <x v="3"/>
    <s v="Xerox 196"/>
    <n v="9.25"/>
    <n v="2"/>
    <n v="3.35"/>
  </r>
  <r>
    <d v="2016-09-05T00:00:00"/>
    <x v="2"/>
    <x v="6"/>
    <x v="148"/>
    <x v="18"/>
    <x v="2"/>
    <x v="9"/>
    <s v="Recycled Easel Ring Binders"/>
    <n v="8.9499999999999993"/>
    <n v="2"/>
    <n v="-7.46"/>
  </r>
  <r>
    <d v="2016-09-05T00:00:00"/>
    <x v="2"/>
    <x v="6"/>
    <x v="148"/>
    <x v="18"/>
    <x v="2"/>
    <x v="9"/>
    <s v="Pressboard Hanging Data Binders for Unburst Sheets"/>
    <n v="8.86"/>
    <n v="6"/>
    <n v="-6.49"/>
  </r>
  <r>
    <d v="2016-09-05T00:00:00"/>
    <x v="2"/>
    <x v="6"/>
    <x v="148"/>
    <x v="18"/>
    <x v="1"/>
    <x v="1"/>
    <s v="Global Push Button Manager's Chair, Indigo"/>
    <n v="85.25"/>
    <n v="2"/>
    <n v="-1.22"/>
  </r>
  <r>
    <d v="2016-09-05T00:00:00"/>
    <x v="2"/>
    <x v="6"/>
    <x v="68"/>
    <x v="4"/>
    <x v="1"/>
    <x v="5"/>
    <s v="Executive Impressions 12&quot; Wall Clock"/>
    <n v="21.2"/>
    <n v="3"/>
    <n v="-11.66"/>
  </r>
  <r>
    <d v="2016-09-05T00:00:00"/>
    <x v="2"/>
    <x v="6"/>
    <x v="579"/>
    <x v="13"/>
    <x v="1"/>
    <x v="5"/>
    <s v="6&quot; Cubicle Wall Clock, Black"/>
    <n v="58.25"/>
    <n v="9"/>
    <n v="11.65"/>
  </r>
  <r>
    <d v="2016-09-05T00:00:00"/>
    <x v="2"/>
    <x v="6"/>
    <x v="579"/>
    <x v="13"/>
    <x v="1"/>
    <x v="1"/>
    <s v="Global Task Chair, Black"/>
    <n v="71.25"/>
    <n v="2"/>
    <n v="-19.34"/>
  </r>
  <r>
    <d v="2016-09-05T00:00:00"/>
    <x v="2"/>
    <x v="6"/>
    <x v="579"/>
    <x v="13"/>
    <x v="2"/>
    <x v="11"/>
    <s v="Newell 329"/>
    <n v="7.87"/>
    <n v="3"/>
    <n v="0.59"/>
  </r>
  <r>
    <d v="2016-09-05T00:00:00"/>
    <x v="2"/>
    <x v="6"/>
    <x v="579"/>
    <x v="13"/>
    <x v="1"/>
    <x v="1"/>
    <s v="Global Comet Stacking Arm Chair"/>
    <n v="887.27"/>
    <n v="3"/>
    <n v="-63.38"/>
  </r>
  <r>
    <d v="2016-09-05T00:00:00"/>
    <x v="2"/>
    <x v="6"/>
    <x v="580"/>
    <x v="2"/>
    <x v="0"/>
    <x v="2"/>
    <s v="LF Elite 3D Dazzle Designer Hard Case Cover, Lf Stylus Pen and Wiper For Apple Iphone 5c Mini Lite"/>
    <n v="43.6"/>
    <n v="4"/>
    <n v="12.21"/>
  </r>
  <r>
    <d v="2016-11-05T00:00:00"/>
    <x v="2"/>
    <x v="8"/>
    <x v="351"/>
    <x v="5"/>
    <x v="2"/>
    <x v="9"/>
    <s v="Cardinal Holdit Data Disk Pockets"/>
    <n v="29.12"/>
    <n v="5"/>
    <n v="9.83"/>
  </r>
  <r>
    <d v="2016-11-05T00:00:00"/>
    <x v="2"/>
    <x v="8"/>
    <x v="567"/>
    <x v="13"/>
    <x v="0"/>
    <x v="2"/>
    <s v="Anker Astro Mini 3000mAh Ultra-Compact Portable Charger"/>
    <n v="23.99"/>
    <n v="2"/>
    <n v="-15.99"/>
  </r>
  <r>
    <d v="2016-11-05T00:00:00"/>
    <x v="2"/>
    <x v="8"/>
    <x v="170"/>
    <x v="4"/>
    <x v="1"/>
    <x v="7"/>
    <s v="Laminate Occasional Tables"/>
    <n v="863.13"/>
    <n v="8"/>
    <n v="-160.30000000000001"/>
  </r>
  <r>
    <d v="2016-11-05T00:00:00"/>
    <x v="2"/>
    <x v="8"/>
    <x v="170"/>
    <x v="4"/>
    <x v="2"/>
    <x v="9"/>
    <s v="Storex Dura Pro Binders"/>
    <n v="3.56"/>
    <n v="3"/>
    <n v="-6.24"/>
  </r>
  <r>
    <d v="2016-11-05T00:00:00"/>
    <x v="2"/>
    <x v="8"/>
    <x v="170"/>
    <x v="4"/>
    <x v="1"/>
    <x v="16"/>
    <s v="O'Sullivan Plantations 2-Door Library in Landvery Oak"/>
    <n v="956.66"/>
    <n v="7"/>
    <n v="-225.1"/>
  </r>
  <r>
    <d v="2016-11-05T00:00:00"/>
    <x v="2"/>
    <x v="8"/>
    <x v="170"/>
    <x v="4"/>
    <x v="2"/>
    <x v="9"/>
    <s v="Premium Transparent Presentation Covers by GBC"/>
    <n v="12.59"/>
    <n v="3"/>
    <n v="-20.14"/>
  </r>
  <r>
    <d v="2016-11-05T00:00:00"/>
    <x v="2"/>
    <x v="8"/>
    <x v="170"/>
    <x v="4"/>
    <x v="0"/>
    <x v="0"/>
    <s v="Logitech Wireless Headset H600 Over-The-Head Design"/>
    <n v="171.96"/>
    <n v="5"/>
    <n v="45.14"/>
  </r>
  <r>
    <d v="2016-11-05T00:00:00"/>
    <x v="2"/>
    <x v="8"/>
    <x v="581"/>
    <x v="33"/>
    <x v="2"/>
    <x v="9"/>
    <s v="Premium Transparent Presentation Covers by GBC"/>
    <n v="104.9"/>
    <n v="5"/>
    <n v="50.35"/>
  </r>
  <r>
    <d v="2016-11-05T00:00:00"/>
    <x v="2"/>
    <x v="8"/>
    <x v="581"/>
    <x v="33"/>
    <x v="2"/>
    <x v="11"/>
    <s v="Prismacolor Color Pencil Set"/>
    <n v="39.68"/>
    <n v="2"/>
    <n v="16.27"/>
  </r>
  <r>
    <d v="2016-11-05T00:00:00"/>
    <x v="2"/>
    <x v="8"/>
    <x v="581"/>
    <x v="33"/>
    <x v="2"/>
    <x v="8"/>
    <s v="Avery 503"/>
    <n v="51.75"/>
    <n v="5"/>
    <n v="24.84"/>
  </r>
  <r>
    <d v="2016-11-05T00:00:00"/>
    <x v="2"/>
    <x v="8"/>
    <x v="243"/>
    <x v="5"/>
    <x v="2"/>
    <x v="9"/>
    <s v="GBC Twin Loop Wire Binding Elements"/>
    <n v="53.25"/>
    <n v="2"/>
    <n v="19.97"/>
  </r>
  <r>
    <d v="2016-11-05T00:00:00"/>
    <x v="2"/>
    <x v="8"/>
    <x v="501"/>
    <x v="4"/>
    <x v="2"/>
    <x v="8"/>
    <s v="Avery 490"/>
    <n v="11.84"/>
    <n v="1"/>
    <n v="4.4400000000000004"/>
  </r>
  <r>
    <d v="2016-11-05T00:00:00"/>
    <x v="2"/>
    <x v="8"/>
    <x v="142"/>
    <x v="1"/>
    <x v="0"/>
    <x v="0"/>
    <s v="Cherry 142-key Programmable Keyboard"/>
    <n v="479.72"/>
    <n v="4"/>
    <n v="52.77"/>
  </r>
  <r>
    <d v="2016-11-05T00:00:00"/>
    <x v="2"/>
    <x v="8"/>
    <x v="316"/>
    <x v="5"/>
    <x v="0"/>
    <x v="0"/>
    <s v="KeyTronicÂ E03601U1 -Â KeyboardÂ - Beige"/>
    <n v="72"/>
    <n v="4"/>
    <n v="12.96"/>
  </r>
  <r>
    <d v="2016-11-05T00:00:00"/>
    <x v="2"/>
    <x v="8"/>
    <x v="316"/>
    <x v="5"/>
    <x v="1"/>
    <x v="1"/>
    <s v="Harbour Creations 67200 Series Stacking Chairs"/>
    <n v="113.89"/>
    <n v="2"/>
    <n v="9.9700000000000006"/>
  </r>
  <r>
    <d v="2016-11-05T00:00:00"/>
    <x v="2"/>
    <x v="8"/>
    <x v="316"/>
    <x v="5"/>
    <x v="2"/>
    <x v="13"/>
    <s v="Strathmore #10 Envelopes, Ultimate White"/>
    <n v="158.13"/>
    <n v="3"/>
    <n v="77.48"/>
  </r>
  <r>
    <d v="2016-11-05T00:00:00"/>
    <x v="2"/>
    <x v="8"/>
    <x v="285"/>
    <x v="20"/>
    <x v="1"/>
    <x v="5"/>
    <s v="3M Polarizing Task Lamp with Clamp Arm, Light Gray"/>
    <n v="273.95999999999998"/>
    <n v="2"/>
    <n v="71.23"/>
  </r>
  <r>
    <d v="2016-11-05T00:00:00"/>
    <x v="2"/>
    <x v="8"/>
    <x v="285"/>
    <x v="20"/>
    <x v="0"/>
    <x v="0"/>
    <s v="Microsoft Natural Ergonomic Keyboard 4000"/>
    <n v="89.97"/>
    <n v="3"/>
    <n v="18.89"/>
  </r>
  <r>
    <d v="2016-11-05T00:00:00"/>
    <x v="2"/>
    <x v="8"/>
    <x v="285"/>
    <x v="20"/>
    <x v="1"/>
    <x v="5"/>
    <s v="Tenex Chairmat w/ Average Lip, 45&quot; x 53&quot;"/>
    <n v="756.8"/>
    <n v="5"/>
    <n v="75.680000000000007"/>
  </r>
  <r>
    <d v="2016-12-05T00:00:00"/>
    <x v="2"/>
    <x v="9"/>
    <x v="381"/>
    <x v="1"/>
    <x v="2"/>
    <x v="9"/>
    <s v="Fellowes PB200 Plastic Comb Binding Machine"/>
    <n v="407.98"/>
    <n v="3"/>
    <n v="132.59"/>
  </r>
  <r>
    <d v="2016-12-05T00:00:00"/>
    <x v="2"/>
    <x v="9"/>
    <x v="582"/>
    <x v="0"/>
    <x v="0"/>
    <x v="2"/>
    <s v="Plantronics CordlessÂ Phone HeadsetÂ with In-line Volume - M214C"/>
    <n v="384.45"/>
    <n v="11"/>
    <n v="103.8"/>
  </r>
  <r>
    <d v="2016-12-05T00:00:00"/>
    <x v="2"/>
    <x v="9"/>
    <x v="582"/>
    <x v="0"/>
    <x v="0"/>
    <x v="2"/>
    <s v="Anker Astro 15000mAh USB Portable Charger"/>
    <n v="149.97"/>
    <n v="3"/>
    <n v="6"/>
  </r>
  <r>
    <d v="2016-12-05T00:00:00"/>
    <x v="2"/>
    <x v="9"/>
    <x v="582"/>
    <x v="0"/>
    <x v="1"/>
    <x v="1"/>
    <s v="Hon Deluxe Fabric Upholstered Stacking Chairs, Rounded Back"/>
    <n v="1951.84"/>
    <n v="8"/>
    <n v="585.54999999999995"/>
  </r>
  <r>
    <d v="2016-12-05T00:00:00"/>
    <x v="2"/>
    <x v="9"/>
    <x v="582"/>
    <x v="0"/>
    <x v="2"/>
    <x v="9"/>
    <s v="GBC Prestige Therm-A-Bind Covers"/>
    <n v="171.55"/>
    <n v="5"/>
    <n v="80.63"/>
  </r>
  <r>
    <d v="2016-12-05T00:00:00"/>
    <x v="2"/>
    <x v="9"/>
    <x v="505"/>
    <x v="17"/>
    <x v="1"/>
    <x v="5"/>
    <s v="Howard Miller 16&quot; Diameter Gallery Wall Clock"/>
    <n v="191.82"/>
    <n v="3"/>
    <n v="74.81"/>
  </r>
  <r>
    <d v="2016-12-05T00:00:00"/>
    <x v="2"/>
    <x v="9"/>
    <x v="505"/>
    <x v="2"/>
    <x v="2"/>
    <x v="6"/>
    <s v="Dual Level, Single-Width Filing Carts"/>
    <n v="465.18"/>
    <n v="3"/>
    <n v="120.95"/>
  </r>
  <r>
    <d v="2016-12-05T00:00:00"/>
    <x v="2"/>
    <x v="9"/>
    <x v="583"/>
    <x v="6"/>
    <x v="1"/>
    <x v="16"/>
    <s v="O'Sullivan 5-Shelf Heavy-Duty Bookcases"/>
    <n v="81.94"/>
    <n v="1"/>
    <n v="20.49"/>
  </r>
  <r>
    <d v="2016-12-05T00:00:00"/>
    <x v="2"/>
    <x v="9"/>
    <x v="584"/>
    <x v="44"/>
    <x v="2"/>
    <x v="11"/>
    <s v="BIC Brite Liner Grip Highlighters, Assorted, 5/Pack"/>
    <n v="33.92"/>
    <n v="8"/>
    <n v="13.23"/>
  </r>
  <r>
    <d v="2016-12-05T00:00:00"/>
    <x v="2"/>
    <x v="9"/>
    <x v="585"/>
    <x v="17"/>
    <x v="0"/>
    <x v="2"/>
    <s v="Samsung Galaxy S III - 16GB - pebble blue (T-Mobile)"/>
    <n v="699.98"/>
    <n v="2"/>
    <n v="195.99"/>
  </r>
  <r>
    <d v="2016-12-05T00:00:00"/>
    <x v="2"/>
    <x v="9"/>
    <x v="585"/>
    <x v="17"/>
    <x v="2"/>
    <x v="6"/>
    <s v="Fellowes Bankers Box Staxonsteel Drawer File/Stacking System"/>
    <n v="584.82000000000005"/>
    <n v="9"/>
    <n v="70.180000000000007"/>
  </r>
  <r>
    <d v="2016-12-05T00:00:00"/>
    <x v="2"/>
    <x v="9"/>
    <x v="559"/>
    <x v="3"/>
    <x v="2"/>
    <x v="8"/>
    <s v="Avery 483"/>
    <n v="11.95"/>
    <n v="3"/>
    <n v="3.88"/>
  </r>
  <r>
    <d v="2016-12-05T00:00:00"/>
    <x v="2"/>
    <x v="9"/>
    <x v="427"/>
    <x v="3"/>
    <x v="2"/>
    <x v="11"/>
    <s v="Newell 311"/>
    <n v="3.54"/>
    <n v="2"/>
    <n v="0.31"/>
  </r>
  <r>
    <d v="2016-12-05T00:00:00"/>
    <x v="2"/>
    <x v="9"/>
    <x v="586"/>
    <x v="37"/>
    <x v="1"/>
    <x v="5"/>
    <s v="Electrix 20W Halogen Replacement Bulb for Zoom-In Desk Lamp"/>
    <n v="13.4"/>
    <n v="1"/>
    <n v="6.43"/>
  </r>
  <r>
    <d v="2016-12-05T00:00:00"/>
    <x v="2"/>
    <x v="9"/>
    <x v="586"/>
    <x v="37"/>
    <x v="2"/>
    <x v="3"/>
    <s v="Easy-staple paper"/>
    <n v="4.9800000000000004"/>
    <n v="1"/>
    <n v="2.34"/>
  </r>
  <r>
    <d v="2016-12-05T00:00:00"/>
    <x v="2"/>
    <x v="9"/>
    <x v="586"/>
    <x v="37"/>
    <x v="2"/>
    <x v="13"/>
    <s v="#10 White Business Envelopes,4 1/8 x 9 1/2"/>
    <n v="109.69"/>
    <n v="7"/>
    <n v="51.55"/>
  </r>
  <r>
    <d v="2016-02-06T00:00:00"/>
    <x v="2"/>
    <x v="0"/>
    <x v="439"/>
    <x v="26"/>
    <x v="1"/>
    <x v="5"/>
    <s v="Deflect-o EconoMat Studded, No Bevel Mat for Low Pile Carpeting"/>
    <n v="132.22"/>
    <n v="4"/>
    <n v="-18.18"/>
  </r>
  <r>
    <d v="2016-03-06T00:00:00"/>
    <x v="2"/>
    <x v="1"/>
    <x v="365"/>
    <x v="13"/>
    <x v="0"/>
    <x v="2"/>
    <s v="Wilson SignalBoost 841262 DB PRO Amplifier Kit"/>
    <n v="431.94"/>
    <n v="2"/>
    <n v="-71.989999999999995"/>
  </r>
  <r>
    <d v="2016-03-06T00:00:00"/>
    <x v="2"/>
    <x v="1"/>
    <x v="365"/>
    <x v="13"/>
    <x v="2"/>
    <x v="9"/>
    <s v="Avery Self-Adhesive Photo Pockets for Polaroid Photos"/>
    <n v="2.04"/>
    <n v="1"/>
    <n v="-1.5"/>
  </r>
  <r>
    <d v="2016-03-06T00:00:00"/>
    <x v="2"/>
    <x v="1"/>
    <x v="365"/>
    <x v="13"/>
    <x v="0"/>
    <x v="2"/>
    <s v="Grandstream GXP1160 VoIP phone"/>
    <n v="68.239999999999995"/>
    <n v="3"/>
    <n v="-12.51"/>
  </r>
  <r>
    <d v="2016-03-06T00:00:00"/>
    <x v="2"/>
    <x v="1"/>
    <x v="366"/>
    <x v="3"/>
    <x v="2"/>
    <x v="10"/>
    <s v="Commercial WindTunnel Clean Air Upright Vacuum, Replacement Belts, Filtration Bags"/>
    <n v="2.33"/>
    <n v="3"/>
    <n v="-6.3"/>
  </r>
  <r>
    <d v="2016-03-06T00:00:00"/>
    <x v="2"/>
    <x v="1"/>
    <x v="366"/>
    <x v="3"/>
    <x v="2"/>
    <x v="9"/>
    <s v="Peel &amp; Stick Add-On Corner Pockets"/>
    <n v="1.73"/>
    <n v="4"/>
    <n v="-2.76"/>
  </r>
  <r>
    <d v="2016-03-06T00:00:00"/>
    <x v="2"/>
    <x v="1"/>
    <x v="366"/>
    <x v="3"/>
    <x v="1"/>
    <x v="5"/>
    <s v="Eldon Cleatmat Plus Chair Mats for High Pile Carpets"/>
    <n v="159.04"/>
    <n v="5"/>
    <n v="-194.82"/>
  </r>
  <r>
    <d v="2016-03-06T00:00:00"/>
    <x v="2"/>
    <x v="1"/>
    <x v="366"/>
    <x v="3"/>
    <x v="1"/>
    <x v="7"/>
    <s v="Bevis Rectangular Conference Tables"/>
    <n v="145.97999999999999"/>
    <n v="2"/>
    <n v="-99.27"/>
  </r>
  <r>
    <d v="2016-04-06T00:00:00"/>
    <x v="2"/>
    <x v="2"/>
    <x v="188"/>
    <x v="42"/>
    <x v="0"/>
    <x v="2"/>
    <s v="Nortel Meridian M5316 Digital phone"/>
    <n v="1294.75"/>
    <n v="5"/>
    <n v="336.64"/>
  </r>
  <r>
    <d v="2016-05-06T00:00:00"/>
    <x v="2"/>
    <x v="10"/>
    <x v="348"/>
    <x v="18"/>
    <x v="2"/>
    <x v="4"/>
    <s v="Advantus T-Pin Paper Clips"/>
    <n v="7.22"/>
    <n v="2"/>
    <n v="1.71"/>
  </r>
  <r>
    <d v="2016-05-06T00:00:00"/>
    <x v="2"/>
    <x v="10"/>
    <x v="348"/>
    <x v="18"/>
    <x v="2"/>
    <x v="3"/>
    <s v="Xerox 1951"/>
    <n v="49.57"/>
    <n v="2"/>
    <n v="15.49"/>
  </r>
  <r>
    <d v="2016-05-06T00:00:00"/>
    <x v="2"/>
    <x v="10"/>
    <x v="348"/>
    <x v="18"/>
    <x v="1"/>
    <x v="5"/>
    <s v="DAX Solid Wood Frames"/>
    <n v="54.71"/>
    <n v="7"/>
    <n v="11.63"/>
  </r>
  <r>
    <d v="2016-05-06T00:00:00"/>
    <x v="2"/>
    <x v="10"/>
    <x v="426"/>
    <x v="3"/>
    <x v="2"/>
    <x v="9"/>
    <s v="Insertable Tab Post Binder Dividers"/>
    <n v="3.21"/>
    <n v="2"/>
    <n v="-5.29"/>
  </r>
  <r>
    <d v="2016-05-06T00:00:00"/>
    <x v="2"/>
    <x v="10"/>
    <x v="426"/>
    <x v="3"/>
    <x v="0"/>
    <x v="0"/>
    <s v="Logitech Desktop MK120 Mouse and keyboard Combo"/>
    <n v="26.18"/>
    <n v="2"/>
    <n v="-3.27"/>
  </r>
  <r>
    <d v="2016-05-06T00:00:00"/>
    <x v="2"/>
    <x v="10"/>
    <x v="348"/>
    <x v="22"/>
    <x v="2"/>
    <x v="10"/>
    <s v="Belkin 5 Outlet SurgeMaster Power Centers"/>
    <n v="54.48"/>
    <n v="1"/>
    <n v="15.25"/>
  </r>
  <r>
    <d v="2016-05-06T00:00:00"/>
    <x v="2"/>
    <x v="10"/>
    <x v="244"/>
    <x v="5"/>
    <x v="1"/>
    <x v="5"/>
    <s v="Executive Impressions 8-1/2&quot; Career Panel/Partition Cubicle Clock"/>
    <n v="41.6"/>
    <n v="4"/>
    <n v="14.14"/>
  </r>
  <r>
    <d v="2016-06-06T00:00:00"/>
    <x v="2"/>
    <x v="3"/>
    <x v="152"/>
    <x v="3"/>
    <x v="0"/>
    <x v="2"/>
    <s v="Cisco Small Business SPA 502G VoIP phone"/>
    <n v="328.22"/>
    <n v="4"/>
    <n v="28.72"/>
  </r>
  <r>
    <d v="2016-06-06T00:00:00"/>
    <x v="2"/>
    <x v="3"/>
    <x v="1"/>
    <x v="6"/>
    <x v="2"/>
    <x v="6"/>
    <s v="Letter Size Cart"/>
    <n v="714.3"/>
    <n v="5"/>
    <n v="207.15"/>
  </r>
  <r>
    <d v="2016-06-06T00:00:00"/>
    <x v="2"/>
    <x v="3"/>
    <x v="587"/>
    <x v="6"/>
    <x v="2"/>
    <x v="3"/>
    <s v="Xerox 1935"/>
    <n v="105.52"/>
    <n v="4"/>
    <n v="48.54"/>
  </r>
  <r>
    <d v="2016-06-06T00:00:00"/>
    <x v="2"/>
    <x v="3"/>
    <x v="492"/>
    <x v="9"/>
    <x v="0"/>
    <x v="0"/>
    <s v="Logitech Trackman Marble Mouse"/>
    <n v="179.94"/>
    <n v="6"/>
    <n v="75.569999999999993"/>
  </r>
  <r>
    <d v="2016-06-06T00:00:00"/>
    <x v="2"/>
    <x v="3"/>
    <x v="492"/>
    <x v="9"/>
    <x v="0"/>
    <x v="0"/>
    <s v="Kingston Digital DataTraveler 16GB USB 2.0"/>
    <n v="26.85"/>
    <n v="3"/>
    <n v="5.0999999999999996"/>
  </r>
  <r>
    <d v="2016-06-06T00:00:00"/>
    <x v="2"/>
    <x v="3"/>
    <x v="492"/>
    <x v="9"/>
    <x v="0"/>
    <x v="0"/>
    <s v="Plantronics S12 Corded Telephone Headset System"/>
    <n v="323.37"/>
    <n v="3"/>
    <n v="129.35"/>
  </r>
  <r>
    <d v="2016-06-06T00:00:00"/>
    <x v="2"/>
    <x v="3"/>
    <x v="492"/>
    <x v="9"/>
    <x v="2"/>
    <x v="3"/>
    <s v="Xerox 191"/>
    <n v="59.94"/>
    <n v="3"/>
    <n v="28.17"/>
  </r>
  <r>
    <d v="2016-06-06T00:00:00"/>
    <x v="2"/>
    <x v="3"/>
    <x v="492"/>
    <x v="9"/>
    <x v="2"/>
    <x v="9"/>
    <s v="Trimflex Flexible Post Binders"/>
    <n v="64.14"/>
    <n v="3"/>
    <n v="30.79"/>
  </r>
  <r>
    <d v="2016-06-06T00:00:00"/>
    <x v="2"/>
    <x v="3"/>
    <x v="492"/>
    <x v="9"/>
    <x v="2"/>
    <x v="9"/>
    <s v="Avery Binder Labels"/>
    <n v="11.67"/>
    <n v="3"/>
    <n v="5.6"/>
  </r>
  <r>
    <d v="2016-06-06T00:00:00"/>
    <x v="2"/>
    <x v="3"/>
    <x v="492"/>
    <x v="9"/>
    <x v="2"/>
    <x v="3"/>
    <s v="Xerox 230"/>
    <n v="12.96"/>
    <n v="2"/>
    <n v="6.22"/>
  </r>
  <r>
    <d v="2016-06-06T00:00:00"/>
    <x v="2"/>
    <x v="3"/>
    <x v="79"/>
    <x v="5"/>
    <x v="2"/>
    <x v="8"/>
    <s v="Avery 488"/>
    <n v="22.05"/>
    <n v="7"/>
    <n v="10.58"/>
  </r>
  <r>
    <d v="2016-06-06T00:00:00"/>
    <x v="2"/>
    <x v="3"/>
    <x v="79"/>
    <x v="5"/>
    <x v="2"/>
    <x v="3"/>
    <s v="Xerox Blank Computer Paper"/>
    <n v="99.9"/>
    <n v="5"/>
    <n v="46.95"/>
  </r>
  <r>
    <d v="2016-06-06T00:00:00"/>
    <x v="2"/>
    <x v="3"/>
    <x v="157"/>
    <x v="5"/>
    <x v="0"/>
    <x v="2"/>
    <s v="Samsung Galaxy Mega 6.3"/>
    <n v="3023.93"/>
    <n v="9"/>
    <n v="226.79"/>
  </r>
  <r>
    <d v="2016-06-06T00:00:00"/>
    <x v="2"/>
    <x v="3"/>
    <x v="157"/>
    <x v="5"/>
    <x v="0"/>
    <x v="0"/>
    <s v="Rosewill 107 Normal Keys USB Wired Standard Keyboard"/>
    <n v="26.96"/>
    <n v="2"/>
    <n v="3.77"/>
  </r>
  <r>
    <d v="2016-06-06T00:00:00"/>
    <x v="2"/>
    <x v="3"/>
    <x v="157"/>
    <x v="5"/>
    <x v="0"/>
    <x v="2"/>
    <s v="Bose SoundLink Bluetooth Speaker"/>
    <n v="477.6"/>
    <n v="3"/>
    <n v="161.19"/>
  </r>
  <r>
    <d v="2016-06-06T00:00:00"/>
    <x v="2"/>
    <x v="3"/>
    <x v="539"/>
    <x v="18"/>
    <x v="1"/>
    <x v="5"/>
    <s v="Electrix Halogen Magnifier Lamp"/>
    <n v="466.32"/>
    <n v="3"/>
    <n v="34.97"/>
  </r>
  <r>
    <d v="2016-06-06T00:00:00"/>
    <x v="2"/>
    <x v="3"/>
    <x v="539"/>
    <x v="18"/>
    <x v="1"/>
    <x v="5"/>
    <s v="Deflect-o EconoMat Nonstudded, No Bevel Mat"/>
    <n v="82.64"/>
    <n v="2"/>
    <n v="0"/>
  </r>
  <r>
    <d v="2016-08-06T00:00:00"/>
    <x v="2"/>
    <x v="5"/>
    <x v="42"/>
    <x v="2"/>
    <x v="2"/>
    <x v="3"/>
    <s v="Easy-staple paper"/>
    <n v="70.88"/>
    <n v="2"/>
    <n v="33.31"/>
  </r>
  <r>
    <d v="2016-08-06T00:00:00"/>
    <x v="2"/>
    <x v="5"/>
    <x v="216"/>
    <x v="5"/>
    <x v="0"/>
    <x v="2"/>
    <s v="Panasonic KX-TG6844B Expandable Digital Cordless Telephone"/>
    <n v="211.17"/>
    <n v="4"/>
    <n v="18.48"/>
  </r>
  <r>
    <d v="2016-08-06T00:00:00"/>
    <x v="2"/>
    <x v="5"/>
    <x v="571"/>
    <x v="2"/>
    <x v="2"/>
    <x v="11"/>
    <s v="Dixon Prang Watercolor Pencils, 10-Color Set with Brush"/>
    <n v="38.340000000000003"/>
    <n v="9"/>
    <n v="15.72"/>
  </r>
  <r>
    <d v="2016-09-06T00:00:00"/>
    <x v="2"/>
    <x v="6"/>
    <x v="569"/>
    <x v="7"/>
    <x v="2"/>
    <x v="10"/>
    <s v="Fellowes Basic Home/Office Series Surge Protectors"/>
    <n v="77.88"/>
    <n v="6"/>
    <n v="22.59"/>
  </r>
  <r>
    <d v="2016-09-06T00:00:00"/>
    <x v="2"/>
    <x v="6"/>
    <x v="566"/>
    <x v="2"/>
    <x v="0"/>
    <x v="0"/>
    <s v="Maxell 4.7GB DVD+RW 3/Pack"/>
    <n v="31.86"/>
    <n v="2"/>
    <n v="11.15"/>
  </r>
  <r>
    <d v="2016-09-06T00:00:00"/>
    <x v="2"/>
    <x v="6"/>
    <x v="566"/>
    <x v="2"/>
    <x v="1"/>
    <x v="16"/>
    <s v="Atlantic Metals Mobile 5-Shelf Bookcases, Custom Colors"/>
    <n v="722.35"/>
    <n v="3"/>
    <n v="90.29"/>
  </r>
  <r>
    <d v="2016-09-06T00:00:00"/>
    <x v="2"/>
    <x v="6"/>
    <x v="345"/>
    <x v="12"/>
    <x v="2"/>
    <x v="13"/>
    <s v="Blue String-Tie &amp; Button Interoffice Envelopes, 10 x 13"/>
    <n v="95.95"/>
    <n v="3"/>
    <n v="29.99"/>
  </r>
  <r>
    <d v="2016-09-06T00:00:00"/>
    <x v="2"/>
    <x v="6"/>
    <x v="345"/>
    <x v="12"/>
    <x v="2"/>
    <x v="9"/>
    <s v="Pressboard Data Binders by Wilson Jones"/>
    <n v="3.2"/>
    <n v="2"/>
    <n v="-2.46"/>
  </r>
  <r>
    <d v="2016-09-06T00:00:00"/>
    <x v="2"/>
    <x v="6"/>
    <x v="588"/>
    <x v="4"/>
    <x v="2"/>
    <x v="6"/>
    <s v="Tenex Personal Project File with Scoop Front Design, Black"/>
    <n v="10.78"/>
    <n v="1"/>
    <n v="0.81"/>
  </r>
  <r>
    <d v="2016-09-06T00:00:00"/>
    <x v="2"/>
    <x v="6"/>
    <x v="511"/>
    <x v="4"/>
    <x v="2"/>
    <x v="3"/>
    <s v="Advantus Motivational Note Cards"/>
    <n v="41.92"/>
    <n v="4"/>
    <n v="15.2"/>
  </r>
  <r>
    <d v="2016-09-06T00:00:00"/>
    <x v="2"/>
    <x v="6"/>
    <x v="511"/>
    <x v="4"/>
    <x v="0"/>
    <x v="2"/>
    <s v="AT&amp;T CL83451 4-Handset Telephone"/>
    <n v="329.58"/>
    <n v="2"/>
    <n v="37.08"/>
  </r>
  <r>
    <d v="2016-10-06T00:00:00"/>
    <x v="2"/>
    <x v="7"/>
    <x v="508"/>
    <x v="28"/>
    <x v="2"/>
    <x v="9"/>
    <s v="Avery Binding System Hidden Tab Executive Style Index Sets"/>
    <n v="28.85"/>
    <n v="5"/>
    <n v="14.43"/>
  </r>
  <r>
    <d v="2016-10-06T00:00:00"/>
    <x v="2"/>
    <x v="7"/>
    <x v="524"/>
    <x v="15"/>
    <x v="0"/>
    <x v="14"/>
    <s v="Zebra GK420t Direct Thermal/Thermal Transfer Printer"/>
    <n v="703.71"/>
    <n v="6"/>
    <n v="-938.28"/>
  </r>
  <r>
    <d v="2016-10-06T00:00:00"/>
    <x v="2"/>
    <x v="7"/>
    <x v="524"/>
    <x v="15"/>
    <x v="2"/>
    <x v="9"/>
    <s v="Recycled Easel Ring Binders"/>
    <n v="17.899999999999999"/>
    <n v="4"/>
    <n v="-14.92"/>
  </r>
  <r>
    <d v="2016-10-06T00:00:00"/>
    <x v="2"/>
    <x v="7"/>
    <x v="524"/>
    <x v="15"/>
    <x v="2"/>
    <x v="9"/>
    <s v="Avery Framed View Binder, EZD Ring (Locking), Navy, 1 1/2&quot;"/>
    <n v="11.98"/>
    <n v="4"/>
    <n v="-9.18"/>
  </r>
  <r>
    <d v="2016-10-06T00:00:00"/>
    <x v="2"/>
    <x v="7"/>
    <x v="524"/>
    <x v="15"/>
    <x v="0"/>
    <x v="0"/>
    <s v="Memorex 25GB 6X Branded Blu-Ray Recordable Disc, 15/Pack"/>
    <n v="67.959999999999994"/>
    <n v="5"/>
    <n v="0.85"/>
  </r>
  <r>
    <d v="2016-11-06T00:00:00"/>
    <x v="2"/>
    <x v="8"/>
    <x v="589"/>
    <x v="5"/>
    <x v="1"/>
    <x v="1"/>
    <s v="Global Task Chair, Black"/>
    <n v="81.42"/>
    <n v="2"/>
    <n v="-9.16"/>
  </r>
  <r>
    <d v="2016-11-06T00:00:00"/>
    <x v="2"/>
    <x v="8"/>
    <x v="589"/>
    <x v="5"/>
    <x v="1"/>
    <x v="5"/>
    <s v="Eldon Cleatmat Plus Chair Mats for High Pile Carpets"/>
    <n v="238.56"/>
    <n v="3"/>
    <n v="26.24"/>
  </r>
  <r>
    <d v="2016-11-06T00:00:00"/>
    <x v="2"/>
    <x v="8"/>
    <x v="590"/>
    <x v="11"/>
    <x v="1"/>
    <x v="1"/>
    <s v="High-Back Leather Manager's Chair"/>
    <n v="207.98"/>
    <n v="2"/>
    <n v="-28.6"/>
  </r>
  <r>
    <d v="2016-11-06T00:00:00"/>
    <x v="2"/>
    <x v="8"/>
    <x v="590"/>
    <x v="11"/>
    <x v="2"/>
    <x v="3"/>
    <s v="Embossed Ink Jet Note Cards"/>
    <n v="36.11"/>
    <n v="2"/>
    <n v="12.64"/>
  </r>
  <r>
    <d v="2016-11-06T00:00:00"/>
    <x v="2"/>
    <x v="8"/>
    <x v="590"/>
    <x v="11"/>
    <x v="1"/>
    <x v="5"/>
    <s v="Executive Impressions 14&quot; Contract Wall Clock"/>
    <n v="35.57"/>
    <n v="2"/>
    <n v="5.78"/>
  </r>
  <r>
    <d v="2016-11-06T00:00:00"/>
    <x v="2"/>
    <x v="8"/>
    <x v="590"/>
    <x v="11"/>
    <x v="2"/>
    <x v="3"/>
    <s v="Eaton Premium Continuous-Feed Paper, 25% Cotton, Letter Size, White, 1000 Shts/Box"/>
    <n v="88.77"/>
    <n v="2"/>
    <n v="31.07"/>
  </r>
  <r>
    <d v="2016-11-06T00:00:00"/>
    <x v="2"/>
    <x v="8"/>
    <x v="381"/>
    <x v="5"/>
    <x v="2"/>
    <x v="6"/>
    <s v="Eldon Portable Mobile Manager"/>
    <n v="84.84"/>
    <n v="3"/>
    <n v="22.91"/>
  </r>
  <r>
    <d v="2016-12-06T00:00:00"/>
    <x v="2"/>
    <x v="9"/>
    <x v="397"/>
    <x v="5"/>
    <x v="2"/>
    <x v="3"/>
    <s v="Xerox 216"/>
    <n v="19.440000000000001"/>
    <n v="3"/>
    <n v="9.33"/>
  </r>
  <r>
    <d v="2016-12-06T00:00:00"/>
    <x v="2"/>
    <x v="9"/>
    <x v="591"/>
    <x v="1"/>
    <x v="0"/>
    <x v="2"/>
    <s v="Plantronics Calisto P620-M USB Wireless Speakerphone System"/>
    <n v="156.79"/>
    <n v="1"/>
    <n v="13.72"/>
  </r>
  <r>
    <d v="2016-12-06T00:00:00"/>
    <x v="2"/>
    <x v="9"/>
    <x v="591"/>
    <x v="1"/>
    <x v="0"/>
    <x v="2"/>
    <s v="Google Nexus 5"/>
    <n v="431.98"/>
    <n v="3"/>
    <n v="27"/>
  </r>
  <r>
    <d v="2016-12-06T00:00:00"/>
    <x v="2"/>
    <x v="9"/>
    <x v="591"/>
    <x v="1"/>
    <x v="2"/>
    <x v="13"/>
    <s v="Jet-Pak Recycled Peel 'N' Seal Padded Mailers"/>
    <n v="35.89"/>
    <n v="1"/>
    <n v="16.149999999999999"/>
  </r>
  <r>
    <d v="2016-12-06T00:00:00"/>
    <x v="2"/>
    <x v="9"/>
    <x v="591"/>
    <x v="1"/>
    <x v="2"/>
    <x v="9"/>
    <s v="Ibico Plastic and Wire Spiral Binding Combs"/>
    <n v="47.21"/>
    <n v="7"/>
    <n v="15.34"/>
  </r>
  <r>
    <d v="2016-12-06T00:00:00"/>
    <x v="2"/>
    <x v="9"/>
    <x v="591"/>
    <x v="1"/>
    <x v="2"/>
    <x v="3"/>
    <s v="Xerox 1880"/>
    <n v="248.08"/>
    <n v="7"/>
    <n v="116.6"/>
  </r>
  <r>
    <d v="2016-12-06T00:00:00"/>
    <x v="2"/>
    <x v="9"/>
    <x v="591"/>
    <x v="1"/>
    <x v="2"/>
    <x v="3"/>
    <s v="Snap-A-Way Black Print Carbonless Ruled Speed Letter, Triplicate"/>
    <n v="189.7"/>
    <n v="5"/>
    <n v="89.16"/>
  </r>
  <r>
    <d v="2016-12-06T00:00:00"/>
    <x v="2"/>
    <x v="9"/>
    <x v="591"/>
    <x v="1"/>
    <x v="2"/>
    <x v="9"/>
    <s v="GBC Standard Therm-A-Bind Covers"/>
    <n v="59.81"/>
    <n v="3"/>
    <n v="19.440000000000001"/>
  </r>
  <r>
    <d v="2016-12-06T00:00:00"/>
    <x v="2"/>
    <x v="9"/>
    <x v="592"/>
    <x v="2"/>
    <x v="2"/>
    <x v="9"/>
    <s v="Ibico EB-19 Dual Function Manual Binding System"/>
    <n v="968.74"/>
    <n v="7"/>
    <n v="314.83999999999997"/>
  </r>
  <r>
    <d v="2016-12-06T00:00:00"/>
    <x v="2"/>
    <x v="9"/>
    <x v="592"/>
    <x v="2"/>
    <x v="2"/>
    <x v="9"/>
    <s v="Trimflex Flexible Post Binders"/>
    <n v="222.35"/>
    <n v="13"/>
    <n v="77.819999999999993"/>
  </r>
  <r>
    <d v="2016-12-06T00:00:00"/>
    <x v="2"/>
    <x v="9"/>
    <x v="592"/>
    <x v="2"/>
    <x v="0"/>
    <x v="12"/>
    <s v="Brother DCP1000 Digital 3 in 1 Multifunction Machine"/>
    <n v="479.98"/>
    <n v="2"/>
    <n v="90"/>
  </r>
  <r>
    <d v="2016-12-06T00:00:00"/>
    <x v="2"/>
    <x v="9"/>
    <x v="72"/>
    <x v="5"/>
    <x v="0"/>
    <x v="2"/>
    <s v="Avaya 5410 Digital phone"/>
    <n v="271.95999999999998"/>
    <n v="5"/>
    <n v="27.2"/>
  </r>
  <r>
    <d v="2016-12-06T00:00:00"/>
    <x v="2"/>
    <x v="9"/>
    <x v="72"/>
    <x v="5"/>
    <x v="2"/>
    <x v="11"/>
    <s v="Blackstonian Pencils"/>
    <n v="18.690000000000001"/>
    <n v="7"/>
    <n v="5.23"/>
  </r>
  <r>
    <d v="2016-12-06T00:00:00"/>
    <x v="2"/>
    <x v="9"/>
    <x v="72"/>
    <x v="5"/>
    <x v="2"/>
    <x v="3"/>
    <s v="Xerox 1977"/>
    <n v="13.36"/>
    <n v="2"/>
    <n v="6.41"/>
  </r>
  <r>
    <d v="2016-12-06T00:00:00"/>
    <x v="2"/>
    <x v="9"/>
    <x v="72"/>
    <x v="5"/>
    <x v="0"/>
    <x v="2"/>
    <s v="Cisco SPA301"/>
    <n v="249.58"/>
    <n v="2"/>
    <n v="31.2"/>
  </r>
  <r>
    <d v="2016-12-06T00:00:00"/>
    <x v="2"/>
    <x v="9"/>
    <x v="72"/>
    <x v="5"/>
    <x v="2"/>
    <x v="4"/>
    <s v="Alliance Big Bands Rubber Bands, 12/Pack"/>
    <n v="13.86"/>
    <n v="7"/>
    <n v="0"/>
  </r>
  <r>
    <d v="2016-12-06T00:00:00"/>
    <x v="2"/>
    <x v="9"/>
    <x v="72"/>
    <x v="5"/>
    <x v="2"/>
    <x v="9"/>
    <s v="Avery Durable Slant Ring Binders With Label Holder"/>
    <n v="13.38"/>
    <n v="4"/>
    <n v="4.68"/>
  </r>
  <r>
    <d v="2016-12-06T00:00:00"/>
    <x v="2"/>
    <x v="9"/>
    <x v="72"/>
    <x v="5"/>
    <x v="2"/>
    <x v="9"/>
    <s v="Ibico Recycled Linen-Style Covers"/>
    <n v="437.47"/>
    <n v="14"/>
    <n v="153.12"/>
  </r>
  <r>
    <d v="2016-01-07T00:00:00"/>
    <x v="2"/>
    <x v="11"/>
    <x v="8"/>
    <x v="5"/>
    <x v="2"/>
    <x v="11"/>
    <s v="Panasonic KP-350BK Electric Pencil Sharpener with Auto Stop"/>
    <n v="34.58"/>
    <n v="1"/>
    <n v="10.029999999999999"/>
  </r>
  <r>
    <d v="2016-01-07T00:00:00"/>
    <x v="2"/>
    <x v="11"/>
    <x v="331"/>
    <x v="4"/>
    <x v="1"/>
    <x v="5"/>
    <s v="Executive Impressions 13&quot; Clairmont Wall Clock"/>
    <n v="23.08"/>
    <n v="3"/>
    <n v="-10.96"/>
  </r>
  <r>
    <d v="2016-01-07T00:00:00"/>
    <x v="2"/>
    <x v="11"/>
    <x v="331"/>
    <x v="4"/>
    <x v="2"/>
    <x v="3"/>
    <s v="Xerox 212"/>
    <n v="25.92"/>
    <n v="5"/>
    <n v="9.07"/>
  </r>
  <r>
    <d v="2016-02-07T00:00:00"/>
    <x v="2"/>
    <x v="0"/>
    <x v="593"/>
    <x v="20"/>
    <x v="0"/>
    <x v="0"/>
    <s v="Micro Innovations USB RF Wireless Keyboard with Mouse"/>
    <n v="100"/>
    <n v="4"/>
    <n v="21"/>
  </r>
  <r>
    <d v="2016-02-07T00:00:00"/>
    <x v="2"/>
    <x v="0"/>
    <x v="593"/>
    <x v="20"/>
    <x v="2"/>
    <x v="8"/>
    <s v="Permanent Self-Adhesive File Folder Labels for Typewriters by Universal"/>
    <n v="7.83"/>
    <n v="3"/>
    <n v="3.6"/>
  </r>
  <r>
    <d v="2016-02-07T00:00:00"/>
    <x v="2"/>
    <x v="0"/>
    <x v="594"/>
    <x v="18"/>
    <x v="2"/>
    <x v="3"/>
    <s v="Xerox 1912"/>
    <n v="30.35"/>
    <n v="2"/>
    <n v="10.62"/>
  </r>
  <r>
    <d v="2016-02-07T00:00:00"/>
    <x v="2"/>
    <x v="0"/>
    <x v="555"/>
    <x v="5"/>
    <x v="0"/>
    <x v="2"/>
    <s v="Motorola L703CM"/>
    <n v="623.96"/>
    <n v="5"/>
    <n v="39"/>
  </r>
  <r>
    <d v="2016-03-07T00:00:00"/>
    <x v="2"/>
    <x v="1"/>
    <x v="211"/>
    <x v="4"/>
    <x v="0"/>
    <x v="2"/>
    <s v="Belkin Grip Candy Sheer Case / Cover for iPhone 5 and 5S"/>
    <n v="21.07"/>
    <n v="3"/>
    <n v="1.58"/>
  </r>
  <r>
    <d v="2016-04-07T00:00:00"/>
    <x v="2"/>
    <x v="2"/>
    <x v="511"/>
    <x v="5"/>
    <x v="0"/>
    <x v="12"/>
    <s v="Hewlett Packard 610 Color Digital Copier / Printer"/>
    <n v="1199.98"/>
    <n v="3"/>
    <n v="374.99"/>
  </r>
  <r>
    <d v="2016-04-07T00:00:00"/>
    <x v="2"/>
    <x v="2"/>
    <x v="12"/>
    <x v="2"/>
    <x v="1"/>
    <x v="1"/>
    <s v="Hon Deluxe Fabric Upholstered Stacking Chairs, Rounded Back"/>
    <n v="658.75"/>
    <n v="3"/>
    <n v="146.38999999999999"/>
  </r>
  <r>
    <d v="2016-04-07T00:00:00"/>
    <x v="2"/>
    <x v="2"/>
    <x v="393"/>
    <x v="2"/>
    <x v="2"/>
    <x v="11"/>
    <s v="Newell 322"/>
    <n v="3.64"/>
    <n v="2"/>
    <n v="0.98"/>
  </r>
  <r>
    <d v="2016-04-07T00:00:00"/>
    <x v="2"/>
    <x v="2"/>
    <x v="56"/>
    <x v="8"/>
    <x v="2"/>
    <x v="3"/>
    <s v="Xerox 1939"/>
    <n v="37.94"/>
    <n v="2"/>
    <n v="18.21"/>
  </r>
  <r>
    <d v="2016-04-07T00:00:00"/>
    <x v="2"/>
    <x v="2"/>
    <x v="290"/>
    <x v="13"/>
    <x v="2"/>
    <x v="10"/>
    <s v="Belkin 7-Outlet SurgeMaster Home Series"/>
    <n v="33.53"/>
    <n v="3"/>
    <n v="2.5099999999999998"/>
  </r>
  <r>
    <d v="2016-04-07T00:00:00"/>
    <x v="2"/>
    <x v="2"/>
    <x v="290"/>
    <x v="13"/>
    <x v="2"/>
    <x v="6"/>
    <s v="Eldon Jumbo ProFile Portable File Boxes Graphite/Black"/>
    <n v="36.74"/>
    <n v="3"/>
    <n v="3.67"/>
  </r>
  <r>
    <d v="2016-05-07T00:00:00"/>
    <x v="2"/>
    <x v="10"/>
    <x v="553"/>
    <x v="2"/>
    <x v="2"/>
    <x v="9"/>
    <s v="GBC Twin Loop Wire Binding Elements, 9/16&quot; Spine, Black"/>
    <n v="85.23"/>
    <n v="7"/>
    <n v="30.9"/>
  </r>
  <r>
    <d v="2016-05-07T00:00:00"/>
    <x v="2"/>
    <x v="10"/>
    <x v="553"/>
    <x v="2"/>
    <x v="2"/>
    <x v="8"/>
    <s v="Alphabetical Labels for Top Tab Filing"/>
    <n v="44.4"/>
    <n v="3"/>
    <n v="22.2"/>
  </r>
  <r>
    <d v="2016-05-07T00:00:00"/>
    <x v="2"/>
    <x v="10"/>
    <x v="553"/>
    <x v="2"/>
    <x v="1"/>
    <x v="1"/>
    <s v="Hon Mobius Operator's Chair"/>
    <n v="442.76"/>
    <n v="4"/>
    <n v="59.04"/>
  </r>
  <r>
    <d v="2016-05-07T00:00:00"/>
    <x v="2"/>
    <x v="10"/>
    <x v="553"/>
    <x v="2"/>
    <x v="0"/>
    <x v="14"/>
    <s v="Bady BDG101FRU Card Printer"/>
    <n v="3999.95"/>
    <n v="5"/>
    <n v="1159.99"/>
  </r>
  <r>
    <d v="2016-05-07T00:00:00"/>
    <x v="2"/>
    <x v="10"/>
    <x v="553"/>
    <x v="2"/>
    <x v="0"/>
    <x v="0"/>
    <s v="SanDisk Ultra 64 GB MicroSDHC Class 10 Memory Card"/>
    <n v="199.95"/>
    <n v="5"/>
    <n v="21.99"/>
  </r>
  <r>
    <d v="2016-05-07T00:00:00"/>
    <x v="2"/>
    <x v="10"/>
    <x v="553"/>
    <x v="2"/>
    <x v="1"/>
    <x v="5"/>
    <s v="Staple-based wall hangings"/>
    <n v="63.68"/>
    <n v="8"/>
    <n v="28.02"/>
  </r>
  <r>
    <d v="2016-06-07T00:00:00"/>
    <x v="2"/>
    <x v="3"/>
    <x v="537"/>
    <x v="2"/>
    <x v="2"/>
    <x v="3"/>
    <s v="Xerox 226"/>
    <n v="32.4"/>
    <n v="5"/>
    <n v="15.55"/>
  </r>
  <r>
    <d v="2016-06-07T00:00:00"/>
    <x v="2"/>
    <x v="3"/>
    <x v="430"/>
    <x v="5"/>
    <x v="2"/>
    <x v="9"/>
    <s v="Avery Hanging File Binders"/>
    <n v="4.78"/>
    <n v="1"/>
    <n v="1.55"/>
  </r>
  <r>
    <d v="2016-06-07T00:00:00"/>
    <x v="2"/>
    <x v="3"/>
    <x v="430"/>
    <x v="5"/>
    <x v="2"/>
    <x v="3"/>
    <s v="While You Were Out Pads, 50 per Pad, 4 x 5 1/4, Green Cycle"/>
    <n v="4.7300000000000004"/>
    <n v="1"/>
    <n v="2.3199999999999998"/>
  </r>
  <r>
    <d v="2016-06-07T00:00:00"/>
    <x v="2"/>
    <x v="3"/>
    <x v="595"/>
    <x v="13"/>
    <x v="2"/>
    <x v="4"/>
    <s v="Ideal Clamps"/>
    <n v="9.65"/>
    <n v="6"/>
    <n v="3.5"/>
  </r>
  <r>
    <d v="2016-07-07T00:00:00"/>
    <x v="2"/>
    <x v="4"/>
    <x v="482"/>
    <x v="11"/>
    <x v="2"/>
    <x v="15"/>
    <s v="Acme Softgrip Scissors"/>
    <n v="45.58"/>
    <n v="7"/>
    <n v="5.13"/>
  </r>
  <r>
    <d v="2016-07-07T00:00:00"/>
    <x v="2"/>
    <x v="4"/>
    <x v="276"/>
    <x v="5"/>
    <x v="1"/>
    <x v="5"/>
    <s v="Howard Miller 11-1/2&quot; Diameter Grantwood Wall Clock"/>
    <n v="215.65"/>
    <n v="5"/>
    <n v="73.319999999999993"/>
  </r>
  <r>
    <d v="2016-07-07T00:00:00"/>
    <x v="2"/>
    <x v="4"/>
    <x v="535"/>
    <x v="3"/>
    <x v="1"/>
    <x v="5"/>
    <s v="Flat Face Poster Frame"/>
    <n v="60.29"/>
    <n v="8"/>
    <n v="-27.13"/>
  </r>
  <r>
    <d v="2016-07-07T00:00:00"/>
    <x v="2"/>
    <x v="4"/>
    <x v="535"/>
    <x v="3"/>
    <x v="2"/>
    <x v="4"/>
    <s v="Acco Hot Clips Clips to Go"/>
    <n v="2.63"/>
    <n v="1"/>
    <n v="0.82"/>
  </r>
  <r>
    <d v="2016-07-07T00:00:00"/>
    <x v="2"/>
    <x v="4"/>
    <x v="535"/>
    <x v="3"/>
    <x v="2"/>
    <x v="3"/>
    <s v="Tops Wirebound Message Log Books"/>
    <n v="23.69"/>
    <n v="9"/>
    <n v="7.7"/>
  </r>
  <r>
    <d v="2016-07-07T00:00:00"/>
    <x v="2"/>
    <x v="4"/>
    <x v="535"/>
    <x v="3"/>
    <x v="1"/>
    <x v="1"/>
    <s v="Global Ergonomic Managers Chair"/>
    <n v="253.37"/>
    <n v="2"/>
    <n v="-14.48"/>
  </r>
  <r>
    <d v="2016-07-07T00:00:00"/>
    <x v="2"/>
    <x v="4"/>
    <x v="596"/>
    <x v="5"/>
    <x v="1"/>
    <x v="1"/>
    <s v="Global Leather Task Chair, Black"/>
    <n v="287.97000000000003"/>
    <n v="4"/>
    <n v="-3.6"/>
  </r>
  <r>
    <d v="2016-07-07T00:00:00"/>
    <x v="2"/>
    <x v="4"/>
    <x v="596"/>
    <x v="5"/>
    <x v="0"/>
    <x v="12"/>
    <s v="Canon PC1060 Personal Laser Copier"/>
    <n v="2799.96"/>
    <n v="5"/>
    <n v="944.99"/>
  </r>
  <r>
    <d v="2016-07-07T00:00:00"/>
    <x v="2"/>
    <x v="4"/>
    <x v="596"/>
    <x v="5"/>
    <x v="2"/>
    <x v="3"/>
    <s v="Xerox 1942"/>
    <n v="48.94"/>
    <n v="1"/>
    <n v="24.47"/>
  </r>
  <r>
    <d v="2016-07-07T00:00:00"/>
    <x v="2"/>
    <x v="4"/>
    <x v="597"/>
    <x v="13"/>
    <x v="2"/>
    <x v="8"/>
    <s v="Permanent Self-Adhesive File Folder Labels for Typewriters, 1 1/8 x 3 1/2, White"/>
    <n v="10.08"/>
    <n v="2"/>
    <n v="3.28"/>
  </r>
  <r>
    <d v="2016-07-07T00:00:00"/>
    <x v="2"/>
    <x v="4"/>
    <x v="597"/>
    <x v="13"/>
    <x v="0"/>
    <x v="2"/>
    <s v="Panasonic KX T7731-B Digital phone"/>
    <n v="59.99"/>
    <n v="1"/>
    <n v="-13"/>
  </r>
  <r>
    <d v="2016-07-07T00:00:00"/>
    <x v="2"/>
    <x v="4"/>
    <x v="597"/>
    <x v="13"/>
    <x v="2"/>
    <x v="9"/>
    <s v="Acco Pressboard Covers with Storage Hooks, 14 7/8&quot; x 11&quot;, Executive Red"/>
    <n v="5.72"/>
    <n v="5"/>
    <n v="-4.76"/>
  </r>
  <r>
    <d v="2016-07-07T00:00:00"/>
    <x v="2"/>
    <x v="4"/>
    <x v="597"/>
    <x v="13"/>
    <x v="2"/>
    <x v="9"/>
    <s v="GBC Standard Plastic Binding Systems' Combs"/>
    <n v="9.42"/>
    <n v="5"/>
    <n v="-7.85"/>
  </r>
  <r>
    <d v="2016-07-07T00:00:00"/>
    <x v="2"/>
    <x v="4"/>
    <x v="467"/>
    <x v="21"/>
    <x v="2"/>
    <x v="3"/>
    <s v="Xerox 226"/>
    <n v="12.96"/>
    <n v="2"/>
    <n v="6.22"/>
  </r>
  <r>
    <d v="2016-07-07T00:00:00"/>
    <x v="2"/>
    <x v="4"/>
    <x v="467"/>
    <x v="21"/>
    <x v="2"/>
    <x v="11"/>
    <s v="Boston KS Multi-Size Manual Pencil Sharpener"/>
    <n v="45.98"/>
    <n v="2"/>
    <n v="12.87"/>
  </r>
  <r>
    <d v="2016-08-07T00:00:00"/>
    <x v="2"/>
    <x v="5"/>
    <x v="598"/>
    <x v="1"/>
    <x v="0"/>
    <x v="0"/>
    <s v="LogitechÂ Illuminated - Keyboard"/>
    <n v="179.97"/>
    <n v="3"/>
    <n v="86.39"/>
  </r>
  <r>
    <d v="2016-10-07T00:00:00"/>
    <x v="2"/>
    <x v="7"/>
    <x v="229"/>
    <x v="5"/>
    <x v="2"/>
    <x v="9"/>
    <s v="GBC Recycled VeloBinder Covers"/>
    <n v="27.26"/>
    <n v="2"/>
    <n v="8.86"/>
  </r>
  <r>
    <d v="2016-10-07T00:00:00"/>
    <x v="2"/>
    <x v="7"/>
    <x v="599"/>
    <x v="1"/>
    <x v="0"/>
    <x v="14"/>
    <s v="Okidata C331dn Printer"/>
    <n v="837.6"/>
    <n v="3"/>
    <n v="62.82"/>
  </r>
  <r>
    <d v="2016-10-07T00:00:00"/>
    <x v="2"/>
    <x v="7"/>
    <x v="532"/>
    <x v="5"/>
    <x v="2"/>
    <x v="3"/>
    <s v="Astroparche Fine Business Paper"/>
    <n v="10.56"/>
    <n v="2"/>
    <n v="5.07"/>
  </r>
  <r>
    <d v="2016-10-07T00:00:00"/>
    <x v="2"/>
    <x v="7"/>
    <x v="600"/>
    <x v="13"/>
    <x v="2"/>
    <x v="8"/>
    <s v="Avery 511"/>
    <n v="4.93"/>
    <n v="2"/>
    <n v="1.72"/>
  </r>
  <r>
    <d v="2016-10-07T00:00:00"/>
    <x v="2"/>
    <x v="7"/>
    <x v="463"/>
    <x v="1"/>
    <x v="2"/>
    <x v="4"/>
    <s v="Alliance Super-Size Bands, Assorted Sizes"/>
    <n v="93.36"/>
    <n v="12"/>
    <n v="0.93"/>
  </r>
  <r>
    <d v="2016-11-07T00:00:00"/>
    <x v="2"/>
    <x v="8"/>
    <x v="467"/>
    <x v="1"/>
    <x v="2"/>
    <x v="9"/>
    <s v="Wilson Jones International Size A4 Ring Binders"/>
    <n v="27.68"/>
    <n v="2"/>
    <n v="9.69"/>
  </r>
  <r>
    <d v="2016-11-07T00:00:00"/>
    <x v="2"/>
    <x v="8"/>
    <x v="436"/>
    <x v="5"/>
    <x v="2"/>
    <x v="9"/>
    <s v="Fellowes Binding Cases"/>
    <n v="37.44"/>
    <n v="4"/>
    <n v="11.7"/>
  </r>
  <r>
    <d v="2016-11-07T00:00:00"/>
    <x v="2"/>
    <x v="8"/>
    <x v="436"/>
    <x v="5"/>
    <x v="2"/>
    <x v="9"/>
    <s v="Ibico Plastic and Wire Spiral Binding Combs"/>
    <n v="26.98"/>
    <n v="4"/>
    <n v="8.77"/>
  </r>
  <r>
    <d v="2016-11-07T00:00:00"/>
    <x v="2"/>
    <x v="8"/>
    <x v="436"/>
    <x v="5"/>
    <x v="2"/>
    <x v="15"/>
    <s v="Acme Preferred Stainless Steel Scissors"/>
    <n v="11.36"/>
    <n v="2"/>
    <n v="3.29"/>
  </r>
  <r>
    <d v="2016-11-07T00:00:00"/>
    <x v="2"/>
    <x v="8"/>
    <x v="436"/>
    <x v="5"/>
    <x v="2"/>
    <x v="8"/>
    <s v="Avery 486"/>
    <n v="14.62"/>
    <n v="2"/>
    <n v="6.87"/>
  </r>
  <r>
    <d v="2016-11-07T00:00:00"/>
    <x v="2"/>
    <x v="8"/>
    <x v="336"/>
    <x v="5"/>
    <x v="1"/>
    <x v="5"/>
    <s v="C-Line Magnetic Cubicle Keepers, Clear Polypropylene"/>
    <n v="14.82"/>
    <n v="3"/>
    <n v="6.22"/>
  </r>
  <r>
    <d v="2016-11-07T00:00:00"/>
    <x v="2"/>
    <x v="8"/>
    <x v="94"/>
    <x v="18"/>
    <x v="0"/>
    <x v="0"/>
    <s v="Plantronics Audio 478 Stereo USB Headset"/>
    <n v="119.98"/>
    <n v="3"/>
    <n v="22.5"/>
  </r>
  <r>
    <d v="2016-11-07T00:00:00"/>
    <x v="2"/>
    <x v="8"/>
    <x v="532"/>
    <x v="8"/>
    <x v="2"/>
    <x v="4"/>
    <s v="Rubber Band Ball"/>
    <n v="14.96"/>
    <n v="4"/>
    <n v="0.3"/>
  </r>
  <r>
    <d v="2016-11-07T00:00:00"/>
    <x v="2"/>
    <x v="8"/>
    <x v="601"/>
    <x v="5"/>
    <x v="2"/>
    <x v="3"/>
    <s v="Wirebound Four 2-3/4 x 5 Forms per Page, 400 Sets per Book"/>
    <n v="12.9"/>
    <n v="2"/>
    <n v="6.32"/>
  </r>
  <r>
    <d v="2016-11-07T00:00:00"/>
    <x v="2"/>
    <x v="8"/>
    <x v="581"/>
    <x v="45"/>
    <x v="1"/>
    <x v="1"/>
    <s v="Global Troy Executive Leather Low-Back Tilter"/>
    <n v="1603.14"/>
    <n v="4"/>
    <n v="100.2"/>
  </r>
  <r>
    <d v="2016-11-07T00:00:00"/>
    <x v="2"/>
    <x v="8"/>
    <x v="310"/>
    <x v="2"/>
    <x v="0"/>
    <x v="2"/>
    <s v="AT&amp;T SB67148 SynJ"/>
    <n v="263.95999999999998"/>
    <n v="4"/>
    <n v="71.27"/>
  </r>
  <r>
    <d v="2016-11-07T00:00:00"/>
    <x v="2"/>
    <x v="8"/>
    <x v="310"/>
    <x v="2"/>
    <x v="0"/>
    <x v="2"/>
    <s v="Jabra Supreme Plus Driver EditionÂ Headset"/>
    <n v="359.97"/>
    <n v="3"/>
    <n v="100.79"/>
  </r>
  <r>
    <d v="2016-11-07T00:00:00"/>
    <x v="2"/>
    <x v="8"/>
    <x v="310"/>
    <x v="2"/>
    <x v="2"/>
    <x v="3"/>
    <s v="Xerox 23"/>
    <n v="12.96"/>
    <n v="2"/>
    <n v="6.22"/>
  </r>
  <r>
    <d v="2016-11-07T00:00:00"/>
    <x v="2"/>
    <x v="8"/>
    <x v="310"/>
    <x v="2"/>
    <x v="2"/>
    <x v="6"/>
    <s v="Eldon Base for stackable storage shelf, platinum"/>
    <n v="116.82"/>
    <n v="3"/>
    <n v="5.84"/>
  </r>
  <r>
    <d v="2016-11-07T00:00:00"/>
    <x v="2"/>
    <x v="8"/>
    <x v="310"/>
    <x v="2"/>
    <x v="2"/>
    <x v="9"/>
    <s v="Ibico EB-19 Dual Function Manual Binding System"/>
    <n v="276.77999999999997"/>
    <n v="2"/>
    <n v="89.95"/>
  </r>
  <r>
    <d v="2016-11-07T00:00:00"/>
    <x v="2"/>
    <x v="8"/>
    <x v="133"/>
    <x v="4"/>
    <x v="1"/>
    <x v="5"/>
    <s v="Executive Impressions 14&quot; Contract Wall Clock with Quartz Movement"/>
    <n v="44.46"/>
    <n v="5"/>
    <n v="-17.78"/>
  </r>
  <r>
    <d v="2016-11-07T00:00:00"/>
    <x v="2"/>
    <x v="8"/>
    <x v="133"/>
    <x v="4"/>
    <x v="2"/>
    <x v="6"/>
    <s v="Mini 13-1/2 Capacity Data Binder Rack, Pearl"/>
    <n v="314.08999999999997"/>
    <n v="3"/>
    <n v="19.63"/>
  </r>
  <r>
    <d v="2016-11-07T00:00:00"/>
    <x v="2"/>
    <x v="8"/>
    <x v="113"/>
    <x v="5"/>
    <x v="0"/>
    <x v="0"/>
    <s v="NETGEAR AC1750 Dual Band GigabitÂ Smart WiFi Router"/>
    <n v="479.97"/>
    <n v="3"/>
    <n v="163.19"/>
  </r>
  <r>
    <d v="2016-11-07T00:00:00"/>
    <x v="2"/>
    <x v="8"/>
    <x v="602"/>
    <x v="5"/>
    <x v="2"/>
    <x v="9"/>
    <s v="GBC VeloBinder Manual Binding System"/>
    <n v="57.58"/>
    <n v="2"/>
    <n v="20.149999999999999"/>
  </r>
  <r>
    <d v="2016-01-08T00:00:00"/>
    <x v="2"/>
    <x v="11"/>
    <x v="25"/>
    <x v="0"/>
    <x v="1"/>
    <x v="16"/>
    <s v="Atlantic Metals Mobile 3-Shelf Bookcases, Custom Colors"/>
    <n v="1565.88"/>
    <n v="6"/>
    <n v="407.13"/>
  </r>
  <r>
    <d v="2016-01-08T00:00:00"/>
    <x v="2"/>
    <x v="11"/>
    <x v="25"/>
    <x v="0"/>
    <x v="2"/>
    <x v="9"/>
    <s v="Plastic Binding Combs"/>
    <n v="106.05"/>
    <n v="7"/>
    <n v="49.84"/>
  </r>
  <r>
    <d v="2016-01-08T00:00:00"/>
    <x v="2"/>
    <x v="11"/>
    <x v="181"/>
    <x v="12"/>
    <x v="2"/>
    <x v="9"/>
    <s v="XtraLife ClearVue Slant-D Ring Binder, White, 3&quot;"/>
    <n v="30.83"/>
    <n v="7"/>
    <n v="-24.66"/>
  </r>
  <r>
    <d v="2016-01-08T00:00:00"/>
    <x v="2"/>
    <x v="11"/>
    <x v="181"/>
    <x v="12"/>
    <x v="2"/>
    <x v="11"/>
    <s v="Newell 319"/>
    <n v="47.62"/>
    <n v="3"/>
    <n v="5.95"/>
  </r>
  <r>
    <d v="2016-01-08T00:00:00"/>
    <x v="2"/>
    <x v="11"/>
    <x v="181"/>
    <x v="12"/>
    <x v="0"/>
    <x v="2"/>
    <s v="Avaya 5410 Digital phone"/>
    <n v="108.78"/>
    <n v="2"/>
    <n v="10.88"/>
  </r>
  <r>
    <d v="2016-02-08T00:00:00"/>
    <x v="2"/>
    <x v="0"/>
    <x v="603"/>
    <x v="12"/>
    <x v="0"/>
    <x v="2"/>
    <s v="Samsung Galaxy S4 Mini"/>
    <n v="1127.98"/>
    <n v="3"/>
    <n v="126.9"/>
  </r>
  <r>
    <d v="2016-02-08T00:00:00"/>
    <x v="2"/>
    <x v="0"/>
    <x v="101"/>
    <x v="4"/>
    <x v="1"/>
    <x v="1"/>
    <s v="Harbour Creations Steel Folding Chair"/>
    <n v="241.5"/>
    <n v="4"/>
    <n v="0"/>
  </r>
  <r>
    <d v="2016-03-08T00:00:00"/>
    <x v="2"/>
    <x v="1"/>
    <x v="604"/>
    <x v="11"/>
    <x v="0"/>
    <x v="2"/>
    <s v="Cisco Unified IP Phone 7945G VoIP phone"/>
    <n v="1363.96"/>
    <n v="5"/>
    <n v="85.25"/>
  </r>
  <r>
    <d v="2016-03-08T00:00:00"/>
    <x v="2"/>
    <x v="1"/>
    <x v="604"/>
    <x v="11"/>
    <x v="1"/>
    <x v="5"/>
    <s v="Deflect-o DuraMat Lighweight, Studded, Beveled Mat for Low Pile Carpeting"/>
    <n v="102.36"/>
    <n v="3"/>
    <n v="-3.84"/>
  </r>
  <r>
    <d v="2016-03-08T00:00:00"/>
    <x v="2"/>
    <x v="1"/>
    <x v="233"/>
    <x v="23"/>
    <x v="2"/>
    <x v="9"/>
    <s v="GBC Standard Recycled Report Covers, Clear Plastic Sheets"/>
    <n v="9.6999999999999993"/>
    <n v="3"/>
    <n v="-7.11"/>
  </r>
  <r>
    <d v="2016-03-08T00:00:00"/>
    <x v="2"/>
    <x v="1"/>
    <x v="525"/>
    <x v="13"/>
    <x v="0"/>
    <x v="2"/>
    <s v="AT&amp;T 17929 Lendline Telephone"/>
    <n v="108.58"/>
    <n v="4"/>
    <n v="-25.33"/>
  </r>
  <r>
    <d v="2016-03-08T00:00:00"/>
    <x v="2"/>
    <x v="1"/>
    <x v="525"/>
    <x v="13"/>
    <x v="2"/>
    <x v="4"/>
    <s v="Rubber Band Ball"/>
    <n v="5.98"/>
    <n v="2"/>
    <n v="-1.35"/>
  </r>
  <r>
    <d v="2016-03-08T00:00:00"/>
    <x v="2"/>
    <x v="1"/>
    <x v="506"/>
    <x v="2"/>
    <x v="1"/>
    <x v="5"/>
    <s v="Coloredge Poster Frame"/>
    <n v="113.6"/>
    <n v="8"/>
    <n v="44.3"/>
  </r>
  <r>
    <d v="2016-03-08T00:00:00"/>
    <x v="2"/>
    <x v="1"/>
    <x v="506"/>
    <x v="2"/>
    <x v="2"/>
    <x v="3"/>
    <s v="Xerox 1993"/>
    <n v="12.96"/>
    <n v="2"/>
    <n v="6.35"/>
  </r>
  <r>
    <d v="2016-03-08T00:00:00"/>
    <x v="2"/>
    <x v="1"/>
    <x v="506"/>
    <x v="2"/>
    <x v="2"/>
    <x v="9"/>
    <s v="Satellite Sectional Post Binders"/>
    <n v="69.459999999999994"/>
    <n v="2"/>
    <n v="22.57"/>
  </r>
  <r>
    <d v="2016-03-08T00:00:00"/>
    <x v="2"/>
    <x v="1"/>
    <x v="605"/>
    <x v="4"/>
    <x v="2"/>
    <x v="9"/>
    <s v="Pressboard Hanging Data Binders for Unburst Sheets"/>
    <n v="8.86"/>
    <n v="9"/>
    <n v="-14.17"/>
  </r>
  <r>
    <d v="2016-03-08T00:00:00"/>
    <x v="2"/>
    <x v="1"/>
    <x v="605"/>
    <x v="4"/>
    <x v="0"/>
    <x v="0"/>
    <s v="Verbatim 25 GB 6x Blu-ray Single Layer Recordable Disc, 3/Pack"/>
    <n v="27.96"/>
    <n v="5"/>
    <n v="8.39"/>
  </r>
  <r>
    <d v="2016-03-08T00:00:00"/>
    <x v="2"/>
    <x v="1"/>
    <x v="605"/>
    <x v="4"/>
    <x v="2"/>
    <x v="13"/>
    <s v="Tyvek Interoffice Envelopes, 9 1/2&quot; x 12 1/2&quot;, 100/Box"/>
    <n v="146.35"/>
    <n v="3"/>
    <n v="49.39"/>
  </r>
  <r>
    <d v="2016-03-08T00:00:00"/>
    <x v="2"/>
    <x v="1"/>
    <x v="95"/>
    <x v="10"/>
    <x v="2"/>
    <x v="10"/>
    <s v="Honeywell Enviracaire Portable Air Cleaner for up to 8 x 10 Room"/>
    <n v="207.14"/>
    <n v="3"/>
    <n v="48.33"/>
  </r>
  <r>
    <d v="2016-03-08T00:00:00"/>
    <x v="2"/>
    <x v="1"/>
    <x v="95"/>
    <x v="10"/>
    <x v="2"/>
    <x v="11"/>
    <s v="Prang Drawing Pencil Set"/>
    <n v="13.9"/>
    <n v="5"/>
    <n v="3.75"/>
  </r>
  <r>
    <d v="2016-04-08T00:00:00"/>
    <x v="2"/>
    <x v="2"/>
    <x v="606"/>
    <x v="2"/>
    <x v="1"/>
    <x v="16"/>
    <s v="Sauder Barrister Bookcases"/>
    <n v="388.7"/>
    <n v="6"/>
    <n v="-4.8600000000000003"/>
  </r>
  <r>
    <d v="2016-04-08T00:00:00"/>
    <x v="2"/>
    <x v="2"/>
    <x v="606"/>
    <x v="2"/>
    <x v="2"/>
    <x v="13"/>
    <s v="#10 Gummed Flap White Envelopes, 100/Box"/>
    <n v="8.26"/>
    <n v="2"/>
    <n v="3.8"/>
  </r>
  <r>
    <d v="2016-04-08T00:00:00"/>
    <x v="2"/>
    <x v="2"/>
    <x v="606"/>
    <x v="2"/>
    <x v="2"/>
    <x v="11"/>
    <s v="Dixon Prang Watercolor Pencils, 10-Color Set with Brush"/>
    <n v="17.04"/>
    <n v="4"/>
    <n v="6.99"/>
  </r>
  <r>
    <d v="2016-04-08T00:00:00"/>
    <x v="2"/>
    <x v="2"/>
    <x v="606"/>
    <x v="2"/>
    <x v="2"/>
    <x v="3"/>
    <s v="Adams Phone Message Book, 200 Message Capacity, 8 1/16Â” x 11Â”"/>
    <n v="34.4"/>
    <n v="5"/>
    <n v="15.82"/>
  </r>
  <r>
    <d v="2016-04-08T00:00:00"/>
    <x v="2"/>
    <x v="2"/>
    <x v="246"/>
    <x v="5"/>
    <x v="2"/>
    <x v="3"/>
    <s v="Xerox 1923"/>
    <n v="20.04"/>
    <n v="3"/>
    <n v="9.6199999999999992"/>
  </r>
  <r>
    <d v="2016-04-08T00:00:00"/>
    <x v="2"/>
    <x v="2"/>
    <x v="246"/>
    <x v="5"/>
    <x v="2"/>
    <x v="6"/>
    <s v="Fellowes Neat Ideas Storage Cubes"/>
    <n v="64.959999999999994"/>
    <n v="2"/>
    <n v="2.6"/>
  </r>
  <r>
    <d v="2016-04-08T00:00:00"/>
    <x v="2"/>
    <x v="2"/>
    <x v="246"/>
    <x v="5"/>
    <x v="2"/>
    <x v="3"/>
    <s v="Xerox 1931"/>
    <n v="12.96"/>
    <n v="2"/>
    <n v="6.22"/>
  </r>
  <r>
    <d v="2016-04-08T00:00:00"/>
    <x v="2"/>
    <x v="2"/>
    <x v="604"/>
    <x v="4"/>
    <x v="0"/>
    <x v="0"/>
    <s v="Kensington Orbit Wireless Mobile Trackball for PC and Mac"/>
    <n v="431.93"/>
    <n v="9"/>
    <n v="64.790000000000006"/>
  </r>
  <r>
    <d v="2016-04-08T00:00:00"/>
    <x v="2"/>
    <x v="2"/>
    <x v="604"/>
    <x v="4"/>
    <x v="1"/>
    <x v="1"/>
    <s v="Global Chrome Stack Chair"/>
    <n v="95.98"/>
    <n v="4"/>
    <n v="-4.1100000000000003"/>
  </r>
  <r>
    <d v="2016-04-08T00:00:00"/>
    <x v="2"/>
    <x v="2"/>
    <x v="604"/>
    <x v="4"/>
    <x v="2"/>
    <x v="9"/>
    <s v="GBC DocuBind P400 Electric Binding System"/>
    <n v="1088.79"/>
    <n v="4"/>
    <n v="-1850.95"/>
  </r>
  <r>
    <d v="2016-04-08T00:00:00"/>
    <x v="2"/>
    <x v="2"/>
    <x v="477"/>
    <x v="18"/>
    <x v="2"/>
    <x v="13"/>
    <s v="#10 Self-Seal White Envelopes"/>
    <n v="8.8699999999999992"/>
    <n v="1"/>
    <n v="3.22"/>
  </r>
  <r>
    <d v="2016-04-08T00:00:00"/>
    <x v="2"/>
    <x v="2"/>
    <x v="477"/>
    <x v="18"/>
    <x v="2"/>
    <x v="9"/>
    <s v="Catalog Binders with Expanding Posts"/>
    <n v="121.1"/>
    <n v="6"/>
    <n v="-100.92"/>
  </r>
  <r>
    <d v="2016-04-08T00:00:00"/>
    <x v="2"/>
    <x v="2"/>
    <x v="492"/>
    <x v="5"/>
    <x v="1"/>
    <x v="5"/>
    <s v="C-Line Magnetic Cubicle Keepers, Clear Polypropylene"/>
    <n v="24.7"/>
    <n v="5"/>
    <n v="10.37"/>
  </r>
  <r>
    <d v="2016-04-08T00:00:00"/>
    <x v="2"/>
    <x v="2"/>
    <x v="233"/>
    <x v="19"/>
    <x v="2"/>
    <x v="13"/>
    <s v="Ampad #10 Peel &amp; Seel Holiday Envelopes"/>
    <n v="17.920000000000002"/>
    <n v="4"/>
    <n v="8.6"/>
  </r>
  <r>
    <d v="2016-04-08T00:00:00"/>
    <x v="2"/>
    <x v="2"/>
    <x v="276"/>
    <x v="19"/>
    <x v="1"/>
    <x v="16"/>
    <s v="Hon Metal Bookcases, Black"/>
    <n v="354.9"/>
    <n v="5"/>
    <n v="88.73"/>
  </r>
  <r>
    <d v="2016-04-08T00:00:00"/>
    <x v="2"/>
    <x v="2"/>
    <x v="45"/>
    <x v="9"/>
    <x v="2"/>
    <x v="4"/>
    <s v="Advantus Plastic Paper Clips"/>
    <n v="30"/>
    <n v="6"/>
    <n v="14.4"/>
  </r>
  <r>
    <d v="2016-04-08T00:00:00"/>
    <x v="2"/>
    <x v="2"/>
    <x v="45"/>
    <x v="9"/>
    <x v="2"/>
    <x v="3"/>
    <s v="Xerox 1993"/>
    <n v="25.92"/>
    <n v="4"/>
    <n v="12.7"/>
  </r>
  <r>
    <d v="2016-04-08T00:00:00"/>
    <x v="2"/>
    <x v="2"/>
    <x v="45"/>
    <x v="9"/>
    <x v="1"/>
    <x v="5"/>
    <s v="Eldon Radial Chair Mat for Low to Medium Pile Carpets"/>
    <n v="159.91999999999999"/>
    <n v="4"/>
    <n v="31.98"/>
  </r>
  <r>
    <d v="2016-05-08T00:00:00"/>
    <x v="2"/>
    <x v="10"/>
    <x v="408"/>
    <x v="37"/>
    <x v="1"/>
    <x v="5"/>
    <s v="Tenex 46&quot; x 60&quot; Computer Anti-Static Chairmat, Rectangular Shaped"/>
    <n v="211.96"/>
    <n v="2"/>
    <n v="42.39"/>
  </r>
  <r>
    <d v="2016-05-08T00:00:00"/>
    <x v="2"/>
    <x v="10"/>
    <x v="50"/>
    <x v="18"/>
    <x v="2"/>
    <x v="6"/>
    <s v="Smead Adjustable Mobile File Trolley with Lockable Top"/>
    <n v="1006.06"/>
    <n v="3"/>
    <n v="88.03"/>
  </r>
  <r>
    <d v="2016-05-08T00:00:00"/>
    <x v="2"/>
    <x v="10"/>
    <x v="50"/>
    <x v="18"/>
    <x v="2"/>
    <x v="3"/>
    <s v="Xerox 1898"/>
    <n v="10.69"/>
    <n v="2"/>
    <n v="3.74"/>
  </r>
  <r>
    <d v="2016-05-08T00:00:00"/>
    <x v="2"/>
    <x v="10"/>
    <x v="50"/>
    <x v="18"/>
    <x v="2"/>
    <x v="3"/>
    <s v="Xerox 222"/>
    <n v="10.37"/>
    <n v="2"/>
    <n v="3.63"/>
  </r>
  <r>
    <d v="2016-05-08T00:00:00"/>
    <x v="2"/>
    <x v="10"/>
    <x v="50"/>
    <x v="18"/>
    <x v="2"/>
    <x v="6"/>
    <s v="Hanging Personal Folder File"/>
    <n v="25.12"/>
    <n v="2"/>
    <n v="1.57"/>
  </r>
  <r>
    <d v="2016-05-08T00:00:00"/>
    <x v="2"/>
    <x v="10"/>
    <x v="50"/>
    <x v="18"/>
    <x v="0"/>
    <x v="0"/>
    <s v="SanDisk Cruzer 64 GB USB Flash Drive"/>
    <n v="58.11"/>
    <n v="2"/>
    <n v="7.26"/>
  </r>
  <r>
    <d v="2016-05-08T00:00:00"/>
    <x v="2"/>
    <x v="10"/>
    <x v="173"/>
    <x v="5"/>
    <x v="2"/>
    <x v="3"/>
    <s v="Xerox 1920"/>
    <n v="17.940000000000001"/>
    <n v="3"/>
    <n v="8.07"/>
  </r>
  <r>
    <d v="2016-07-08T00:00:00"/>
    <x v="2"/>
    <x v="4"/>
    <x v="587"/>
    <x v="4"/>
    <x v="0"/>
    <x v="2"/>
    <s v="Cisco SPA 502G IP Phone"/>
    <n v="863.64"/>
    <n v="9"/>
    <n v="107.96"/>
  </r>
  <r>
    <d v="2016-07-08T00:00:00"/>
    <x v="2"/>
    <x v="4"/>
    <x v="587"/>
    <x v="4"/>
    <x v="2"/>
    <x v="11"/>
    <s v="Newell 345"/>
    <n v="47.62"/>
    <n v="3"/>
    <n v="3.57"/>
  </r>
  <r>
    <d v="2016-07-08T00:00:00"/>
    <x v="2"/>
    <x v="4"/>
    <x v="536"/>
    <x v="15"/>
    <x v="2"/>
    <x v="9"/>
    <s v="GBC Twin Loop Wire Binding Elements"/>
    <n v="19.97"/>
    <n v="2"/>
    <n v="-13.31"/>
  </r>
  <r>
    <d v="2016-07-08T00:00:00"/>
    <x v="2"/>
    <x v="4"/>
    <x v="536"/>
    <x v="15"/>
    <x v="2"/>
    <x v="6"/>
    <s v="Perma STOR-ALL Hanging File Box, 13 1/8&quot;W x 12 1/4&quot;D x 10 1/2&quot;H"/>
    <n v="33.49"/>
    <n v="7"/>
    <n v="-1.26"/>
  </r>
  <r>
    <d v="2016-07-08T00:00:00"/>
    <x v="2"/>
    <x v="4"/>
    <x v="536"/>
    <x v="15"/>
    <x v="2"/>
    <x v="9"/>
    <s v="Wilson Jones Active Use Binders"/>
    <n v="8.74"/>
    <n v="4"/>
    <n v="-6.12"/>
  </r>
  <r>
    <d v="2016-07-08T00:00:00"/>
    <x v="2"/>
    <x v="4"/>
    <x v="536"/>
    <x v="15"/>
    <x v="1"/>
    <x v="1"/>
    <s v="SAFCO Arco Folding Chair"/>
    <n v="662.88"/>
    <n v="3"/>
    <n v="74.569999999999993"/>
  </r>
  <r>
    <d v="2016-07-08T00:00:00"/>
    <x v="2"/>
    <x v="4"/>
    <x v="116"/>
    <x v="1"/>
    <x v="0"/>
    <x v="2"/>
    <s v="Logitech Mobile Speakerphone P710e -Â speaker phone"/>
    <n v="107.98"/>
    <n v="1"/>
    <n v="9.4499999999999993"/>
  </r>
  <r>
    <d v="2016-07-08T00:00:00"/>
    <x v="2"/>
    <x v="4"/>
    <x v="116"/>
    <x v="1"/>
    <x v="2"/>
    <x v="9"/>
    <s v="Fellowes Twister Kit, Gray/Clear, 3/pkg"/>
    <n v="19.3"/>
    <n v="3"/>
    <n v="6.03"/>
  </r>
  <r>
    <d v="2016-07-08T00:00:00"/>
    <x v="2"/>
    <x v="4"/>
    <x v="546"/>
    <x v="11"/>
    <x v="0"/>
    <x v="2"/>
    <s v="Jabra SPEAK 410 Multidevice Speakerphone"/>
    <n v="823.96"/>
    <n v="5"/>
    <n v="51.5"/>
  </r>
  <r>
    <d v="2016-07-08T00:00:00"/>
    <x v="2"/>
    <x v="4"/>
    <x v="546"/>
    <x v="11"/>
    <x v="2"/>
    <x v="3"/>
    <s v="Xerox 1921"/>
    <n v="15.98"/>
    <n v="2"/>
    <n v="5"/>
  </r>
  <r>
    <d v="2016-07-08T00:00:00"/>
    <x v="2"/>
    <x v="4"/>
    <x v="607"/>
    <x v="40"/>
    <x v="2"/>
    <x v="3"/>
    <s v="Xerox 213"/>
    <n v="12.96"/>
    <n v="2"/>
    <n v="6.22"/>
  </r>
  <r>
    <d v="2016-08-08T00:00:00"/>
    <x v="2"/>
    <x v="5"/>
    <x v="286"/>
    <x v="4"/>
    <x v="2"/>
    <x v="4"/>
    <s v="OIC Bulk Pack Metal Binder Clips"/>
    <n v="11.17"/>
    <n v="4"/>
    <n v="3.63"/>
  </r>
  <r>
    <d v="2016-08-08T00:00:00"/>
    <x v="2"/>
    <x v="5"/>
    <x v="286"/>
    <x v="4"/>
    <x v="2"/>
    <x v="3"/>
    <s v="Ink Jet Note and Greeting Cards, 8-1/2&quot; x 5-1/2&quot; Card Size"/>
    <n v="53.95"/>
    <n v="3"/>
    <n v="17.53"/>
  </r>
  <r>
    <d v="2016-08-08T00:00:00"/>
    <x v="2"/>
    <x v="5"/>
    <x v="371"/>
    <x v="32"/>
    <x v="2"/>
    <x v="4"/>
    <s v="Alliance Super-Size Bands, Assorted Sizes"/>
    <n v="23.34"/>
    <n v="3"/>
    <n v="0.23"/>
  </r>
  <r>
    <d v="2016-08-08T00:00:00"/>
    <x v="2"/>
    <x v="5"/>
    <x v="405"/>
    <x v="5"/>
    <x v="1"/>
    <x v="7"/>
    <s v="Chromcraft 48&quot; x 96&quot; Racetrack Double Pedestal Table"/>
    <n v="513.02"/>
    <n v="2"/>
    <n v="12.83"/>
  </r>
  <r>
    <d v="2016-08-08T00:00:00"/>
    <x v="2"/>
    <x v="5"/>
    <x v="405"/>
    <x v="5"/>
    <x v="2"/>
    <x v="10"/>
    <s v="Kensington 4 Outlet MasterPiece Compact Power Control Center"/>
    <n v="487.92"/>
    <n v="6"/>
    <n v="136.62"/>
  </r>
  <r>
    <d v="2016-08-08T00:00:00"/>
    <x v="2"/>
    <x v="5"/>
    <x v="405"/>
    <x v="5"/>
    <x v="2"/>
    <x v="9"/>
    <s v="Acco Hanging Data Binders"/>
    <n v="15.24"/>
    <n v="5"/>
    <n v="5.33"/>
  </r>
  <r>
    <d v="2016-08-08T00:00:00"/>
    <x v="2"/>
    <x v="5"/>
    <x v="437"/>
    <x v="28"/>
    <x v="2"/>
    <x v="3"/>
    <s v="Xerox 1954"/>
    <n v="10.56"/>
    <n v="2"/>
    <n v="4.75"/>
  </r>
  <r>
    <d v="2016-09-08T00:00:00"/>
    <x v="2"/>
    <x v="6"/>
    <x v="431"/>
    <x v="4"/>
    <x v="2"/>
    <x v="6"/>
    <s v="Super Decoflex Portable Personal File"/>
    <n v="35.950000000000003"/>
    <n v="3"/>
    <n v="3.6"/>
  </r>
  <r>
    <d v="2016-09-08T00:00:00"/>
    <x v="2"/>
    <x v="6"/>
    <x v="431"/>
    <x v="4"/>
    <x v="1"/>
    <x v="16"/>
    <s v="Riverside Palais Royal Lawyers Bookcase, Royale Cherry Finish"/>
    <n v="2396.27"/>
    <n v="4"/>
    <n v="-317.14999999999998"/>
  </r>
  <r>
    <d v="2016-09-08T00:00:00"/>
    <x v="2"/>
    <x v="6"/>
    <x v="431"/>
    <x v="4"/>
    <x v="2"/>
    <x v="6"/>
    <s v="Contico 72&quot;H Heavy-Duty Storage System"/>
    <n v="131.13999999999999"/>
    <n v="4"/>
    <n v="-32.78"/>
  </r>
  <r>
    <d v="2016-09-08T00:00:00"/>
    <x v="2"/>
    <x v="6"/>
    <x v="431"/>
    <x v="4"/>
    <x v="0"/>
    <x v="0"/>
    <s v="Sony 64GB Class 10 Micro SDHC R40 Memory Card"/>
    <n v="57.58"/>
    <n v="2"/>
    <n v="0.72"/>
  </r>
  <r>
    <d v="2016-09-08T00:00:00"/>
    <x v="2"/>
    <x v="6"/>
    <x v="188"/>
    <x v="5"/>
    <x v="2"/>
    <x v="9"/>
    <s v="Square Ring Data Binders, Rigid 75 Pt. Covers, 11&quot; x 14-7/8&quot;"/>
    <n v="33.020000000000003"/>
    <n v="2"/>
    <n v="11.56"/>
  </r>
  <r>
    <d v="2016-09-08T00:00:00"/>
    <x v="2"/>
    <x v="6"/>
    <x v="188"/>
    <x v="5"/>
    <x v="2"/>
    <x v="9"/>
    <s v="Premium Transparent Presentation Covers by GBC"/>
    <n v="67.14"/>
    <n v="4"/>
    <n v="23.5"/>
  </r>
  <r>
    <d v="2016-09-08T00:00:00"/>
    <x v="2"/>
    <x v="6"/>
    <x v="72"/>
    <x v="6"/>
    <x v="1"/>
    <x v="16"/>
    <s v="Bush Westfield Collection Bookcases, Dark Cherry Finish"/>
    <n v="173.94"/>
    <n v="3"/>
    <n v="13.92"/>
  </r>
  <r>
    <d v="2016-09-08T00:00:00"/>
    <x v="2"/>
    <x v="6"/>
    <x v="72"/>
    <x v="6"/>
    <x v="2"/>
    <x v="8"/>
    <s v="Avery 52"/>
    <n v="14.76"/>
    <n v="4"/>
    <n v="6.94"/>
  </r>
  <r>
    <d v="2016-09-08T00:00:00"/>
    <x v="2"/>
    <x v="6"/>
    <x v="272"/>
    <x v="3"/>
    <x v="1"/>
    <x v="5"/>
    <s v="Executive Impressions 12&quot; Wall Clock"/>
    <n v="14.14"/>
    <n v="2"/>
    <n v="-7.77"/>
  </r>
  <r>
    <d v="2016-09-08T00:00:00"/>
    <x v="2"/>
    <x v="6"/>
    <x v="272"/>
    <x v="3"/>
    <x v="1"/>
    <x v="7"/>
    <s v="Bretford CR8500 Series Meeting Room Furniture"/>
    <n v="601.47"/>
    <n v="3"/>
    <n v="-300.74"/>
  </r>
  <r>
    <d v="2016-09-08T00:00:00"/>
    <x v="2"/>
    <x v="6"/>
    <x v="608"/>
    <x v="2"/>
    <x v="2"/>
    <x v="10"/>
    <s v="Kensington 7 Outlet MasterPiece Power Center with Fax/Phone Line Protection"/>
    <n v="207.48"/>
    <n v="1"/>
    <n v="62.24"/>
  </r>
  <r>
    <d v="2016-09-08T00:00:00"/>
    <x v="2"/>
    <x v="6"/>
    <x v="105"/>
    <x v="4"/>
    <x v="2"/>
    <x v="11"/>
    <s v="Boston 1645 Deluxe Heavier-Duty Electric Pencil Sharpener"/>
    <n v="70.37"/>
    <n v="2"/>
    <n v="6.16"/>
  </r>
  <r>
    <d v="2016-09-08T00:00:00"/>
    <x v="2"/>
    <x v="6"/>
    <x v="105"/>
    <x v="4"/>
    <x v="0"/>
    <x v="2"/>
    <s v="Belkin SportFit Armband For iPhone 5s/5c, Fuchsia"/>
    <n v="59.96"/>
    <n v="5"/>
    <n v="21.74"/>
  </r>
  <r>
    <d v="2016-09-08T00:00:00"/>
    <x v="2"/>
    <x v="6"/>
    <x v="609"/>
    <x v="12"/>
    <x v="0"/>
    <x v="0"/>
    <s v="Memorex Froggy Flash Drive 4 GB"/>
    <n v="35.17"/>
    <n v="4"/>
    <n v="8.35"/>
  </r>
  <r>
    <d v="2016-09-08T00:00:00"/>
    <x v="2"/>
    <x v="6"/>
    <x v="609"/>
    <x v="12"/>
    <x v="2"/>
    <x v="3"/>
    <s v="Petty Cash Envelope"/>
    <n v="64.7"/>
    <n v="3"/>
    <n v="23.46"/>
  </r>
  <r>
    <d v="2016-09-08T00:00:00"/>
    <x v="2"/>
    <x v="6"/>
    <x v="187"/>
    <x v="5"/>
    <x v="1"/>
    <x v="7"/>
    <s v="Lesro Round Back Collection Coffee Table, End Table"/>
    <n v="146.04"/>
    <n v="1"/>
    <n v="-12.78"/>
  </r>
  <r>
    <d v="2016-09-08T00:00:00"/>
    <x v="2"/>
    <x v="6"/>
    <x v="31"/>
    <x v="1"/>
    <x v="1"/>
    <x v="5"/>
    <s v="Howard Miller 11-1/2&quot; Diameter Grantwood Wall Clock"/>
    <n v="43.13"/>
    <n v="1"/>
    <n v="14.66"/>
  </r>
  <r>
    <d v="2016-09-08T00:00:00"/>
    <x v="2"/>
    <x v="6"/>
    <x v="31"/>
    <x v="1"/>
    <x v="2"/>
    <x v="3"/>
    <s v="Ampad Gold Fibre Wirebound Steno Books, 6&quot; x 9&quot;, Gregg Ruled"/>
    <n v="30.87"/>
    <n v="7"/>
    <n v="14.2"/>
  </r>
  <r>
    <d v="2016-09-08T00:00:00"/>
    <x v="2"/>
    <x v="6"/>
    <x v="539"/>
    <x v="5"/>
    <x v="2"/>
    <x v="11"/>
    <s v="Eberhard Faber 3 1/2&quot; Golf Pencils"/>
    <n v="14.88"/>
    <n v="2"/>
    <n v="3.72"/>
  </r>
  <r>
    <d v="2016-09-08T00:00:00"/>
    <x v="2"/>
    <x v="6"/>
    <x v="539"/>
    <x v="5"/>
    <x v="2"/>
    <x v="3"/>
    <s v="Xerox 1900"/>
    <n v="34.24"/>
    <n v="8"/>
    <n v="15.41"/>
  </r>
  <r>
    <d v="2016-09-08T00:00:00"/>
    <x v="2"/>
    <x v="6"/>
    <x v="539"/>
    <x v="5"/>
    <x v="2"/>
    <x v="6"/>
    <s v="Mini 13-1/2 Capacity Data Binder Rack, Pearl"/>
    <n v="261.74"/>
    <n v="2"/>
    <n v="65.44"/>
  </r>
  <r>
    <d v="2016-10-08T00:00:00"/>
    <x v="2"/>
    <x v="7"/>
    <x v="610"/>
    <x v="4"/>
    <x v="1"/>
    <x v="5"/>
    <s v="Contemporary Wood/Metal Frame"/>
    <n v="51.71"/>
    <n v="8"/>
    <n v="-32.32"/>
  </r>
  <r>
    <d v="2016-10-08T00:00:00"/>
    <x v="2"/>
    <x v="7"/>
    <x v="527"/>
    <x v="5"/>
    <x v="2"/>
    <x v="3"/>
    <s v="Xerox 1925"/>
    <n v="61.96"/>
    <n v="2"/>
    <n v="27.88"/>
  </r>
  <r>
    <d v="2016-10-08T00:00:00"/>
    <x v="2"/>
    <x v="7"/>
    <x v="611"/>
    <x v="4"/>
    <x v="2"/>
    <x v="8"/>
    <s v="Avery 50"/>
    <n v="60.14"/>
    <n v="6"/>
    <n v="20.3"/>
  </r>
  <r>
    <d v="2016-10-08T00:00:00"/>
    <x v="2"/>
    <x v="7"/>
    <x v="324"/>
    <x v="12"/>
    <x v="2"/>
    <x v="6"/>
    <s v="Fellowes Econo/Stor Drawers"/>
    <n v="387.72"/>
    <n v="5"/>
    <n v="-67.849999999999994"/>
  </r>
  <r>
    <d v="2016-11-08T00:00:00"/>
    <x v="2"/>
    <x v="8"/>
    <x v="612"/>
    <x v="17"/>
    <x v="1"/>
    <x v="16"/>
    <s v="Bush Somerset Collection Bookcase"/>
    <n v="261.95999999999998"/>
    <n v="2"/>
    <n v="41.91"/>
  </r>
  <r>
    <d v="2016-11-08T00:00:00"/>
    <x v="2"/>
    <x v="8"/>
    <x v="612"/>
    <x v="17"/>
    <x v="1"/>
    <x v="1"/>
    <s v="Hon Deluxe Fabric Upholstered Stacking Chairs, Rounded Back"/>
    <n v="731.94"/>
    <n v="3"/>
    <n v="219.58"/>
  </r>
  <r>
    <d v="2016-12-08T00:00:00"/>
    <x v="2"/>
    <x v="9"/>
    <x v="453"/>
    <x v="4"/>
    <x v="0"/>
    <x v="2"/>
    <s v="GE 30524EE4"/>
    <n v="1097.54"/>
    <n v="7"/>
    <n v="123.47"/>
  </r>
  <r>
    <d v="2016-12-08T00:00:00"/>
    <x v="2"/>
    <x v="9"/>
    <x v="453"/>
    <x v="4"/>
    <x v="1"/>
    <x v="5"/>
    <s v="Electrix Architect's Clamp-On Swing Arm Lamp, Black"/>
    <n v="190.92"/>
    <n v="5"/>
    <n v="-147.96"/>
  </r>
  <r>
    <d v="2016-12-08T00:00:00"/>
    <x v="2"/>
    <x v="9"/>
    <x v="11"/>
    <x v="7"/>
    <x v="0"/>
    <x v="2"/>
    <s v="Motorola HK250 Universal Bluetooth Headset"/>
    <n v="114.95"/>
    <n v="5"/>
    <n v="2.2999999999999998"/>
  </r>
  <r>
    <d v="2016-12-08T00:00:00"/>
    <x v="2"/>
    <x v="9"/>
    <x v="383"/>
    <x v="18"/>
    <x v="2"/>
    <x v="9"/>
    <s v="Universal Recycled Hanging Pressboard Report Binders, Letter Size"/>
    <n v="12.96"/>
    <n v="7"/>
    <n v="-9.5"/>
  </r>
  <r>
    <d v="2016-12-08T00:00:00"/>
    <x v="2"/>
    <x v="9"/>
    <x v="221"/>
    <x v="5"/>
    <x v="2"/>
    <x v="11"/>
    <s v="Newell 341"/>
    <n v="8.56"/>
    <n v="2"/>
    <n v="2.48"/>
  </r>
  <r>
    <d v="2016-12-08T00:00:00"/>
    <x v="2"/>
    <x v="9"/>
    <x v="221"/>
    <x v="5"/>
    <x v="2"/>
    <x v="3"/>
    <s v="Xerox 204"/>
    <n v="45.36"/>
    <n v="7"/>
    <n v="21.77"/>
  </r>
  <r>
    <d v="2016-12-08T00:00:00"/>
    <x v="2"/>
    <x v="9"/>
    <x v="221"/>
    <x v="5"/>
    <x v="1"/>
    <x v="7"/>
    <s v="Hon 94000 Series Round Tables"/>
    <n v="1421.66"/>
    <n v="6"/>
    <n v="-195.48"/>
  </r>
  <r>
    <d v="2016-12-08T00:00:00"/>
    <x v="2"/>
    <x v="9"/>
    <x v="324"/>
    <x v="5"/>
    <x v="2"/>
    <x v="6"/>
    <s v="SimpliFile Personal File, Black Granite, 15w x 6-15/16d x 11-1/4h"/>
    <n v="34.049999999999997"/>
    <n v="3"/>
    <n v="9.5299999999999994"/>
  </r>
  <r>
    <d v="2016-12-08T00:00:00"/>
    <x v="2"/>
    <x v="9"/>
    <x v="324"/>
    <x v="5"/>
    <x v="2"/>
    <x v="6"/>
    <s v="Fellowes High-Stak Drawer Files"/>
    <n v="352.38"/>
    <n v="2"/>
    <n v="81.05"/>
  </r>
  <r>
    <d v="2016-12-08T00:00:00"/>
    <x v="2"/>
    <x v="9"/>
    <x v="19"/>
    <x v="12"/>
    <x v="0"/>
    <x v="2"/>
    <s v="Cisco SPA301"/>
    <n v="249.58"/>
    <n v="2"/>
    <n v="31.2"/>
  </r>
  <r>
    <d v="2016-12-08T00:00:00"/>
    <x v="2"/>
    <x v="9"/>
    <x v="19"/>
    <x v="12"/>
    <x v="0"/>
    <x v="0"/>
    <s v="Maxell 4.7GB DVD-R"/>
    <n v="68.11"/>
    <n v="3"/>
    <n v="17.88"/>
  </r>
  <r>
    <d v="2016-12-08T00:00:00"/>
    <x v="2"/>
    <x v="9"/>
    <x v="19"/>
    <x v="12"/>
    <x v="0"/>
    <x v="0"/>
    <s v="ImationÂ 30456 USBÂ Flash DriveÂ 8GB"/>
    <n v="16.559999999999999"/>
    <n v="3"/>
    <n v="-2.48"/>
  </r>
  <r>
    <d v="2016-12-08T00:00:00"/>
    <x v="2"/>
    <x v="9"/>
    <x v="365"/>
    <x v="18"/>
    <x v="2"/>
    <x v="3"/>
    <s v="Ampad Gold Fibre Wirebound Steno Books, 6&quot; x 9&quot;, Gregg Ruled"/>
    <n v="10.58"/>
    <n v="3"/>
    <n v="3.44"/>
  </r>
  <r>
    <d v="2016-12-08T00:00:00"/>
    <x v="2"/>
    <x v="9"/>
    <x v="404"/>
    <x v="0"/>
    <x v="1"/>
    <x v="16"/>
    <s v="Bush Westfield Collection Bookcases, Dark Cherry Finish"/>
    <n v="405.86"/>
    <n v="7"/>
    <n v="32.47"/>
  </r>
  <r>
    <d v="2016-12-08T00:00:00"/>
    <x v="2"/>
    <x v="9"/>
    <x v="404"/>
    <x v="0"/>
    <x v="1"/>
    <x v="1"/>
    <s v="Hon GuestStacker Chair"/>
    <n v="680.01"/>
    <n v="3"/>
    <n v="176.8"/>
  </r>
  <r>
    <d v="2016-01-09T00:00:00"/>
    <x v="2"/>
    <x v="11"/>
    <x v="280"/>
    <x v="5"/>
    <x v="0"/>
    <x v="0"/>
    <s v="Logitech G500s Laser Gaming Mouse with Adjustable Weight Tuning"/>
    <n v="349.95"/>
    <n v="5"/>
    <n v="118.98"/>
  </r>
  <r>
    <d v="2016-01-09T00:00:00"/>
    <x v="2"/>
    <x v="11"/>
    <x v="280"/>
    <x v="5"/>
    <x v="0"/>
    <x v="2"/>
    <s v="netTALK DUO VoIP Telephone Service"/>
    <n v="377.93"/>
    <n v="9"/>
    <n v="141.72"/>
  </r>
  <r>
    <d v="2016-01-09T00:00:00"/>
    <x v="2"/>
    <x v="11"/>
    <x v="568"/>
    <x v="18"/>
    <x v="1"/>
    <x v="5"/>
    <s v="DAX Two-Tone Rosewood/Black Document Frame, Desktop, 5 x 7"/>
    <n v="15.17"/>
    <n v="2"/>
    <n v="3.79"/>
  </r>
  <r>
    <d v="2016-02-09T00:00:00"/>
    <x v="2"/>
    <x v="0"/>
    <x v="613"/>
    <x v="5"/>
    <x v="0"/>
    <x v="0"/>
    <s v="Logitech 910-002974 M325 Wireless Mouse for Web Scrolling"/>
    <n v="89.97"/>
    <n v="3"/>
    <n v="39.590000000000003"/>
  </r>
  <r>
    <d v="2016-02-09T00:00:00"/>
    <x v="2"/>
    <x v="0"/>
    <x v="613"/>
    <x v="5"/>
    <x v="0"/>
    <x v="0"/>
    <s v="Maxell 4.7GB DVD+RW 3/Pack"/>
    <n v="31.86"/>
    <n v="2"/>
    <n v="11.15"/>
  </r>
  <r>
    <d v="2016-03-09T00:00:00"/>
    <x v="2"/>
    <x v="1"/>
    <x v="195"/>
    <x v="25"/>
    <x v="0"/>
    <x v="0"/>
    <s v="Microsoft Sculpt Comfort Mouse"/>
    <n v="199.75"/>
    <n v="5"/>
    <n v="87.89"/>
  </r>
  <r>
    <d v="2016-03-09T00:00:00"/>
    <x v="2"/>
    <x v="1"/>
    <x v="614"/>
    <x v="6"/>
    <x v="2"/>
    <x v="6"/>
    <s v="Personal Folder Holder, Ebony"/>
    <n v="11.21"/>
    <n v="1"/>
    <n v="3.36"/>
  </r>
  <r>
    <d v="2016-03-09T00:00:00"/>
    <x v="2"/>
    <x v="1"/>
    <x v="614"/>
    <x v="6"/>
    <x v="1"/>
    <x v="1"/>
    <s v="Situations Contoured Folding Chairs, 4/Set"/>
    <n v="354.9"/>
    <n v="5"/>
    <n v="88.73"/>
  </r>
  <r>
    <d v="2016-03-09T00:00:00"/>
    <x v="2"/>
    <x v="1"/>
    <x v="614"/>
    <x v="6"/>
    <x v="2"/>
    <x v="3"/>
    <s v="Xerox 193"/>
    <n v="17.940000000000001"/>
    <n v="3"/>
    <n v="8.7899999999999991"/>
  </r>
  <r>
    <d v="2016-03-09T00:00:00"/>
    <x v="2"/>
    <x v="1"/>
    <x v="614"/>
    <x v="6"/>
    <x v="2"/>
    <x v="9"/>
    <s v="GBC Binding covers"/>
    <n v="51.8"/>
    <n v="4"/>
    <n v="23.31"/>
  </r>
  <r>
    <d v="2016-04-09T00:00:00"/>
    <x v="2"/>
    <x v="2"/>
    <x v="400"/>
    <x v="1"/>
    <x v="2"/>
    <x v="9"/>
    <s v="Acco Pressboard Covers with Storage Hooks, 14 7/8&quot; x 11&quot;, Light Blue"/>
    <n v="35.35"/>
    <n v="9"/>
    <n v="12.82"/>
  </r>
  <r>
    <d v="2016-04-09T00:00:00"/>
    <x v="2"/>
    <x v="2"/>
    <x v="615"/>
    <x v="10"/>
    <x v="0"/>
    <x v="2"/>
    <s v="Nortel Meridian M5316 Digital phone"/>
    <n v="517.9"/>
    <n v="2"/>
    <n v="134.65"/>
  </r>
  <r>
    <d v="2016-04-09T00:00:00"/>
    <x v="2"/>
    <x v="2"/>
    <x v="615"/>
    <x v="10"/>
    <x v="2"/>
    <x v="9"/>
    <s v="Storex Flexible Poly Binders with Double Pockets"/>
    <n v="5.28"/>
    <n v="2"/>
    <n v="2.4300000000000002"/>
  </r>
  <r>
    <d v="2016-04-09T00:00:00"/>
    <x v="2"/>
    <x v="2"/>
    <x v="518"/>
    <x v="5"/>
    <x v="1"/>
    <x v="16"/>
    <s v="Bush Somerset Collection Bookcase"/>
    <n v="556.66999999999996"/>
    <n v="5"/>
    <n v="6.55"/>
  </r>
  <r>
    <d v="2016-05-09T00:00:00"/>
    <x v="2"/>
    <x v="10"/>
    <x v="139"/>
    <x v="1"/>
    <x v="0"/>
    <x v="0"/>
    <s v="Sony Micro Vault Click 8 GB USB 2.0 Flash Drive"/>
    <n v="93.98"/>
    <n v="2"/>
    <n v="13.16"/>
  </r>
  <r>
    <d v="2016-05-09T00:00:00"/>
    <x v="2"/>
    <x v="10"/>
    <x v="486"/>
    <x v="13"/>
    <x v="2"/>
    <x v="13"/>
    <s v="Staple envelope"/>
    <n v="9.34"/>
    <n v="1"/>
    <n v="3.5"/>
  </r>
  <r>
    <d v="2016-05-09T00:00:00"/>
    <x v="2"/>
    <x v="10"/>
    <x v="486"/>
    <x v="13"/>
    <x v="2"/>
    <x v="11"/>
    <s v="Newell 319"/>
    <n v="79.36"/>
    <n v="5"/>
    <n v="9.92"/>
  </r>
  <r>
    <d v="2016-05-09T00:00:00"/>
    <x v="2"/>
    <x v="10"/>
    <x v="489"/>
    <x v="2"/>
    <x v="2"/>
    <x v="11"/>
    <s v="Sanford Pocket Accent Highlighters"/>
    <n v="8"/>
    <n v="5"/>
    <n v="3.44"/>
  </r>
  <r>
    <d v="2016-05-09T00:00:00"/>
    <x v="2"/>
    <x v="10"/>
    <x v="140"/>
    <x v="5"/>
    <x v="2"/>
    <x v="3"/>
    <s v="TOPS Money Receipt Book, Consecutively Numbered in Red,"/>
    <n v="32.04"/>
    <n v="4"/>
    <n v="14.42"/>
  </r>
  <r>
    <d v="2016-05-09T00:00:00"/>
    <x v="2"/>
    <x v="10"/>
    <x v="123"/>
    <x v="4"/>
    <x v="0"/>
    <x v="2"/>
    <s v="I Need's 3d Hello Kitty Hybrid Silicone Case Cover for HTC One X 4g with 3d Hello Kitty Stylus Pen Green/pink"/>
    <n v="19.14"/>
    <n v="2"/>
    <n v="1.91"/>
  </r>
  <r>
    <d v="2016-05-09T00:00:00"/>
    <x v="2"/>
    <x v="10"/>
    <x v="616"/>
    <x v="20"/>
    <x v="2"/>
    <x v="11"/>
    <s v="4009 Highlighters by Sanford"/>
    <n v="27.86"/>
    <n v="7"/>
    <n v="9.19"/>
  </r>
  <r>
    <d v="2016-05-09T00:00:00"/>
    <x v="2"/>
    <x v="10"/>
    <x v="523"/>
    <x v="4"/>
    <x v="2"/>
    <x v="6"/>
    <s v="Hot File 7-Pocket, Floor Stand"/>
    <n v="856.66"/>
    <n v="6"/>
    <n v="107.08"/>
  </r>
  <r>
    <d v="2016-05-09T00:00:00"/>
    <x v="2"/>
    <x v="10"/>
    <x v="523"/>
    <x v="4"/>
    <x v="2"/>
    <x v="9"/>
    <s v="Ibico Standard Transparent Covers"/>
    <n v="13.18"/>
    <n v="4"/>
    <n v="-20.440000000000001"/>
  </r>
  <r>
    <d v="2016-05-09T00:00:00"/>
    <x v="2"/>
    <x v="10"/>
    <x v="523"/>
    <x v="4"/>
    <x v="2"/>
    <x v="10"/>
    <s v="Euro Pro Shark Stick Mini Vacuum"/>
    <n v="48.78"/>
    <n v="4"/>
    <n v="-131.72"/>
  </r>
  <r>
    <d v="2016-05-09T00:00:00"/>
    <x v="2"/>
    <x v="10"/>
    <x v="523"/>
    <x v="4"/>
    <x v="2"/>
    <x v="3"/>
    <s v="Xerox 1911"/>
    <n v="76.64"/>
    <n v="2"/>
    <n v="26.82"/>
  </r>
  <r>
    <d v="2016-05-09T00:00:00"/>
    <x v="2"/>
    <x v="10"/>
    <x v="523"/>
    <x v="4"/>
    <x v="2"/>
    <x v="9"/>
    <s v="GBC VeloBind Cover Sets"/>
    <n v="18.53"/>
    <n v="6"/>
    <n v="-27.79"/>
  </r>
  <r>
    <d v="2016-06-09T00:00:00"/>
    <x v="2"/>
    <x v="3"/>
    <x v="256"/>
    <x v="5"/>
    <x v="0"/>
    <x v="2"/>
    <s v="Avaya 4621SW VoIP phone"/>
    <n v="177.48"/>
    <n v="3"/>
    <n v="19.97"/>
  </r>
  <r>
    <d v="2016-06-09T00:00:00"/>
    <x v="2"/>
    <x v="3"/>
    <x v="617"/>
    <x v="11"/>
    <x v="0"/>
    <x v="14"/>
    <s v="Cisco CP-7937G Unified IP Conference Station Phone"/>
    <n v="695.7"/>
    <n v="2"/>
    <n v="-27.83"/>
  </r>
  <r>
    <d v="2016-06-09T00:00:00"/>
    <x v="2"/>
    <x v="3"/>
    <x v="579"/>
    <x v="5"/>
    <x v="1"/>
    <x v="1"/>
    <s v="Global Deluxe Stacking Chair, Gray"/>
    <n v="122.35"/>
    <n v="3"/>
    <n v="13.76"/>
  </r>
  <r>
    <d v="2016-06-09T00:00:00"/>
    <x v="2"/>
    <x v="3"/>
    <x v="250"/>
    <x v="7"/>
    <x v="1"/>
    <x v="7"/>
    <s v="Bush Cubix Conference Tables, Fully Assembled"/>
    <n v="692.94"/>
    <n v="3"/>
    <n v="173.24"/>
  </r>
  <r>
    <d v="2016-07-09T00:00:00"/>
    <x v="2"/>
    <x v="4"/>
    <x v="513"/>
    <x v="2"/>
    <x v="1"/>
    <x v="1"/>
    <s v="Hon GuestStacker Chair"/>
    <n v="408.01"/>
    <n v="2"/>
    <n v="72.53"/>
  </r>
  <r>
    <d v="2016-07-09T00:00:00"/>
    <x v="2"/>
    <x v="4"/>
    <x v="513"/>
    <x v="2"/>
    <x v="1"/>
    <x v="5"/>
    <s v="Deflect-o EconoMat Studded, No Bevel Mat for Low Pile Carpeting"/>
    <n v="165.28"/>
    <n v="4"/>
    <n v="14.88"/>
  </r>
  <r>
    <d v="2016-08-09T00:00:00"/>
    <x v="2"/>
    <x v="5"/>
    <x v="288"/>
    <x v="12"/>
    <x v="2"/>
    <x v="3"/>
    <s v="Xerox 199"/>
    <n v="30.82"/>
    <n v="9"/>
    <n v="9.6300000000000008"/>
  </r>
  <r>
    <d v="2016-08-09T00:00:00"/>
    <x v="2"/>
    <x v="5"/>
    <x v="288"/>
    <x v="12"/>
    <x v="0"/>
    <x v="2"/>
    <s v="Apple EarPods with Remote and Mic"/>
    <n v="44.78"/>
    <n v="2"/>
    <n v="4.4800000000000004"/>
  </r>
  <r>
    <d v="2016-08-09T00:00:00"/>
    <x v="2"/>
    <x v="5"/>
    <x v="288"/>
    <x v="12"/>
    <x v="2"/>
    <x v="10"/>
    <s v="Kensington 7 Outlet MasterPiece Power Center"/>
    <n v="569.54"/>
    <n v="4"/>
    <n v="64.069999999999993"/>
  </r>
  <r>
    <d v="2016-08-09T00:00:00"/>
    <x v="2"/>
    <x v="5"/>
    <x v="83"/>
    <x v="26"/>
    <x v="2"/>
    <x v="9"/>
    <s v="Tuff Stuff Recycled Round Ring Binders"/>
    <n v="4.34"/>
    <n v="3"/>
    <n v="-3.04"/>
  </r>
  <r>
    <d v="2016-08-09T00:00:00"/>
    <x v="2"/>
    <x v="5"/>
    <x v="83"/>
    <x v="26"/>
    <x v="2"/>
    <x v="9"/>
    <s v="Avery Durable Slant Ring Binders"/>
    <n v="11.88"/>
    <n v="5"/>
    <n v="-7.92"/>
  </r>
  <r>
    <d v="2016-09-09T00:00:00"/>
    <x v="2"/>
    <x v="6"/>
    <x v="618"/>
    <x v="2"/>
    <x v="2"/>
    <x v="9"/>
    <s v="Cardinal EasyOpen D-Ring Binders"/>
    <n v="14.62"/>
    <n v="2"/>
    <n v="5.48"/>
  </r>
  <r>
    <d v="2016-09-09T00:00:00"/>
    <x v="2"/>
    <x v="6"/>
    <x v="93"/>
    <x v="5"/>
    <x v="2"/>
    <x v="9"/>
    <s v="VariCap6 Expandable Binder"/>
    <n v="55.36"/>
    <n v="4"/>
    <n v="18.68"/>
  </r>
  <r>
    <d v="2016-09-09T00:00:00"/>
    <x v="2"/>
    <x v="6"/>
    <x v="516"/>
    <x v="4"/>
    <x v="1"/>
    <x v="5"/>
    <s v="Eldon Expressions Punched Metal &amp; Wood Desk Accessories, Black &amp; Cherry"/>
    <n v="15.01"/>
    <n v="4"/>
    <n v="-12.01"/>
  </r>
  <r>
    <d v="2016-10-09T00:00:00"/>
    <x v="2"/>
    <x v="7"/>
    <x v="353"/>
    <x v="18"/>
    <x v="0"/>
    <x v="2"/>
    <s v="Mediabridge Sport Armband iPhone 5s"/>
    <n v="23.98"/>
    <n v="4"/>
    <n v="-15.58"/>
  </r>
  <r>
    <d v="2016-10-09T00:00:00"/>
    <x v="2"/>
    <x v="7"/>
    <x v="619"/>
    <x v="13"/>
    <x v="2"/>
    <x v="3"/>
    <s v="Xerox 1947"/>
    <n v="19.14"/>
    <n v="4"/>
    <n v="5.98"/>
  </r>
  <r>
    <d v="2016-10-09T00:00:00"/>
    <x v="2"/>
    <x v="7"/>
    <x v="619"/>
    <x v="13"/>
    <x v="1"/>
    <x v="5"/>
    <s v="Luxo Professional Magnifying Clamp-On Fluorescent Lamps"/>
    <n v="332.83"/>
    <n v="4"/>
    <n v="-24.96"/>
  </r>
  <r>
    <d v="2016-10-09T00:00:00"/>
    <x v="2"/>
    <x v="7"/>
    <x v="455"/>
    <x v="23"/>
    <x v="2"/>
    <x v="11"/>
    <s v="Newell 310"/>
    <n v="1.41"/>
    <n v="1"/>
    <n v="0.16"/>
  </r>
  <r>
    <d v="2016-10-09T00:00:00"/>
    <x v="2"/>
    <x v="7"/>
    <x v="455"/>
    <x v="23"/>
    <x v="1"/>
    <x v="5"/>
    <s v="Tenex 46&quot; x 60&quot; Computer Anti-Static Chairmat, Rectangular Shaped"/>
    <n v="169.57"/>
    <n v="2"/>
    <n v="0"/>
  </r>
  <r>
    <d v="2016-11-09T00:00:00"/>
    <x v="2"/>
    <x v="8"/>
    <x v="620"/>
    <x v="5"/>
    <x v="0"/>
    <x v="0"/>
    <s v="Logitech Wireless Gaming Headset G930"/>
    <n v="479.97"/>
    <n v="3"/>
    <n v="177.59"/>
  </r>
  <r>
    <d v="2016-12-09T00:00:00"/>
    <x v="2"/>
    <x v="9"/>
    <x v="105"/>
    <x v="27"/>
    <x v="2"/>
    <x v="11"/>
    <s v="Newell 318"/>
    <n v="19.46"/>
    <n v="7"/>
    <n v="5.0599999999999996"/>
  </r>
  <r>
    <d v="2016-12-09T00:00:00"/>
    <x v="2"/>
    <x v="9"/>
    <x v="105"/>
    <x v="27"/>
    <x v="2"/>
    <x v="10"/>
    <s v="Acco Six-Outlet Power Strip, 4' Cord Length"/>
    <n v="60.34"/>
    <n v="7"/>
    <n v="15.69"/>
  </r>
  <r>
    <d v="2016-12-09T00:00:00"/>
    <x v="2"/>
    <x v="9"/>
    <x v="470"/>
    <x v="6"/>
    <x v="2"/>
    <x v="8"/>
    <s v="Avery 517"/>
    <n v="3.69"/>
    <n v="1"/>
    <n v="1.73"/>
  </r>
  <r>
    <d v="2016-12-09T00:00:00"/>
    <x v="2"/>
    <x v="9"/>
    <x v="470"/>
    <x v="6"/>
    <x v="2"/>
    <x v="8"/>
    <s v="Avery 477"/>
    <n v="122.12"/>
    <n v="4"/>
    <n v="56.18"/>
  </r>
  <r>
    <d v="2016-12-09T00:00:00"/>
    <x v="2"/>
    <x v="9"/>
    <x v="408"/>
    <x v="4"/>
    <x v="2"/>
    <x v="3"/>
    <s v="Things To Do Today Pad"/>
    <n v="9.39"/>
    <n v="2"/>
    <n v="3.29"/>
  </r>
  <r>
    <d v="2016-12-09T00:00:00"/>
    <x v="2"/>
    <x v="9"/>
    <x v="408"/>
    <x v="4"/>
    <x v="2"/>
    <x v="11"/>
    <s v="Hunt BOSTON Vista Battery-Operated Pencil Sharpener, Black"/>
    <n v="9.33"/>
    <n v="1"/>
    <n v="0.82"/>
  </r>
  <r>
    <d v="2016-12-09T00:00:00"/>
    <x v="2"/>
    <x v="9"/>
    <x v="428"/>
    <x v="26"/>
    <x v="1"/>
    <x v="7"/>
    <s v="Hon 61000 Series Interactive Training Tables"/>
    <n v="79.97"/>
    <n v="3"/>
    <n v="-29.32"/>
  </r>
  <r>
    <d v="2016-12-09T00:00:00"/>
    <x v="2"/>
    <x v="9"/>
    <x v="428"/>
    <x v="26"/>
    <x v="2"/>
    <x v="9"/>
    <s v="Acco Pressboard Covers with Storage Hooks, 14 7/8&quot; x 11&quot;, Light Blue"/>
    <n v="2.95"/>
    <n v="2"/>
    <n v="-2.06"/>
  </r>
  <r>
    <d v="2016-12-09T00:00:00"/>
    <x v="2"/>
    <x v="9"/>
    <x v="316"/>
    <x v="10"/>
    <x v="0"/>
    <x v="2"/>
    <s v="LF Elite 3D Dazzle Designer Hard Case Cover, Lf Stylus Pen and Wiper For Apple Iphone 5c Mini Lite"/>
    <n v="10.9"/>
    <n v="1"/>
    <n v="3.05"/>
  </r>
  <r>
    <d v="2016-12-09T00:00:00"/>
    <x v="2"/>
    <x v="9"/>
    <x v="316"/>
    <x v="10"/>
    <x v="0"/>
    <x v="0"/>
    <s v="Logitech Trackman Marble Mouse"/>
    <n v="59.98"/>
    <n v="2"/>
    <n v="25.19"/>
  </r>
  <r>
    <d v="2016-12-09T00:00:00"/>
    <x v="2"/>
    <x v="9"/>
    <x v="316"/>
    <x v="10"/>
    <x v="2"/>
    <x v="10"/>
    <s v="Holmes Replacement Filter for HEPA Air Cleaner, Very Large Room, HEPA Filter"/>
    <n v="61.93"/>
    <n v="1"/>
    <n v="23.4"/>
  </r>
  <r>
    <d v="2016-12-09T00:00:00"/>
    <x v="2"/>
    <x v="9"/>
    <x v="131"/>
    <x v="26"/>
    <x v="0"/>
    <x v="2"/>
    <s v="ARKON Windshield Dashboard Air Vent Car Mount Holder"/>
    <n v="40.68"/>
    <n v="3"/>
    <n v="-9.15"/>
  </r>
  <r>
    <d v="2016-12-09T00:00:00"/>
    <x v="2"/>
    <x v="9"/>
    <x v="573"/>
    <x v="3"/>
    <x v="2"/>
    <x v="15"/>
    <s v="Acme Office Executive Series Stainless Steel Trimmers"/>
    <n v="20.57"/>
    <n v="3"/>
    <n v="1.54"/>
  </r>
  <r>
    <d v="2016-12-09T00:00:00"/>
    <x v="2"/>
    <x v="9"/>
    <x v="573"/>
    <x v="3"/>
    <x v="2"/>
    <x v="10"/>
    <s v="Belkin 6 Outlet Metallic Surge Strip"/>
    <n v="4.3600000000000003"/>
    <n v="2"/>
    <n v="-11.76"/>
  </r>
  <r>
    <d v="2016-12-09T00:00:00"/>
    <x v="2"/>
    <x v="9"/>
    <x v="573"/>
    <x v="3"/>
    <x v="0"/>
    <x v="0"/>
    <s v="Kingston Digital DataTraveler 8GB USB 2.0"/>
    <n v="19.04"/>
    <n v="4"/>
    <n v="-1.43"/>
  </r>
  <r>
    <d v="2016-12-09T00:00:00"/>
    <x v="2"/>
    <x v="9"/>
    <x v="95"/>
    <x v="5"/>
    <x v="2"/>
    <x v="9"/>
    <s v="Wilson Jones Elliptical Ring 3 1/2&quot; Capacity Binders, 800 sheets"/>
    <n v="273.92"/>
    <n v="8"/>
    <n v="99.3"/>
  </r>
  <r>
    <d v="2016-12-09T00:00:00"/>
    <x v="2"/>
    <x v="9"/>
    <x v="106"/>
    <x v="20"/>
    <x v="1"/>
    <x v="7"/>
    <s v="Iceberg OfficeWorks 42&quot; Round Tables"/>
    <n v="1056.8599999999999"/>
    <n v="7"/>
    <n v="158.53"/>
  </r>
  <r>
    <d v="2016-01-10T00:00:00"/>
    <x v="2"/>
    <x v="11"/>
    <x v="105"/>
    <x v="1"/>
    <x v="1"/>
    <x v="5"/>
    <s v="24-Hour Round Wall Clock"/>
    <n v="79.92"/>
    <n v="4"/>
    <n v="34.369999999999997"/>
  </r>
  <r>
    <d v="2016-01-10T00:00:00"/>
    <x v="2"/>
    <x v="11"/>
    <x v="105"/>
    <x v="1"/>
    <x v="0"/>
    <x v="0"/>
    <s v="Logitech Media Keyboard K200"/>
    <n v="69.98"/>
    <n v="2"/>
    <n v="13.3"/>
  </r>
  <r>
    <d v="2016-01-10T00:00:00"/>
    <x v="2"/>
    <x v="11"/>
    <x v="621"/>
    <x v="1"/>
    <x v="1"/>
    <x v="5"/>
    <s v="DAX Value U-Channel Document Frames, Easel Back"/>
    <n v="24.85"/>
    <n v="5"/>
    <n v="7.7"/>
  </r>
  <r>
    <d v="2016-03-10T00:00:00"/>
    <x v="2"/>
    <x v="1"/>
    <x v="553"/>
    <x v="2"/>
    <x v="1"/>
    <x v="16"/>
    <s v="O'Sullivan Living Dimensions 5-Shelf Bookcases"/>
    <n v="176.78"/>
    <n v="1"/>
    <n v="-22.1"/>
  </r>
  <r>
    <d v="2016-03-10T00:00:00"/>
    <x v="2"/>
    <x v="1"/>
    <x v="531"/>
    <x v="13"/>
    <x v="0"/>
    <x v="0"/>
    <s v="Plantronics Audio 478 Stereo USB Headset"/>
    <n v="39.99"/>
    <n v="1"/>
    <n v="7.5"/>
  </r>
  <r>
    <d v="2016-03-10T00:00:00"/>
    <x v="2"/>
    <x v="1"/>
    <x v="622"/>
    <x v="5"/>
    <x v="2"/>
    <x v="3"/>
    <s v="Rediform Voice Mail Log Books"/>
    <n v="14.9"/>
    <n v="5"/>
    <n v="7.15"/>
  </r>
  <r>
    <d v="2016-03-10T00:00:00"/>
    <x v="2"/>
    <x v="1"/>
    <x v="622"/>
    <x v="5"/>
    <x v="0"/>
    <x v="2"/>
    <s v="Apple iPhone 5"/>
    <n v="4158.91"/>
    <n v="8"/>
    <n v="363.9"/>
  </r>
  <r>
    <d v="2016-03-10T00:00:00"/>
    <x v="2"/>
    <x v="1"/>
    <x v="623"/>
    <x v="5"/>
    <x v="0"/>
    <x v="0"/>
    <s v="Kingston Digital DataTraveler 16GB USB 2.0"/>
    <n v="26.85"/>
    <n v="3"/>
    <n v="5.0999999999999996"/>
  </r>
  <r>
    <d v="2016-03-10T00:00:00"/>
    <x v="2"/>
    <x v="1"/>
    <x v="623"/>
    <x v="5"/>
    <x v="0"/>
    <x v="14"/>
    <s v="Okidata MB760 Printer"/>
    <n v="3357.6"/>
    <n v="3"/>
    <n v="377.73"/>
  </r>
  <r>
    <d v="2016-03-10T00:00:00"/>
    <x v="2"/>
    <x v="1"/>
    <x v="624"/>
    <x v="23"/>
    <x v="2"/>
    <x v="6"/>
    <s v="Mini 13-1/2 Capacity Data Binder Rack, Pearl"/>
    <n v="104.7"/>
    <n v="1"/>
    <n v="6.54"/>
  </r>
  <r>
    <d v="2016-04-10T00:00:00"/>
    <x v="2"/>
    <x v="2"/>
    <x v="613"/>
    <x v="18"/>
    <x v="2"/>
    <x v="9"/>
    <s v="Wilson Jones Hanging Recycled Pressboard Data Binders"/>
    <n v="8.9"/>
    <n v="2"/>
    <n v="-6.53"/>
  </r>
  <r>
    <d v="2016-04-10T00:00:00"/>
    <x v="2"/>
    <x v="2"/>
    <x v="270"/>
    <x v="5"/>
    <x v="2"/>
    <x v="3"/>
    <s v="Xerox 227"/>
    <n v="12.96"/>
    <n v="2"/>
    <n v="6.22"/>
  </r>
  <r>
    <d v="2016-04-10T00:00:00"/>
    <x v="2"/>
    <x v="2"/>
    <x v="270"/>
    <x v="5"/>
    <x v="2"/>
    <x v="9"/>
    <s v="Wilson Jones Clip &amp; Carry Folder Binder Tool for Ring Binders, Clear"/>
    <n v="23.2"/>
    <n v="5"/>
    <n v="8.1199999999999992"/>
  </r>
  <r>
    <d v="2016-04-10T00:00:00"/>
    <x v="2"/>
    <x v="2"/>
    <x v="452"/>
    <x v="5"/>
    <x v="2"/>
    <x v="10"/>
    <s v="3M Replacement Filter for Office Air Cleaner for 20' x 33' Room"/>
    <n v="113.76"/>
    <n v="3"/>
    <n v="44.37"/>
  </r>
  <r>
    <d v="2016-04-10T00:00:00"/>
    <x v="2"/>
    <x v="2"/>
    <x v="452"/>
    <x v="5"/>
    <x v="2"/>
    <x v="6"/>
    <s v="Fellowes Staxonsteel Drawer Files"/>
    <n v="579.51"/>
    <n v="3"/>
    <n v="81.13"/>
  </r>
  <r>
    <d v="2016-04-10T00:00:00"/>
    <x v="2"/>
    <x v="2"/>
    <x v="452"/>
    <x v="5"/>
    <x v="2"/>
    <x v="6"/>
    <s v="Rogers Profile Extra Capacity Storage Tub"/>
    <n v="150.66"/>
    <n v="9"/>
    <n v="6.03"/>
  </r>
  <r>
    <d v="2016-04-10T00:00:00"/>
    <x v="2"/>
    <x v="2"/>
    <x v="452"/>
    <x v="5"/>
    <x v="2"/>
    <x v="9"/>
    <s v="GBC Prepunched Paper, 19-Hole, for Binding Systems, 24-lb"/>
    <n v="48.03"/>
    <n v="4"/>
    <n v="15.61"/>
  </r>
  <r>
    <d v="2016-04-10T00:00:00"/>
    <x v="2"/>
    <x v="2"/>
    <x v="11"/>
    <x v="3"/>
    <x v="2"/>
    <x v="11"/>
    <s v="BIC Brite Liner Grip Highlighters, Assorted, 5/Pack"/>
    <n v="13.57"/>
    <n v="4"/>
    <n v="3.22"/>
  </r>
  <r>
    <d v="2016-05-10T00:00:00"/>
    <x v="2"/>
    <x v="10"/>
    <x v="57"/>
    <x v="1"/>
    <x v="2"/>
    <x v="3"/>
    <s v="Xerox 1965"/>
    <n v="11.96"/>
    <n v="2"/>
    <n v="5.86"/>
  </r>
  <r>
    <d v="2016-05-10T00:00:00"/>
    <x v="2"/>
    <x v="10"/>
    <x v="351"/>
    <x v="13"/>
    <x v="0"/>
    <x v="2"/>
    <s v="ClearOne CHATAttach 160 -Â speaker phone"/>
    <n v="743.99"/>
    <n v="2"/>
    <n v="-124"/>
  </r>
  <r>
    <d v="2016-05-10T00:00:00"/>
    <x v="2"/>
    <x v="10"/>
    <x v="244"/>
    <x v="3"/>
    <x v="2"/>
    <x v="13"/>
    <s v="Grip Seal Envelopes"/>
    <n v="7.07"/>
    <n v="2"/>
    <n v="2.39"/>
  </r>
  <r>
    <d v="2016-06-10T00:00:00"/>
    <x v="2"/>
    <x v="3"/>
    <x v="625"/>
    <x v="5"/>
    <x v="2"/>
    <x v="8"/>
    <s v="Avery 473"/>
    <n v="20.7"/>
    <n v="2"/>
    <n v="9.94"/>
  </r>
  <r>
    <d v="2016-06-10T00:00:00"/>
    <x v="2"/>
    <x v="3"/>
    <x v="625"/>
    <x v="5"/>
    <x v="1"/>
    <x v="7"/>
    <s v="Bretford Â“Just In TimeÂ” Height-Adjustable Multi-Task Work Tables"/>
    <n v="1335.68"/>
    <n v="4"/>
    <n v="-217.05"/>
  </r>
  <r>
    <d v="2016-06-10T00:00:00"/>
    <x v="2"/>
    <x v="3"/>
    <x v="625"/>
    <x v="5"/>
    <x v="2"/>
    <x v="3"/>
    <s v="Xerox 226"/>
    <n v="32.4"/>
    <n v="5"/>
    <n v="15.55"/>
  </r>
  <r>
    <d v="2016-06-10T00:00:00"/>
    <x v="2"/>
    <x v="3"/>
    <x v="621"/>
    <x v="13"/>
    <x v="2"/>
    <x v="8"/>
    <s v="Avery 487"/>
    <n v="23.62"/>
    <n v="8"/>
    <n v="7.97"/>
  </r>
  <r>
    <d v="2016-07-10T00:00:00"/>
    <x v="2"/>
    <x v="4"/>
    <x v="362"/>
    <x v="23"/>
    <x v="2"/>
    <x v="6"/>
    <s v="Sterilite Officeware Hinged File Box"/>
    <n v="16.77"/>
    <n v="2"/>
    <n v="1.47"/>
  </r>
  <r>
    <d v="2016-07-10T00:00:00"/>
    <x v="2"/>
    <x v="4"/>
    <x v="316"/>
    <x v="4"/>
    <x v="2"/>
    <x v="6"/>
    <s v="Fellowes Strictly Business Drawer File, Letter/Legal Size"/>
    <n v="338.04"/>
    <n v="3"/>
    <n v="-33.799999999999997"/>
  </r>
  <r>
    <d v="2016-07-10T00:00:00"/>
    <x v="2"/>
    <x v="4"/>
    <x v="316"/>
    <x v="4"/>
    <x v="2"/>
    <x v="11"/>
    <s v="Boston Heavy-Duty Trimline Electric Pencil Sharpeners"/>
    <n v="154.24"/>
    <n v="4"/>
    <n v="17.350000000000001"/>
  </r>
  <r>
    <d v="2016-07-10T00:00:00"/>
    <x v="2"/>
    <x v="4"/>
    <x v="48"/>
    <x v="23"/>
    <x v="2"/>
    <x v="9"/>
    <s v="GBC Standard Therm-A-Bind Covers"/>
    <n v="44.86"/>
    <n v="6"/>
    <n v="-35.880000000000003"/>
  </r>
  <r>
    <d v="2016-07-10T00:00:00"/>
    <x v="2"/>
    <x v="4"/>
    <x v="29"/>
    <x v="13"/>
    <x v="0"/>
    <x v="14"/>
    <s v="Brother MFC-9340CDW LED All-In-One Printer, Copier Scanner"/>
    <n v="341.99"/>
    <n v="3"/>
    <n v="-319.19"/>
  </r>
  <r>
    <d v="2016-09-10T00:00:00"/>
    <x v="2"/>
    <x v="6"/>
    <x v="434"/>
    <x v="2"/>
    <x v="2"/>
    <x v="6"/>
    <s v="Acco Perma 2700 Stacking Storage Drawers"/>
    <n v="59.48"/>
    <n v="2"/>
    <n v="8.92"/>
  </r>
  <r>
    <d v="2016-09-10T00:00:00"/>
    <x v="2"/>
    <x v="6"/>
    <x v="434"/>
    <x v="2"/>
    <x v="2"/>
    <x v="3"/>
    <s v="Wirebound Message Books, Four 2 3/4 x 5 White Forms per Page"/>
    <n v="6.69"/>
    <n v="1"/>
    <n v="3.08"/>
  </r>
  <r>
    <d v="2016-09-10T00:00:00"/>
    <x v="2"/>
    <x v="6"/>
    <x v="323"/>
    <x v="26"/>
    <x v="2"/>
    <x v="11"/>
    <s v="Boston Model 1800 Electric Pencil Sharpener, Gray"/>
    <n v="67.56"/>
    <n v="3"/>
    <n v="8.4499999999999993"/>
  </r>
  <r>
    <d v="2016-09-10T00:00:00"/>
    <x v="2"/>
    <x v="6"/>
    <x v="207"/>
    <x v="4"/>
    <x v="1"/>
    <x v="7"/>
    <s v="KI Adjustable-Height Table"/>
    <n v="300.93"/>
    <n v="5"/>
    <n v="-34.39"/>
  </r>
  <r>
    <d v="2016-09-10T00:00:00"/>
    <x v="2"/>
    <x v="6"/>
    <x v="207"/>
    <x v="4"/>
    <x v="0"/>
    <x v="2"/>
    <s v="Polycom VVX 310 VoIP phone"/>
    <n v="719.96"/>
    <n v="5"/>
    <n v="54"/>
  </r>
  <r>
    <d v="2016-09-10T00:00:00"/>
    <x v="2"/>
    <x v="6"/>
    <x v="482"/>
    <x v="11"/>
    <x v="0"/>
    <x v="2"/>
    <s v="Geemarc AmpliPOWER60"/>
    <n v="519.67999999999995"/>
    <n v="7"/>
    <n v="58.46"/>
  </r>
  <r>
    <d v="2016-09-10T00:00:00"/>
    <x v="2"/>
    <x v="6"/>
    <x v="531"/>
    <x v="1"/>
    <x v="2"/>
    <x v="8"/>
    <s v="Avery 487"/>
    <n v="7.38"/>
    <n v="2"/>
    <n v="3.47"/>
  </r>
  <r>
    <d v="2016-09-10T00:00:00"/>
    <x v="2"/>
    <x v="6"/>
    <x v="531"/>
    <x v="1"/>
    <x v="2"/>
    <x v="9"/>
    <s v="Storex Dura Pro Binders"/>
    <n v="14.26"/>
    <n v="3"/>
    <n v="4.46"/>
  </r>
  <r>
    <d v="2016-09-10T00:00:00"/>
    <x v="2"/>
    <x v="6"/>
    <x v="531"/>
    <x v="1"/>
    <x v="2"/>
    <x v="3"/>
    <s v="Xerox 1945"/>
    <n v="81.98"/>
    <n v="2"/>
    <n v="40.17"/>
  </r>
  <r>
    <d v="2016-09-10T00:00:00"/>
    <x v="2"/>
    <x v="6"/>
    <x v="531"/>
    <x v="1"/>
    <x v="2"/>
    <x v="9"/>
    <s v="JM Magazine Binder"/>
    <n v="39.619999999999997"/>
    <n v="3"/>
    <n v="13.87"/>
  </r>
  <r>
    <d v="2016-09-10T00:00:00"/>
    <x v="2"/>
    <x v="6"/>
    <x v="473"/>
    <x v="5"/>
    <x v="2"/>
    <x v="9"/>
    <s v="Ibico EB-19 Dual Function Manual Binding System"/>
    <n v="276.77999999999997"/>
    <n v="2"/>
    <n v="89.95"/>
  </r>
  <r>
    <d v="2016-10-10T00:00:00"/>
    <x v="2"/>
    <x v="7"/>
    <x v="555"/>
    <x v="12"/>
    <x v="2"/>
    <x v="15"/>
    <s v="Martin-Yale Premier Letter Opener"/>
    <n v="20.61"/>
    <n v="2"/>
    <n v="-4.38"/>
  </r>
  <r>
    <d v="2016-10-10T00:00:00"/>
    <x v="2"/>
    <x v="7"/>
    <x v="555"/>
    <x v="12"/>
    <x v="2"/>
    <x v="9"/>
    <s v="Presstex Flexible Ring Binders"/>
    <n v="4.0999999999999996"/>
    <n v="3"/>
    <n v="-2.73"/>
  </r>
  <r>
    <d v="2016-10-10T00:00:00"/>
    <x v="2"/>
    <x v="7"/>
    <x v="438"/>
    <x v="15"/>
    <x v="1"/>
    <x v="16"/>
    <s v="Bush Westfield Collection Bookcases, Dark Cherry Finish, Fully Assembled"/>
    <n v="90.88"/>
    <n v="3"/>
    <n v="-190.85"/>
  </r>
  <r>
    <d v="2016-10-10T00:00:00"/>
    <x v="2"/>
    <x v="7"/>
    <x v="438"/>
    <x v="15"/>
    <x v="0"/>
    <x v="2"/>
    <s v="iOttie HLCRIO102 Car Mount"/>
    <n v="15.99"/>
    <n v="1"/>
    <n v="-3"/>
  </r>
  <r>
    <d v="2016-10-10T00:00:00"/>
    <x v="2"/>
    <x v="7"/>
    <x v="438"/>
    <x v="15"/>
    <x v="1"/>
    <x v="1"/>
    <s v="Global Manager's Adjustable Task Chair, Storm"/>
    <n v="120.78"/>
    <n v="1"/>
    <n v="13.59"/>
  </r>
  <r>
    <d v="2016-10-10T00:00:00"/>
    <x v="2"/>
    <x v="7"/>
    <x v="119"/>
    <x v="4"/>
    <x v="1"/>
    <x v="5"/>
    <s v="Eldon 400 Class Desk Accessories, Black Carbon"/>
    <n v="14"/>
    <n v="4"/>
    <n v="-6.3"/>
  </r>
  <r>
    <d v="2016-10-10T00:00:00"/>
    <x v="2"/>
    <x v="7"/>
    <x v="119"/>
    <x v="4"/>
    <x v="2"/>
    <x v="9"/>
    <s v="Wilson Jones Ledger-Size, Piano-Hinge Binder, 2&quot;, Blue"/>
    <n v="16.39"/>
    <n v="2"/>
    <n v="-26.23"/>
  </r>
  <r>
    <d v="2016-11-10T00:00:00"/>
    <x v="2"/>
    <x v="8"/>
    <x v="626"/>
    <x v="5"/>
    <x v="2"/>
    <x v="6"/>
    <s v="File Shuttle I and Handi-File"/>
    <n v="155.82"/>
    <n v="7"/>
    <n v="42.07"/>
  </r>
  <r>
    <d v="2016-11-10T00:00:00"/>
    <x v="2"/>
    <x v="8"/>
    <x v="626"/>
    <x v="5"/>
    <x v="2"/>
    <x v="9"/>
    <s v="Binding Machine Supplies"/>
    <n v="70.010000000000005"/>
    <n v="3"/>
    <n v="24.5"/>
  </r>
  <r>
    <d v="2016-11-10T00:00:00"/>
    <x v="2"/>
    <x v="8"/>
    <x v="418"/>
    <x v="5"/>
    <x v="2"/>
    <x v="9"/>
    <s v="ACCOHIDE 3-Ring Binder, Blue, 1&quot;"/>
    <n v="13.22"/>
    <n v="4"/>
    <n v="4.46"/>
  </r>
  <r>
    <d v="2016-11-10T00:00:00"/>
    <x v="2"/>
    <x v="8"/>
    <x v="418"/>
    <x v="5"/>
    <x v="2"/>
    <x v="3"/>
    <s v="Xerox 1996"/>
    <n v="32.4"/>
    <n v="5"/>
    <n v="15.55"/>
  </r>
  <r>
    <d v="2016-11-10T00:00:00"/>
    <x v="2"/>
    <x v="8"/>
    <x v="627"/>
    <x v="19"/>
    <x v="2"/>
    <x v="11"/>
    <s v="Newell 315"/>
    <n v="41.86"/>
    <n v="7"/>
    <n v="10.47"/>
  </r>
  <r>
    <d v="2016-11-10T00:00:00"/>
    <x v="2"/>
    <x v="8"/>
    <x v="255"/>
    <x v="18"/>
    <x v="2"/>
    <x v="15"/>
    <s v="Staple remover"/>
    <n v="14.72"/>
    <n v="5"/>
    <n v="-3.31"/>
  </r>
  <r>
    <d v="2016-11-10T00:00:00"/>
    <x v="2"/>
    <x v="8"/>
    <x v="255"/>
    <x v="18"/>
    <x v="2"/>
    <x v="6"/>
    <s v="Acco Perma 4000 Stacking Storage Drawers"/>
    <n v="38.979999999999997"/>
    <n v="3"/>
    <n v="-2.44"/>
  </r>
  <r>
    <d v="2016-11-10T00:00:00"/>
    <x v="2"/>
    <x v="8"/>
    <x v="224"/>
    <x v="18"/>
    <x v="2"/>
    <x v="8"/>
    <s v="Avery File Folder Labels"/>
    <n v="9.2200000000000006"/>
    <n v="4"/>
    <n v="3.34"/>
  </r>
  <r>
    <d v="2016-11-10T00:00:00"/>
    <x v="2"/>
    <x v="8"/>
    <x v="224"/>
    <x v="18"/>
    <x v="0"/>
    <x v="2"/>
    <s v="Square Credit Card Reader"/>
    <n v="41.96"/>
    <n v="7"/>
    <n v="-9.7899999999999991"/>
  </r>
  <r>
    <d v="2016-11-10T00:00:00"/>
    <x v="2"/>
    <x v="8"/>
    <x v="224"/>
    <x v="18"/>
    <x v="2"/>
    <x v="3"/>
    <s v="Xerox 1882"/>
    <n v="89.57"/>
    <n v="2"/>
    <n v="32.47"/>
  </r>
  <r>
    <d v="2016-11-10T00:00:00"/>
    <x v="2"/>
    <x v="8"/>
    <x v="224"/>
    <x v="18"/>
    <x v="2"/>
    <x v="3"/>
    <s v="Wirebound Message Books, Four 2 3/4&quot; x 5&quot; Forms per Page, 600 Sets per Book"/>
    <n v="22.25"/>
    <n v="3"/>
    <n v="7.51"/>
  </r>
  <r>
    <d v="2016-11-10T00:00:00"/>
    <x v="2"/>
    <x v="8"/>
    <x v="224"/>
    <x v="18"/>
    <x v="2"/>
    <x v="10"/>
    <s v="Eureka The Boss Plus 12-Amp Hard Box Upright Vacuum, Red"/>
    <n v="334.88"/>
    <n v="4"/>
    <n v="29.3"/>
  </r>
  <r>
    <d v="2016-11-10T00:00:00"/>
    <x v="2"/>
    <x v="8"/>
    <x v="224"/>
    <x v="18"/>
    <x v="1"/>
    <x v="5"/>
    <s v="DAX Natural Wood-Tone Poster Frame"/>
    <n v="148.29"/>
    <n v="7"/>
    <n v="29.66"/>
  </r>
  <r>
    <d v="2016-11-10T00:00:00"/>
    <x v="2"/>
    <x v="8"/>
    <x v="224"/>
    <x v="18"/>
    <x v="2"/>
    <x v="3"/>
    <s v="Xerox 1924"/>
    <n v="4.62"/>
    <n v="1"/>
    <n v="1.68"/>
  </r>
  <r>
    <d v="2016-11-10T00:00:00"/>
    <x v="2"/>
    <x v="8"/>
    <x v="224"/>
    <x v="18"/>
    <x v="0"/>
    <x v="0"/>
    <s v="Memorex 25GB 6X Branded Blu-Ray Recordable Disc, 30/Pack"/>
    <n v="178.92"/>
    <n v="7"/>
    <n v="-29.07"/>
  </r>
  <r>
    <d v="2016-11-10T00:00:00"/>
    <x v="2"/>
    <x v="8"/>
    <x v="224"/>
    <x v="18"/>
    <x v="2"/>
    <x v="9"/>
    <s v="GBC Twin Loop Wire Binding Elements"/>
    <n v="69.89"/>
    <n v="7"/>
    <n v="-46.59"/>
  </r>
  <r>
    <d v="2016-11-10T00:00:00"/>
    <x v="2"/>
    <x v="8"/>
    <x v="91"/>
    <x v="4"/>
    <x v="0"/>
    <x v="0"/>
    <s v="Kensington SlimBlade Notebook Wireless Mouse with Nano Receiver"/>
    <n v="279.94"/>
    <n v="7"/>
    <n v="48.99"/>
  </r>
  <r>
    <d v="2016-11-10T00:00:00"/>
    <x v="2"/>
    <x v="8"/>
    <x v="415"/>
    <x v="22"/>
    <x v="1"/>
    <x v="5"/>
    <s v="3M Polarizing Light Filter Sleeves"/>
    <n v="37.299999999999997"/>
    <n v="2"/>
    <n v="17.16"/>
  </r>
  <r>
    <d v="2016-11-10T00:00:00"/>
    <x v="2"/>
    <x v="8"/>
    <x v="415"/>
    <x v="22"/>
    <x v="2"/>
    <x v="9"/>
    <s v="Wilson Jones Ledger-Size, Piano-Hinge Binder, 2&quot;, Blue"/>
    <n v="81.96"/>
    <n v="2"/>
    <n v="39.340000000000003"/>
  </r>
  <r>
    <d v="2016-11-10T00:00:00"/>
    <x v="2"/>
    <x v="8"/>
    <x v="264"/>
    <x v="2"/>
    <x v="2"/>
    <x v="9"/>
    <s v="Canvas Sectional Post Binders"/>
    <n v="20.37"/>
    <n v="1"/>
    <n v="7.38"/>
  </r>
  <r>
    <d v="2016-11-10T00:00:00"/>
    <x v="2"/>
    <x v="8"/>
    <x v="264"/>
    <x v="2"/>
    <x v="2"/>
    <x v="9"/>
    <s v="Wilson Jones Century Plastic Molded Ring Binders"/>
    <n v="49.85"/>
    <n v="3"/>
    <n v="16.82"/>
  </r>
  <r>
    <d v="2016-11-10T00:00:00"/>
    <x v="2"/>
    <x v="8"/>
    <x v="254"/>
    <x v="5"/>
    <x v="2"/>
    <x v="3"/>
    <s v="Embossed Ink Jet Note Cards"/>
    <n v="67.709999999999994"/>
    <n v="3"/>
    <n v="32.5"/>
  </r>
  <r>
    <d v="2016-11-10T00:00:00"/>
    <x v="2"/>
    <x v="8"/>
    <x v="254"/>
    <x v="5"/>
    <x v="2"/>
    <x v="10"/>
    <s v="Belkin F9S820V06 8 Outlet Surge"/>
    <n v="129.91999999999999"/>
    <n v="4"/>
    <n v="38.979999999999997"/>
  </r>
  <r>
    <d v="2016-11-10T00:00:00"/>
    <x v="2"/>
    <x v="8"/>
    <x v="254"/>
    <x v="5"/>
    <x v="1"/>
    <x v="5"/>
    <s v="Howard Miller 11-1/2&quot; Diameter Ridgewood Wall Clock"/>
    <n v="467.46"/>
    <n v="9"/>
    <n v="191.66"/>
  </r>
  <r>
    <d v="2016-11-10T00:00:00"/>
    <x v="2"/>
    <x v="8"/>
    <x v="254"/>
    <x v="5"/>
    <x v="2"/>
    <x v="3"/>
    <s v="Xerox 1933"/>
    <n v="61.4"/>
    <n v="5"/>
    <n v="28.86"/>
  </r>
  <r>
    <d v="2016-11-10T00:00:00"/>
    <x v="2"/>
    <x v="8"/>
    <x v="254"/>
    <x v="5"/>
    <x v="2"/>
    <x v="6"/>
    <s v="Standard Rollaway File with Lock"/>
    <n v="720.76"/>
    <n v="4"/>
    <n v="187.4"/>
  </r>
  <r>
    <d v="2016-11-10T00:00:00"/>
    <x v="2"/>
    <x v="8"/>
    <x v="254"/>
    <x v="5"/>
    <x v="2"/>
    <x v="9"/>
    <s v="Peel &amp; Stick Add-On Corner Pockets"/>
    <n v="5.18"/>
    <n v="3"/>
    <n v="1.81"/>
  </r>
  <r>
    <d v="2016-11-10T00:00:00"/>
    <x v="2"/>
    <x v="8"/>
    <x v="254"/>
    <x v="5"/>
    <x v="2"/>
    <x v="11"/>
    <s v="Newell 338"/>
    <n v="14.7"/>
    <n v="5"/>
    <n v="3.97"/>
  </r>
  <r>
    <d v="2016-11-10T00:00:00"/>
    <x v="2"/>
    <x v="8"/>
    <x v="300"/>
    <x v="5"/>
    <x v="1"/>
    <x v="5"/>
    <s v="Eldon Expressions Wood and Plastic Desk Accessories, Oak"/>
    <n v="9.98"/>
    <n v="1"/>
    <n v="2.79"/>
  </r>
  <r>
    <d v="2016-11-10T00:00:00"/>
    <x v="2"/>
    <x v="8"/>
    <x v="390"/>
    <x v="5"/>
    <x v="2"/>
    <x v="6"/>
    <s v="Acco Perma 2700 Stacking Storage Drawers"/>
    <n v="29.74"/>
    <n v="1"/>
    <n v="4.46"/>
  </r>
  <r>
    <d v="2016-11-10T00:00:00"/>
    <x v="2"/>
    <x v="8"/>
    <x v="265"/>
    <x v="18"/>
    <x v="2"/>
    <x v="3"/>
    <s v="Xerox 227"/>
    <n v="31.1"/>
    <n v="6"/>
    <n v="10.89"/>
  </r>
  <r>
    <d v="2016-11-10T00:00:00"/>
    <x v="2"/>
    <x v="8"/>
    <x v="184"/>
    <x v="28"/>
    <x v="0"/>
    <x v="2"/>
    <s v="Samsung Convoy 3"/>
    <n v="221.98"/>
    <n v="2"/>
    <n v="62.15"/>
  </r>
  <r>
    <d v="2016-11-10T00:00:00"/>
    <x v="2"/>
    <x v="8"/>
    <x v="184"/>
    <x v="28"/>
    <x v="1"/>
    <x v="16"/>
    <s v="Sauder Facets Collection Library, Sky Alder Finish"/>
    <n v="341.96"/>
    <n v="2"/>
    <n v="54.71"/>
  </r>
  <r>
    <d v="2016-11-10T00:00:00"/>
    <x v="2"/>
    <x v="8"/>
    <x v="253"/>
    <x v="2"/>
    <x v="2"/>
    <x v="9"/>
    <s v="Presstex Flexible Ring Binders"/>
    <n v="3.64"/>
    <n v="1"/>
    <n v="1.37"/>
  </r>
  <r>
    <d v="2016-11-10T00:00:00"/>
    <x v="2"/>
    <x v="8"/>
    <x v="253"/>
    <x v="2"/>
    <x v="0"/>
    <x v="2"/>
    <s v="BlackBerry Q10"/>
    <n v="881.93"/>
    <n v="7"/>
    <n v="220.48"/>
  </r>
  <r>
    <d v="2016-12-10T00:00:00"/>
    <x v="2"/>
    <x v="9"/>
    <x v="316"/>
    <x v="5"/>
    <x v="1"/>
    <x v="1"/>
    <s v="Global Leather Highback Executive Chair with Pneumatic Height Adjustment, Black"/>
    <n v="321.57"/>
    <n v="2"/>
    <n v="28.14"/>
  </r>
  <r>
    <d v="2016-12-10T00:00:00"/>
    <x v="2"/>
    <x v="9"/>
    <x v="159"/>
    <x v="2"/>
    <x v="2"/>
    <x v="6"/>
    <s v="Fellowes Personal Hanging Folder Files, Navy"/>
    <n v="80.58"/>
    <n v="6"/>
    <n v="22.56"/>
  </r>
  <r>
    <d v="2016-12-10T00:00:00"/>
    <x v="2"/>
    <x v="9"/>
    <x v="159"/>
    <x v="2"/>
    <x v="2"/>
    <x v="13"/>
    <s v="Tyvek Side-Opening Peel &amp; Seel Expanding Envelopes"/>
    <n v="361.92"/>
    <n v="4"/>
    <n v="162.86000000000001"/>
  </r>
  <r>
    <d v="2016-12-10T00:00:00"/>
    <x v="2"/>
    <x v="9"/>
    <x v="294"/>
    <x v="1"/>
    <x v="2"/>
    <x v="9"/>
    <s v="GBC DocuBind P50 Personal Binding Machine"/>
    <n v="153.55000000000001"/>
    <n v="3"/>
    <n v="51.82"/>
  </r>
  <r>
    <d v="2016-12-10T00:00:00"/>
    <x v="2"/>
    <x v="9"/>
    <x v="294"/>
    <x v="1"/>
    <x v="2"/>
    <x v="10"/>
    <s v="Holmes HEPA Air Purifier"/>
    <n v="65.34"/>
    <n v="3"/>
    <n v="22.87"/>
  </r>
  <r>
    <d v="2016-12-10T00:00:00"/>
    <x v="2"/>
    <x v="9"/>
    <x v="294"/>
    <x v="1"/>
    <x v="2"/>
    <x v="3"/>
    <s v="Xerox 1988"/>
    <n v="123.92"/>
    <n v="4"/>
    <n v="55.76"/>
  </r>
  <r>
    <d v="2016-12-10T00:00:00"/>
    <x v="2"/>
    <x v="9"/>
    <x v="294"/>
    <x v="1"/>
    <x v="2"/>
    <x v="10"/>
    <s v="Harmony HEPA Quiet Air Purifiers"/>
    <n v="35.1"/>
    <n v="3"/>
    <n v="12.29"/>
  </r>
  <r>
    <d v="2016-12-10T00:00:00"/>
    <x v="2"/>
    <x v="9"/>
    <x v="294"/>
    <x v="1"/>
    <x v="0"/>
    <x v="0"/>
    <s v="Kingston Digital DataTraveler 16GB USB 2.0"/>
    <n v="44.75"/>
    <n v="5"/>
    <n v="8.5"/>
  </r>
  <r>
    <d v="2016-12-10T00:00:00"/>
    <x v="2"/>
    <x v="9"/>
    <x v="282"/>
    <x v="33"/>
    <x v="1"/>
    <x v="1"/>
    <s v="Global Commerce Series High-Back Swivel/Tilt Chairs"/>
    <n v="1424.9"/>
    <n v="5"/>
    <n v="356.23"/>
  </r>
  <r>
    <d v="2016-12-10T00:00:00"/>
    <x v="2"/>
    <x v="9"/>
    <x v="605"/>
    <x v="5"/>
    <x v="2"/>
    <x v="3"/>
    <s v="Wirebound Message Books, Four 2 3/4 x 5 White Forms per Page"/>
    <n v="80.28"/>
    <n v="12"/>
    <n v="36.93"/>
  </r>
  <r>
    <d v="2016-12-10T00:00:00"/>
    <x v="2"/>
    <x v="9"/>
    <x v="519"/>
    <x v="2"/>
    <x v="2"/>
    <x v="3"/>
    <s v="Wirebound Message Books, Four 2 3/4&quot; x 5&quot; Forms per Page, 600 Sets per Book"/>
    <n v="18.54"/>
    <n v="2"/>
    <n v="8.7100000000000009"/>
  </r>
  <r>
    <d v="2016-12-10T00:00:00"/>
    <x v="2"/>
    <x v="9"/>
    <x v="519"/>
    <x v="2"/>
    <x v="2"/>
    <x v="9"/>
    <s v="Fellowes PB200 Plastic Comb Binding Machine"/>
    <n v="679.96"/>
    <n v="5"/>
    <n v="220.99"/>
  </r>
  <r>
    <d v="2016-12-10T00:00:00"/>
    <x v="2"/>
    <x v="9"/>
    <x v="610"/>
    <x v="2"/>
    <x v="2"/>
    <x v="3"/>
    <s v="Adams Phone Message Book, Professional, 400 Message Capacity, 5 3/6Â” x 11Â”"/>
    <n v="62.82"/>
    <n v="9"/>
    <n v="29.53"/>
  </r>
  <r>
    <d v="2016-12-10T00:00:00"/>
    <x v="2"/>
    <x v="9"/>
    <x v="88"/>
    <x v="2"/>
    <x v="2"/>
    <x v="3"/>
    <s v="Xerox 221"/>
    <n v="6.48"/>
    <n v="1"/>
    <n v="3.11"/>
  </r>
  <r>
    <d v="2016-01-11T00:00:00"/>
    <x v="2"/>
    <x v="11"/>
    <x v="146"/>
    <x v="18"/>
    <x v="2"/>
    <x v="3"/>
    <s v="Xerox 2"/>
    <n v="15.55"/>
    <n v="3"/>
    <n v="5.44"/>
  </r>
  <r>
    <d v="2016-01-11T00:00:00"/>
    <x v="2"/>
    <x v="11"/>
    <x v="146"/>
    <x v="18"/>
    <x v="2"/>
    <x v="3"/>
    <s v="Xerox 1935"/>
    <n v="63.31"/>
    <n v="3"/>
    <n v="20.58"/>
  </r>
  <r>
    <d v="2016-01-11T00:00:00"/>
    <x v="2"/>
    <x v="11"/>
    <x v="146"/>
    <x v="18"/>
    <x v="0"/>
    <x v="2"/>
    <s v="Cyber Acoustics AC-202b Speech Recognition Stereo Headset"/>
    <n v="15.59"/>
    <n v="2"/>
    <n v="-9.8699999999999992"/>
  </r>
  <r>
    <d v="2016-01-11T00:00:00"/>
    <x v="2"/>
    <x v="11"/>
    <x v="110"/>
    <x v="18"/>
    <x v="1"/>
    <x v="5"/>
    <s v="Ultra Door Push Plate"/>
    <n v="54.99"/>
    <n v="14"/>
    <n v="8.94"/>
  </r>
  <r>
    <d v="2016-02-11T00:00:00"/>
    <x v="2"/>
    <x v="0"/>
    <x v="628"/>
    <x v="28"/>
    <x v="0"/>
    <x v="2"/>
    <s v="Mediabridge Sport Armband iPhone 5s"/>
    <n v="69.930000000000007"/>
    <n v="7"/>
    <n v="0.7"/>
  </r>
  <r>
    <d v="2016-03-11T00:00:00"/>
    <x v="2"/>
    <x v="1"/>
    <x v="67"/>
    <x v="7"/>
    <x v="0"/>
    <x v="0"/>
    <s v="Verbatim 25 GB 6x Blu-ray Single Layer Recordable Disc, 25/Pack"/>
    <n v="45.98"/>
    <n v="2"/>
    <n v="19.77"/>
  </r>
  <r>
    <d v="2016-03-11T00:00:00"/>
    <x v="2"/>
    <x v="1"/>
    <x v="67"/>
    <x v="7"/>
    <x v="2"/>
    <x v="9"/>
    <s v="Wilson Jones Leather-Like Binders with DublLock Round Rings"/>
    <n v="17.46"/>
    <n v="2"/>
    <n v="8.2100000000000009"/>
  </r>
  <r>
    <d v="2016-03-11T00:00:00"/>
    <x v="2"/>
    <x v="1"/>
    <x v="123"/>
    <x v="8"/>
    <x v="1"/>
    <x v="7"/>
    <s v="Chromcraft Round Conference Tables"/>
    <n v="244.01"/>
    <n v="2"/>
    <n v="-31.37"/>
  </r>
  <r>
    <d v="2016-03-11T00:00:00"/>
    <x v="2"/>
    <x v="1"/>
    <x v="383"/>
    <x v="19"/>
    <x v="1"/>
    <x v="5"/>
    <s v="Executive Impressions 13&quot; Clairmont Wall Clock"/>
    <n v="76.92"/>
    <n v="4"/>
    <n v="31.54"/>
  </r>
  <r>
    <d v="2016-03-11T00:00:00"/>
    <x v="2"/>
    <x v="1"/>
    <x v="383"/>
    <x v="19"/>
    <x v="2"/>
    <x v="6"/>
    <s v="Iceberg Mobile Mega Data/Printer Cart"/>
    <n v="481.32"/>
    <n v="4"/>
    <n v="125.14"/>
  </r>
  <r>
    <d v="2016-03-11T00:00:00"/>
    <x v="2"/>
    <x v="1"/>
    <x v="629"/>
    <x v="13"/>
    <x v="1"/>
    <x v="5"/>
    <s v="DAX Charcoal/Nickel-Tone Document Frame, 5 x 7"/>
    <n v="30.34"/>
    <n v="4"/>
    <n v="9.48"/>
  </r>
  <r>
    <d v="2016-05-11T00:00:00"/>
    <x v="2"/>
    <x v="10"/>
    <x v="220"/>
    <x v="5"/>
    <x v="2"/>
    <x v="3"/>
    <s v="Xerox 1920"/>
    <n v="5.98"/>
    <n v="1"/>
    <n v="2.69"/>
  </r>
  <r>
    <d v="2016-06-11T00:00:00"/>
    <x v="2"/>
    <x v="3"/>
    <x v="104"/>
    <x v="4"/>
    <x v="2"/>
    <x v="9"/>
    <s v="Computer Printout Index Tabs"/>
    <n v="1.34"/>
    <n v="4"/>
    <n v="-2.15"/>
  </r>
  <r>
    <d v="2016-06-11T00:00:00"/>
    <x v="2"/>
    <x v="3"/>
    <x v="104"/>
    <x v="4"/>
    <x v="2"/>
    <x v="9"/>
    <s v="GBC Wire Binding Combs"/>
    <n v="8.27"/>
    <n v="4"/>
    <n v="-13.65"/>
  </r>
  <r>
    <d v="2016-06-11T00:00:00"/>
    <x v="2"/>
    <x v="3"/>
    <x v="104"/>
    <x v="4"/>
    <x v="1"/>
    <x v="5"/>
    <s v="Stacking Tray, Side-Loading, Legal, Smoke"/>
    <n v="12.54"/>
    <n v="7"/>
    <n v="-9.09"/>
  </r>
  <r>
    <d v="2016-06-11T00:00:00"/>
    <x v="2"/>
    <x v="3"/>
    <x v="630"/>
    <x v="2"/>
    <x v="0"/>
    <x v="0"/>
    <s v="Razer Kraken PRO Over Ear PC and Music Headset"/>
    <n v="239.97"/>
    <n v="3"/>
    <n v="71.989999999999995"/>
  </r>
  <r>
    <d v="2016-06-11T00:00:00"/>
    <x v="2"/>
    <x v="3"/>
    <x v="272"/>
    <x v="1"/>
    <x v="2"/>
    <x v="8"/>
    <s v="Avery 486"/>
    <n v="14.62"/>
    <n v="2"/>
    <n v="6.87"/>
  </r>
  <r>
    <d v="2016-06-11T00:00:00"/>
    <x v="2"/>
    <x v="3"/>
    <x v="272"/>
    <x v="1"/>
    <x v="2"/>
    <x v="9"/>
    <s v="Wilson Jones Turn Tabs Binder Tool for Ring Binders"/>
    <n v="53.98"/>
    <n v="14"/>
    <n v="17.54"/>
  </r>
  <r>
    <d v="2016-06-11T00:00:00"/>
    <x v="2"/>
    <x v="3"/>
    <x v="272"/>
    <x v="1"/>
    <x v="0"/>
    <x v="0"/>
    <s v="Logitech G35 7.1-Channel Surround Sound Headset"/>
    <n v="389.97"/>
    <n v="3"/>
    <n v="132.59"/>
  </r>
  <r>
    <d v="2016-06-11T00:00:00"/>
    <x v="2"/>
    <x v="3"/>
    <x v="265"/>
    <x v="5"/>
    <x v="1"/>
    <x v="7"/>
    <s v="Bretford Rectangular Conference Table Tops"/>
    <n v="902.71"/>
    <n v="3"/>
    <n v="33.85"/>
  </r>
  <r>
    <d v="2016-08-11T00:00:00"/>
    <x v="2"/>
    <x v="5"/>
    <x v="631"/>
    <x v="28"/>
    <x v="2"/>
    <x v="3"/>
    <s v="Xerox 202"/>
    <n v="32.4"/>
    <n v="5"/>
    <n v="15.55"/>
  </r>
  <r>
    <d v="2016-08-11T00:00:00"/>
    <x v="2"/>
    <x v="5"/>
    <x v="631"/>
    <x v="28"/>
    <x v="2"/>
    <x v="9"/>
    <s v="Avery Hanging File Binders"/>
    <n v="41.86"/>
    <n v="7"/>
    <n v="19.260000000000002"/>
  </r>
  <r>
    <d v="2016-08-11T00:00:00"/>
    <x v="2"/>
    <x v="5"/>
    <x v="631"/>
    <x v="28"/>
    <x v="2"/>
    <x v="9"/>
    <s v="Premium Transparent Presentation Covers, No Pattern/Clear, 8 1/2&quot; x 11&quot;"/>
    <n v="77.56"/>
    <n v="2"/>
    <n v="35.68"/>
  </r>
  <r>
    <d v="2016-09-11T00:00:00"/>
    <x v="2"/>
    <x v="6"/>
    <x v="356"/>
    <x v="5"/>
    <x v="2"/>
    <x v="3"/>
    <s v="Wirebound Message Books, Two 4 1/4&quot; x 5&quot; Forms per Page"/>
    <n v="7.61"/>
    <n v="1"/>
    <n v="3.58"/>
  </r>
  <r>
    <d v="2016-09-11T00:00:00"/>
    <x v="2"/>
    <x v="6"/>
    <x v="356"/>
    <x v="5"/>
    <x v="0"/>
    <x v="0"/>
    <s v="LogitechÂ P710e Mobile Speakerphone"/>
    <n v="3347.37"/>
    <n v="13"/>
    <n v="636"/>
  </r>
  <r>
    <d v="2016-09-11T00:00:00"/>
    <x v="2"/>
    <x v="6"/>
    <x v="132"/>
    <x v="13"/>
    <x v="2"/>
    <x v="3"/>
    <s v="Xerox 1972"/>
    <n v="8.4499999999999993"/>
    <n v="2"/>
    <n v="2.64"/>
  </r>
  <r>
    <d v="2016-09-11T00:00:00"/>
    <x v="2"/>
    <x v="6"/>
    <x v="132"/>
    <x v="13"/>
    <x v="0"/>
    <x v="2"/>
    <s v="Cisco 8x8 Inc. 6753i IP Business Phone System"/>
    <n v="728.95"/>
    <n v="9"/>
    <n v="-157.94"/>
  </r>
  <r>
    <d v="2016-09-11T00:00:00"/>
    <x v="2"/>
    <x v="6"/>
    <x v="48"/>
    <x v="18"/>
    <x v="2"/>
    <x v="9"/>
    <s v="GBC Standard Therm-A-Bind Covers"/>
    <n v="22.43"/>
    <n v="3"/>
    <n v="-17.940000000000001"/>
  </r>
  <r>
    <d v="2016-09-11T00:00:00"/>
    <x v="2"/>
    <x v="6"/>
    <x v="48"/>
    <x v="18"/>
    <x v="2"/>
    <x v="6"/>
    <s v="Staple magnet"/>
    <n v="37.520000000000003"/>
    <n v="5"/>
    <n v="3.75"/>
  </r>
  <r>
    <d v="2016-09-11T00:00:00"/>
    <x v="2"/>
    <x v="6"/>
    <x v="286"/>
    <x v="20"/>
    <x v="0"/>
    <x v="12"/>
    <s v="Canon PC-428 Personal Copier"/>
    <n v="1599.92"/>
    <n v="8"/>
    <n v="751.96"/>
  </r>
  <r>
    <d v="2016-09-11T00:00:00"/>
    <x v="2"/>
    <x v="6"/>
    <x v="286"/>
    <x v="20"/>
    <x v="2"/>
    <x v="13"/>
    <s v="#10 Self-Seal White Envelopes"/>
    <n v="11.09"/>
    <n v="1"/>
    <n v="5.43"/>
  </r>
  <r>
    <d v="2016-09-11T00:00:00"/>
    <x v="2"/>
    <x v="6"/>
    <x v="512"/>
    <x v="5"/>
    <x v="2"/>
    <x v="6"/>
    <s v="Stur-D-Stor Shelving, Vertical 5-Shelf: 72&quot;H x 36&quot;W x 18 1/2&quot;D"/>
    <n v="332.94"/>
    <n v="3"/>
    <n v="6.66"/>
  </r>
  <r>
    <d v="2016-09-11T00:00:00"/>
    <x v="2"/>
    <x v="6"/>
    <x v="512"/>
    <x v="5"/>
    <x v="2"/>
    <x v="9"/>
    <s v="GBC Standard Therm-A-Bind Covers"/>
    <n v="39.869999999999997"/>
    <n v="2"/>
    <n v="12.96"/>
  </r>
  <r>
    <d v="2016-09-11T00:00:00"/>
    <x v="2"/>
    <x v="6"/>
    <x v="173"/>
    <x v="39"/>
    <x v="0"/>
    <x v="2"/>
    <s v="Plantronics Encore H101 Dual EarpiecesÂ Headset"/>
    <n v="224.75"/>
    <n v="5"/>
    <n v="62.93"/>
  </r>
  <r>
    <d v="2016-09-11T00:00:00"/>
    <x v="2"/>
    <x v="6"/>
    <x v="472"/>
    <x v="3"/>
    <x v="2"/>
    <x v="8"/>
    <s v="Smead Alpha-Z Color-Coded Name Labels First Letter Starter Set"/>
    <n v="6"/>
    <n v="2"/>
    <n v="2.1"/>
  </r>
  <r>
    <d v="2016-09-11T00:00:00"/>
    <x v="2"/>
    <x v="6"/>
    <x v="472"/>
    <x v="3"/>
    <x v="2"/>
    <x v="9"/>
    <s v="Insertable Tab Indexes For Data Binders"/>
    <n v="1.91"/>
    <n v="3"/>
    <n v="-3.24"/>
  </r>
  <r>
    <d v="2016-09-11T00:00:00"/>
    <x v="2"/>
    <x v="6"/>
    <x v="564"/>
    <x v="23"/>
    <x v="2"/>
    <x v="11"/>
    <s v="Crayola Anti Dust Chalk, 12/Pack"/>
    <n v="2.91"/>
    <n v="2"/>
    <n v="0.91"/>
  </r>
  <r>
    <d v="2016-09-11T00:00:00"/>
    <x v="2"/>
    <x v="6"/>
    <x v="564"/>
    <x v="23"/>
    <x v="2"/>
    <x v="3"/>
    <s v="Xerox 1976"/>
    <n v="20.74"/>
    <n v="4"/>
    <n v="7.26"/>
  </r>
  <r>
    <d v="2016-09-11T00:00:00"/>
    <x v="2"/>
    <x v="6"/>
    <x v="564"/>
    <x v="23"/>
    <x v="2"/>
    <x v="3"/>
    <s v="Great White Multi-Use Recycled Paper (20Lb. and 84 Bright)"/>
    <n v="9.57"/>
    <n v="2"/>
    <n v="2.99"/>
  </r>
  <r>
    <d v="2016-09-11T00:00:00"/>
    <x v="2"/>
    <x v="6"/>
    <x v="179"/>
    <x v="4"/>
    <x v="2"/>
    <x v="13"/>
    <s v="Cameo Buff Policy Envelopes"/>
    <n v="99.57"/>
    <n v="2"/>
    <n v="33.6"/>
  </r>
  <r>
    <d v="2016-10-11T00:00:00"/>
    <x v="2"/>
    <x v="7"/>
    <x v="170"/>
    <x v="3"/>
    <x v="2"/>
    <x v="11"/>
    <s v="Avery Fluorescent Highlighter Four-Color Set"/>
    <n v="5.34"/>
    <n v="2"/>
    <n v="0.67"/>
  </r>
  <r>
    <d v="2016-10-11T00:00:00"/>
    <x v="2"/>
    <x v="7"/>
    <x v="170"/>
    <x v="3"/>
    <x v="2"/>
    <x v="11"/>
    <s v="Newell 309"/>
    <n v="27.72"/>
    <n v="3"/>
    <n v="3.47"/>
  </r>
  <r>
    <d v="2016-11-11T00:00:00"/>
    <x v="2"/>
    <x v="8"/>
    <x v="531"/>
    <x v="2"/>
    <x v="0"/>
    <x v="0"/>
    <s v="Micropad Numeric Keypads"/>
    <n v="59.97"/>
    <n v="3"/>
    <n v="14.99"/>
  </r>
  <r>
    <d v="2016-11-11T00:00:00"/>
    <x v="2"/>
    <x v="8"/>
    <x v="531"/>
    <x v="2"/>
    <x v="2"/>
    <x v="6"/>
    <s v="Safco Steel Mobile File Cart"/>
    <n v="83.36"/>
    <n v="1"/>
    <n v="20.84"/>
  </r>
  <r>
    <d v="2016-11-11T00:00:00"/>
    <x v="2"/>
    <x v="8"/>
    <x v="401"/>
    <x v="3"/>
    <x v="0"/>
    <x v="0"/>
    <s v="Belkin F8E887 USB Wired Ergonomic Keyboard"/>
    <n v="95.97"/>
    <n v="4"/>
    <n v="1.2"/>
  </r>
  <r>
    <d v="2016-11-11T00:00:00"/>
    <x v="2"/>
    <x v="8"/>
    <x v="401"/>
    <x v="3"/>
    <x v="1"/>
    <x v="1"/>
    <s v="Global Chrome Stack Chair"/>
    <n v="47.99"/>
    <n v="2"/>
    <n v="-2.06"/>
  </r>
  <r>
    <d v="2016-11-11T00:00:00"/>
    <x v="2"/>
    <x v="8"/>
    <x v="602"/>
    <x v="10"/>
    <x v="0"/>
    <x v="2"/>
    <s v="Digium D40 VoIP phone"/>
    <n v="257.98"/>
    <n v="2"/>
    <n v="74.81"/>
  </r>
  <r>
    <d v="2016-11-11T00:00:00"/>
    <x v="2"/>
    <x v="8"/>
    <x v="82"/>
    <x v="5"/>
    <x v="1"/>
    <x v="5"/>
    <s v="Eldon Regeneration Recycled Desk Accessories, Smoke"/>
    <n v="6.96"/>
    <n v="4"/>
    <n v="2.23"/>
  </r>
  <r>
    <d v="2016-11-11T00:00:00"/>
    <x v="2"/>
    <x v="8"/>
    <x v="524"/>
    <x v="11"/>
    <x v="2"/>
    <x v="9"/>
    <s v="Ibico Standard Transparent Covers"/>
    <n v="9.89"/>
    <n v="2"/>
    <n v="-6.92"/>
  </r>
  <r>
    <d v="2016-11-11T00:00:00"/>
    <x v="2"/>
    <x v="8"/>
    <x v="524"/>
    <x v="11"/>
    <x v="2"/>
    <x v="10"/>
    <s v="Sanyo 2.5 Cubic Foot Mid-Size Office Refrigerators"/>
    <n v="671.54"/>
    <n v="3"/>
    <n v="50.37"/>
  </r>
  <r>
    <d v="2016-11-11T00:00:00"/>
    <x v="2"/>
    <x v="8"/>
    <x v="400"/>
    <x v="2"/>
    <x v="2"/>
    <x v="6"/>
    <s v="Staple magnet"/>
    <n v="28.14"/>
    <n v="3"/>
    <n v="7.88"/>
  </r>
  <r>
    <d v="2016-11-11T00:00:00"/>
    <x v="2"/>
    <x v="8"/>
    <x v="400"/>
    <x v="2"/>
    <x v="0"/>
    <x v="0"/>
    <s v="KeyTronicÂ E03601U1 -Â KeyboardÂ - Beige"/>
    <n v="36"/>
    <n v="2"/>
    <n v="6.48"/>
  </r>
  <r>
    <d v="2016-11-11T00:00:00"/>
    <x v="2"/>
    <x v="8"/>
    <x v="400"/>
    <x v="2"/>
    <x v="2"/>
    <x v="11"/>
    <s v="Boston School Pro Electric Pencil Sharpener, 1670"/>
    <n v="92.94"/>
    <n v="3"/>
    <n v="25.09"/>
  </r>
  <r>
    <d v="2016-11-11T00:00:00"/>
    <x v="2"/>
    <x v="8"/>
    <x v="400"/>
    <x v="2"/>
    <x v="1"/>
    <x v="1"/>
    <s v="Global Wood Trimmed Manager's Task Chair, Khaki"/>
    <n v="245.65"/>
    <n v="3"/>
    <n v="8.19"/>
  </r>
  <r>
    <d v="2016-11-11T00:00:00"/>
    <x v="2"/>
    <x v="8"/>
    <x v="400"/>
    <x v="2"/>
    <x v="2"/>
    <x v="9"/>
    <s v="Deluxe Heavy-Duty Vinyl Round Ring Binder"/>
    <n v="55.01"/>
    <n v="3"/>
    <n v="17.190000000000001"/>
  </r>
  <r>
    <d v="2016-11-11T00:00:00"/>
    <x v="2"/>
    <x v="8"/>
    <x v="400"/>
    <x v="2"/>
    <x v="2"/>
    <x v="9"/>
    <s v="XtraLife ClearVue Slant-D Ring Binder, White, 3&quot;"/>
    <n v="35.229999999999997"/>
    <n v="3"/>
    <n v="11.45"/>
  </r>
  <r>
    <d v="2016-11-11T00:00:00"/>
    <x v="2"/>
    <x v="8"/>
    <x v="632"/>
    <x v="5"/>
    <x v="1"/>
    <x v="5"/>
    <s v="Magnifier Swing Arm Lamp"/>
    <n v="41.96"/>
    <n v="2"/>
    <n v="10.91"/>
  </r>
  <r>
    <d v="2016-11-11T00:00:00"/>
    <x v="2"/>
    <x v="8"/>
    <x v="632"/>
    <x v="5"/>
    <x v="1"/>
    <x v="1"/>
    <s v="Hon Every-Day Series Multi-Task Chairs"/>
    <n v="451.15"/>
    <n v="3"/>
    <n v="0"/>
  </r>
  <r>
    <d v="2016-11-11T00:00:00"/>
    <x v="2"/>
    <x v="8"/>
    <x v="632"/>
    <x v="5"/>
    <x v="2"/>
    <x v="9"/>
    <s v="Avery Poly Binder Pockets"/>
    <n v="31.5"/>
    <n v="11"/>
    <n v="11.03"/>
  </r>
  <r>
    <d v="2016-11-11T00:00:00"/>
    <x v="2"/>
    <x v="8"/>
    <x v="567"/>
    <x v="33"/>
    <x v="1"/>
    <x v="7"/>
    <s v="Balt Solid Wood Round Tables"/>
    <n v="2678.94"/>
    <n v="6"/>
    <n v="241.1"/>
  </r>
  <r>
    <d v="2016-11-11T00:00:00"/>
    <x v="2"/>
    <x v="8"/>
    <x v="633"/>
    <x v="3"/>
    <x v="2"/>
    <x v="11"/>
    <s v="Newell 332"/>
    <n v="14.11"/>
    <n v="6"/>
    <n v="1.23"/>
  </r>
  <r>
    <d v="2016-12-11T00:00:00"/>
    <x v="2"/>
    <x v="9"/>
    <x v="634"/>
    <x v="2"/>
    <x v="2"/>
    <x v="4"/>
    <s v="Advantus Push Pins"/>
    <n v="15.26"/>
    <n v="7"/>
    <n v="6.26"/>
  </r>
  <r>
    <d v="2016-12-11T00:00:00"/>
    <x v="2"/>
    <x v="9"/>
    <x v="634"/>
    <x v="2"/>
    <x v="0"/>
    <x v="2"/>
    <s v="AT&amp;T CL83451 4-Handset Telephone"/>
    <n v="1029.95"/>
    <n v="5"/>
    <n v="298.69"/>
  </r>
  <r>
    <d v="2016-12-11T00:00:00"/>
    <x v="2"/>
    <x v="9"/>
    <x v="470"/>
    <x v="15"/>
    <x v="2"/>
    <x v="6"/>
    <s v="Tennsco Regal Shelving Units"/>
    <n v="243.38"/>
    <n v="3"/>
    <n v="-51.72"/>
  </r>
  <r>
    <d v="2016-12-11T00:00:00"/>
    <x v="2"/>
    <x v="9"/>
    <x v="470"/>
    <x v="15"/>
    <x v="0"/>
    <x v="0"/>
    <s v="ImationÂ 32GB Pocket Pro USB 3.0Â Flash DriveÂ - 32 GB - Black - 1 P ..."/>
    <n v="119.8"/>
    <n v="5"/>
    <n v="29.95"/>
  </r>
  <r>
    <d v="2016-12-11T00:00:00"/>
    <x v="2"/>
    <x v="9"/>
    <x v="470"/>
    <x v="15"/>
    <x v="0"/>
    <x v="2"/>
    <s v="Jabra SPEAK 410"/>
    <n v="300.77"/>
    <n v="4"/>
    <n v="30.08"/>
  </r>
  <r>
    <d v="2016-12-11T00:00:00"/>
    <x v="2"/>
    <x v="9"/>
    <x v="447"/>
    <x v="1"/>
    <x v="1"/>
    <x v="5"/>
    <s v="3M Hangers With Command Adhesive"/>
    <n v="14.8"/>
    <n v="4"/>
    <n v="6.07"/>
  </r>
  <r>
    <d v="2016-12-11T00:00:00"/>
    <x v="2"/>
    <x v="9"/>
    <x v="447"/>
    <x v="1"/>
    <x v="0"/>
    <x v="2"/>
    <s v="AT&amp;T TR1909W"/>
    <n v="302.38"/>
    <n v="3"/>
    <n v="22.68"/>
  </r>
  <r>
    <d v="2016-12-11T00:00:00"/>
    <x v="2"/>
    <x v="9"/>
    <x v="447"/>
    <x v="1"/>
    <x v="0"/>
    <x v="0"/>
    <s v="First Data FD10 PIN Pad"/>
    <n v="316"/>
    <n v="4"/>
    <n v="31.6"/>
  </r>
  <r>
    <d v="2016-12-11T00:00:00"/>
    <x v="2"/>
    <x v="9"/>
    <x v="212"/>
    <x v="11"/>
    <x v="2"/>
    <x v="6"/>
    <s v="Steel Personal Filing/Posting Tote"/>
    <n v="85.22"/>
    <n v="3"/>
    <n v="7.46"/>
  </r>
  <r>
    <d v="2016-12-11T00:00:00"/>
    <x v="2"/>
    <x v="9"/>
    <x v="499"/>
    <x v="26"/>
    <x v="2"/>
    <x v="11"/>
    <s v="Prang Drawing Pencil Set"/>
    <n v="6.67"/>
    <n v="3"/>
    <n v="1.67"/>
  </r>
  <r>
    <d v="2016-12-11T00:00:00"/>
    <x v="2"/>
    <x v="9"/>
    <x v="433"/>
    <x v="18"/>
    <x v="2"/>
    <x v="6"/>
    <s v="Acco Perma 4000 Stacking Storage Drawers"/>
    <n v="64.959999999999994"/>
    <n v="5"/>
    <n v="-4.0599999999999996"/>
  </r>
  <r>
    <d v="2016-12-11T00:00:00"/>
    <x v="2"/>
    <x v="9"/>
    <x v="433"/>
    <x v="18"/>
    <x v="2"/>
    <x v="15"/>
    <s v="Elite 5&quot; Scissors"/>
    <n v="13.52"/>
    <n v="2"/>
    <n v="1.69"/>
  </r>
  <r>
    <d v="2016-12-11T00:00:00"/>
    <x v="2"/>
    <x v="9"/>
    <x v="433"/>
    <x v="18"/>
    <x v="1"/>
    <x v="1"/>
    <s v="Office Star - Contemporary Task Swivel chair with Loop Arms, Charcoal"/>
    <n v="458.43"/>
    <n v="5"/>
    <n v="-137.53"/>
  </r>
  <r>
    <d v="2016-12-11T00:00:00"/>
    <x v="2"/>
    <x v="9"/>
    <x v="433"/>
    <x v="18"/>
    <x v="2"/>
    <x v="10"/>
    <s v="Belkin 325VA UPS Surge Protector, 6'"/>
    <n v="387.14"/>
    <n v="4"/>
    <n v="24.2"/>
  </r>
  <r>
    <d v="2016-12-11T00:00:00"/>
    <x v="2"/>
    <x v="9"/>
    <x v="433"/>
    <x v="18"/>
    <x v="1"/>
    <x v="7"/>
    <s v="Lesro Round Back Collection Coffee Table, End Table"/>
    <n v="328.59"/>
    <n v="3"/>
    <n v="-147.87"/>
  </r>
  <r>
    <d v="2016-12-11T00:00:00"/>
    <x v="2"/>
    <x v="9"/>
    <x v="100"/>
    <x v="16"/>
    <x v="1"/>
    <x v="1"/>
    <s v="Global Fabric Manager's Chair, Dark Gray"/>
    <n v="403.92"/>
    <n v="5"/>
    <n v="25.25"/>
  </r>
  <r>
    <d v="2016-12-11T00:00:00"/>
    <x v="2"/>
    <x v="9"/>
    <x v="119"/>
    <x v="5"/>
    <x v="2"/>
    <x v="9"/>
    <s v="Ibico Laser Imprintable Binding System Covers"/>
    <n v="209.6"/>
    <n v="5"/>
    <n v="68.12"/>
  </r>
  <r>
    <d v="2016-12-11T00:00:00"/>
    <x v="2"/>
    <x v="9"/>
    <x v="119"/>
    <x v="5"/>
    <x v="2"/>
    <x v="11"/>
    <s v="Boston 16765 Mini Stand Up Battery Pencil Sharpener"/>
    <n v="23.32"/>
    <n v="2"/>
    <n v="6.06"/>
  </r>
  <r>
    <d v="2016-12-11T00:00:00"/>
    <x v="2"/>
    <x v="9"/>
    <x v="119"/>
    <x v="5"/>
    <x v="2"/>
    <x v="3"/>
    <s v="IBM Multi-Purpose Copy Paper, 8 1/2 x 11&quot;, Case"/>
    <n v="30.98"/>
    <n v="1"/>
    <n v="13.94"/>
  </r>
  <r>
    <d v="2016-12-11T00:00:00"/>
    <x v="2"/>
    <x v="9"/>
    <x v="119"/>
    <x v="5"/>
    <x v="0"/>
    <x v="0"/>
    <s v="Microsoft Natural Ergonomic Keyboard 4000"/>
    <n v="119.96"/>
    <n v="4"/>
    <n v="25.19"/>
  </r>
  <r>
    <d v="2016-12-11T00:00:00"/>
    <x v="2"/>
    <x v="9"/>
    <x v="119"/>
    <x v="5"/>
    <x v="1"/>
    <x v="1"/>
    <s v="Global Wood Trimmed Manager's Task Chair, Khaki"/>
    <n v="363.92"/>
    <n v="5"/>
    <n v="-31.84"/>
  </r>
  <r>
    <d v="2016-12-11T00:00:00"/>
    <x v="2"/>
    <x v="9"/>
    <x v="119"/>
    <x v="5"/>
    <x v="2"/>
    <x v="9"/>
    <s v="Recycled Easel Ring Binders"/>
    <n v="35.81"/>
    <n v="3"/>
    <n v="11.19"/>
  </r>
  <r>
    <d v="2016-12-11T00:00:00"/>
    <x v="2"/>
    <x v="9"/>
    <x v="119"/>
    <x v="5"/>
    <x v="2"/>
    <x v="9"/>
    <s v="GBC Recycled VeloBinder Covers"/>
    <n v="122.69"/>
    <n v="9"/>
    <n v="39.869999999999997"/>
  </r>
  <r>
    <d v="2016-12-11T00:00:00"/>
    <x v="2"/>
    <x v="9"/>
    <x v="119"/>
    <x v="5"/>
    <x v="1"/>
    <x v="7"/>
    <s v="Hon Non-Folding Utility Tables"/>
    <n v="892.14"/>
    <n v="7"/>
    <n v="111.52"/>
  </r>
  <r>
    <d v="2016-12-11T00:00:00"/>
    <x v="2"/>
    <x v="9"/>
    <x v="119"/>
    <x v="5"/>
    <x v="2"/>
    <x v="6"/>
    <s v="Rogers Profile Extra Capacity Storage Tub"/>
    <n v="50.22"/>
    <n v="3"/>
    <n v="2.0099999999999998"/>
  </r>
  <r>
    <d v="2016-12-11T00:00:00"/>
    <x v="2"/>
    <x v="9"/>
    <x v="119"/>
    <x v="5"/>
    <x v="2"/>
    <x v="10"/>
    <s v="Fellowes 8 Outlet Superior Workstation Surge Protector"/>
    <n v="83.42"/>
    <n v="2"/>
    <n v="24.19"/>
  </r>
  <r>
    <d v="2016-12-11T00:00:00"/>
    <x v="2"/>
    <x v="9"/>
    <x v="119"/>
    <x v="5"/>
    <x v="2"/>
    <x v="9"/>
    <s v="Black Avery Memo-Size 3-Ring Binder, 5 1/2&quot; x 8 1/2&quot;"/>
    <n v="5.87"/>
    <n v="2"/>
    <n v="2.13"/>
  </r>
  <r>
    <d v="2016-12-11T00:00:00"/>
    <x v="2"/>
    <x v="9"/>
    <x v="482"/>
    <x v="18"/>
    <x v="2"/>
    <x v="10"/>
    <s v="Belkin F5C206VTEL 6 Outlet Surge"/>
    <n v="73.540000000000006"/>
    <n v="4"/>
    <n v="9.19"/>
  </r>
  <r>
    <d v="2016-02-12T00:00:00"/>
    <x v="2"/>
    <x v="0"/>
    <x v="206"/>
    <x v="19"/>
    <x v="2"/>
    <x v="6"/>
    <s v="Tennsco Double-Tier Lockers"/>
    <n v="1350.12"/>
    <n v="6"/>
    <n v="175.52"/>
  </r>
  <r>
    <d v="2016-02-12T00:00:00"/>
    <x v="2"/>
    <x v="0"/>
    <x v="206"/>
    <x v="19"/>
    <x v="2"/>
    <x v="9"/>
    <s v="Avery Durable Slant Ring Binders, No Labels"/>
    <n v="15.92"/>
    <n v="4"/>
    <n v="7.48"/>
  </r>
  <r>
    <d v="2016-03-12T00:00:00"/>
    <x v="2"/>
    <x v="1"/>
    <x v="440"/>
    <x v="30"/>
    <x v="2"/>
    <x v="3"/>
    <s v="Xerox 218"/>
    <n v="12.96"/>
    <n v="2"/>
    <n v="6.22"/>
  </r>
  <r>
    <d v="2016-03-12T00:00:00"/>
    <x v="2"/>
    <x v="1"/>
    <x v="492"/>
    <x v="2"/>
    <x v="2"/>
    <x v="13"/>
    <s v="Staple envelope"/>
    <n v="29.34"/>
    <n v="3"/>
    <n v="13.5"/>
  </r>
  <r>
    <d v="2016-03-12T00:00:00"/>
    <x v="2"/>
    <x v="1"/>
    <x v="373"/>
    <x v="5"/>
    <x v="2"/>
    <x v="6"/>
    <s v="Tennsco Stur-D-Stor Boltless Shelving, 5 Shelves, 24&quot; Deep, Sand"/>
    <n v="676.55"/>
    <n v="5"/>
    <n v="6.77"/>
  </r>
  <r>
    <d v="2016-03-12T00:00:00"/>
    <x v="2"/>
    <x v="1"/>
    <x v="373"/>
    <x v="5"/>
    <x v="2"/>
    <x v="10"/>
    <s v="Euro-Pro Shark Turbo Vacuum"/>
    <n v="154.9"/>
    <n v="5"/>
    <n v="40.270000000000003"/>
  </r>
  <r>
    <d v="2016-03-12T00:00:00"/>
    <x v="2"/>
    <x v="1"/>
    <x v="373"/>
    <x v="5"/>
    <x v="2"/>
    <x v="13"/>
    <s v="Security-Tint Envelopes"/>
    <n v="30.56"/>
    <n v="4"/>
    <n v="14.97"/>
  </r>
  <r>
    <d v="2016-03-12T00:00:00"/>
    <x v="2"/>
    <x v="1"/>
    <x v="373"/>
    <x v="5"/>
    <x v="1"/>
    <x v="1"/>
    <s v="Hon 4070 Series Pagoda Round Back Stacking Chairs"/>
    <n v="770.35"/>
    <n v="3"/>
    <n v="77.040000000000006"/>
  </r>
  <r>
    <d v="2016-03-12T00:00:00"/>
    <x v="2"/>
    <x v="1"/>
    <x v="357"/>
    <x v="5"/>
    <x v="2"/>
    <x v="3"/>
    <s v="Hammermill Color Copier Paper (28Lb. and 96 Bright)"/>
    <n v="19.98"/>
    <n v="2"/>
    <n v="8.99"/>
  </r>
  <r>
    <d v="2016-04-12T00:00:00"/>
    <x v="2"/>
    <x v="2"/>
    <x v="490"/>
    <x v="20"/>
    <x v="1"/>
    <x v="7"/>
    <s v="KI Adjustable-Height Table"/>
    <n v="343.92"/>
    <n v="4"/>
    <n v="75.66"/>
  </r>
  <r>
    <d v="2016-04-12T00:00:00"/>
    <x v="2"/>
    <x v="2"/>
    <x v="490"/>
    <x v="20"/>
    <x v="2"/>
    <x v="3"/>
    <s v="Xerox 1945"/>
    <n v="40.99"/>
    <n v="1"/>
    <n v="20.09"/>
  </r>
  <r>
    <d v="2016-04-12T00:00:00"/>
    <x v="2"/>
    <x v="2"/>
    <x v="490"/>
    <x v="20"/>
    <x v="2"/>
    <x v="13"/>
    <s v="Globe Weis Peel &amp; Seel First Class Envelopes"/>
    <n v="63.9"/>
    <n v="5"/>
    <n v="28.76"/>
  </r>
  <r>
    <d v="2016-04-12T00:00:00"/>
    <x v="2"/>
    <x v="2"/>
    <x v="86"/>
    <x v="5"/>
    <x v="1"/>
    <x v="1"/>
    <s v="Hon Comfortask Task/Swivel Chairs"/>
    <n v="638.29"/>
    <n v="7"/>
    <n v="-31.91"/>
  </r>
  <r>
    <d v="2016-04-12T00:00:00"/>
    <x v="2"/>
    <x v="2"/>
    <x v="86"/>
    <x v="5"/>
    <x v="2"/>
    <x v="9"/>
    <s v="JM Magazine Binder"/>
    <n v="13.21"/>
    <n v="1"/>
    <n v="4.62"/>
  </r>
  <r>
    <d v="2016-04-12T00:00:00"/>
    <x v="2"/>
    <x v="2"/>
    <x v="635"/>
    <x v="5"/>
    <x v="2"/>
    <x v="3"/>
    <s v="Xerox 206"/>
    <n v="19.440000000000001"/>
    <n v="3"/>
    <n v="9.33"/>
  </r>
  <r>
    <d v="2016-04-12T00:00:00"/>
    <x v="2"/>
    <x v="2"/>
    <x v="635"/>
    <x v="5"/>
    <x v="1"/>
    <x v="1"/>
    <s v="Global Geo Office Task Chair, Gray"/>
    <n v="194.35"/>
    <n v="3"/>
    <n v="-36.44"/>
  </r>
  <r>
    <d v="2016-04-12T00:00:00"/>
    <x v="2"/>
    <x v="2"/>
    <x v="635"/>
    <x v="5"/>
    <x v="2"/>
    <x v="9"/>
    <s v="Aluminum Screw Posts"/>
    <n v="36.619999999999997"/>
    <n v="3"/>
    <n v="13.73"/>
  </r>
  <r>
    <d v="2016-04-12T00:00:00"/>
    <x v="2"/>
    <x v="2"/>
    <x v="228"/>
    <x v="12"/>
    <x v="2"/>
    <x v="6"/>
    <s v="Fellowes Bankers Box Recycled Super Stor/Drawer"/>
    <n v="129.55000000000001"/>
    <n v="3"/>
    <n v="-22.67"/>
  </r>
  <r>
    <d v="2016-04-12T00:00:00"/>
    <x v="2"/>
    <x v="2"/>
    <x v="228"/>
    <x v="12"/>
    <x v="2"/>
    <x v="6"/>
    <s v="Fellowes Bankers Box Staxonsteel Drawer File/Stacking System"/>
    <n v="51.98"/>
    <n v="1"/>
    <n v="-5.2"/>
  </r>
  <r>
    <d v="2016-04-12T00:00:00"/>
    <x v="2"/>
    <x v="2"/>
    <x v="228"/>
    <x v="12"/>
    <x v="2"/>
    <x v="3"/>
    <s v="TOPS &quot;Important Message&quot; Pads, Canary, 4-1/4 x 5-1/2, 50 Sheets per Pad"/>
    <n v="10.27"/>
    <n v="3"/>
    <n v="3.47"/>
  </r>
  <r>
    <d v="2016-05-12T00:00:00"/>
    <x v="2"/>
    <x v="10"/>
    <x v="636"/>
    <x v="20"/>
    <x v="2"/>
    <x v="11"/>
    <s v="Rogers Handheld Barrel Pencil Sharpener"/>
    <n v="10.96"/>
    <n v="4"/>
    <n v="2.96"/>
  </r>
  <r>
    <d v="2016-05-12T00:00:00"/>
    <x v="2"/>
    <x v="10"/>
    <x v="270"/>
    <x v="13"/>
    <x v="2"/>
    <x v="6"/>
    <s v="Belkin 19&quot; Vented Equipment Shelf, Black"/>
    <n v="82.37"/>
    <n v="2"/>
    <n v="-19.559999999999999"/>
  </r>
  <r>
    <d v="2016-05-12T00:00:00"/>
    <x v="2"/>
    <x v="10"/>
    <x v="609"/>
    <x v="1"/>
    <x v="2"/>
    <x v="13"/>
    <s v="Manila Recycled Extra-Heavyweight Clasp Envelopes, 6&quot; x 9&quot;"/>
    <n v="54.9"/>
    <n v="5"/>
    <n v="26.9"/>
  </r>
  <r>
    <d v="2016-05-12T00:00:00"/>
    <x v="2"/>
    <x v="10"/>
    <x v="391"/>
    <x v="2"/>
    <x v="1"/>
    <x v="5"/>
    <s v="OIC Stacking Trays"/>
    <n v="10.02"/>
    <n v="3"/>
    <n v="4.41"/>
  </r>
  <r>
    <d v="2016-05-12T00:00:00"/>
    <x v="2"/>
    <x v="10"/>
    <x v="391"/>
    <x v="2"/>
    <x v="0"/>
    <x v="2"/>
    <s v="Jawbone JAMBOX Wireless Bluetooth Speaker"/>
    <n v="631.96"/>
    <n v="4"/>
    <n v="303.33999999999997"/>
  </r>
  <r>
    <d v="2016-05-12T00:00:00"/>
    <x v="2"/>
    <x v="10"/>
    <x v="637"/>
    <x v="5"/>
    <x v="0"/>
    <x v="0"/>
    <s v="Memorex Mini Travel Drive 32 GB USB 2.0 Flash Drive"/>
    <n v="120"/>
    <n v="6"/>
    <n v="46.8"/>
  </r>
  <r>
    <d v="2016-05-12T00:00:00"/>
    <x v="2"/>
    <x v="10"/>
    <x v="637"/>
    <x v="5"/>
    <x v="2"/>
    <x v="10"/>
    <s v="Staple holder"/>
    <n v="8.67"/>
    <n v="1"/>
    <n v="2.34"/>
  </r>
  <r>
    <d v="2016-06-12T00:00:00"/>
    <x v="2"/>
    <x v="3"/>
    <x v="638"/>
    <x v="5"/>
    <x v="2"/>
    <x v="8"/>
    <s v="Self-Adhesive Address Labels for Typewriters by Universal"/>
    <n v="14.62"/>
    <n v="2"/>
    <n v="6.87"/>
  </r>
  <r>
    <d v="2016-06-12T00:00:00"/>
    <x v="2"/>
    <x v="3"/>
    <x v="639"/>
    <x v="34"/>
    <x v="2"/>
    <x v="10"/>
    <s v="1.7 Cubic Foot Compact &quot;Cube&quot; Office Refrigerators"/>
    <n v="208.16"/>
    <n v="1"/>
    <n v="56.2"/>
  </r>
  <r>
    <d v="2016-06-12T00:00:00"/>
    <x v="2"/>
    <x v="3"/>
    <x v="639"/>
    <x v="34"/>
    <x v="2"/>
    <x v="9"/>
    <s v="Avery Heavy-Duty EZD  Binder With Locking Rings"/>
    <n v="16.739999999999998"/>
    <n v="3"/>
    <n v="8.0399999999999991"/>
  </r>
  <r>
    <d v="2016-06-12T00:00:00"/>
    <x v="2"/>
    <x v="3"/>
    <x v="78"/>
    <x v="37"/>
    <x v="1"/>
    <x v="5"/>
    <s v="Artistic Insta-Plaque"/>
    <n v="47.04"/>
    <n v="3"/>
    <n v="18.350000000000001"/>
  </r>
  <r>
    <d v="2016-06-12T00:00:00"/>
    <x v="2"/>
    <x v="3"/>
    <x v="78"/>
    <x v="37"/>
    <x v="2"/>
    <x v="9"/>
    <s v="DXL Angle-View Binders with Locking Rings by Samsill"/>
    <n v="30.84"/>
    <n v="4"/>
    <n v="13.88"/>
  </r>
  <r>
    <d v="2016-06-12T00:00:00"/>
    <x v="2"/>
    <x v="3"/>
    <x v="78"/>
    <x v="37"/>
    <x v="2"/>
    <x v="6"/>
    <s v="Companion Letter/Legal File, Black"/>
    <n v="226.56"/>
    <n v="6"/>
    <n v="63.44"/>
  </r>
  <r>
    <d v="2016-06-12T00:00:00"/>
    <x v="2"/>
    <x v="3"/>
    <x v="78"/>
    <x v="37"/>
    <x v="2"/>
    <x v="13"/>
    <s v="Globe Weis Peel &amp; Seel First Class Envelopes"/>
    <n v="115.02"/>
    <n v="9"/>
    <n v="51.76"/>
  </r>
  <r>
    <d v="2016-06-12T00:00:00"/>
    <x v="2"/>
    <x v="3"/>
    <x v="78"/>
    <x v="37"/>
    <x v="0"/>
    <x v="2"/>
    <s v="KLD Oscar II Style Snap-on Ultra Thin Side Flip Synthetic Leather Cover Case for HTC One HTC M7"/>
    <n v="68.040000000000006"/>
    <n v="7"/>
    <n v="19.73"/>
  </r>
  <r>
    <d v="2016-06-12T00:00:00"/>
    <x v="2"/>
    <x v="3"/>
    <x v="483"/>
    <x v="3"/>
    <x v="0"/>
    <x v="14"/>
    <s v="Canon Color ImageCLASS MF8580Cdw Wireless Laser All-In-One Printer, Copier, Scanner"/>
    <n v="1007.98"/>
    <n v="3"/>
    <n v="43.2"/>
  </r>
  <r>
    <d v="2016-06-12T00:00:00"/>
    <x v="2"/>
    <x v="3"/>
    <x v="483"/>
    <x v="3"/>
    <x v="2"/>
    <x v="3"/>
    <s v="Xerox 1908"/>
    <n v="313.49"/>
    <n v="7"/>
    <n v="113.64"/>
  </r>
  <r>
    <d v="2016-06-12T00:00:00"/>
    <x v="2"/>
    <x v="3"/>
    <x v="640"/>
    <x v="3"/>
    <x v="2"/>
    <x v="3"/>
    <s v="Xerox 1978"/>
    <n v="23.12"/>
    <n v="5"/>
    <n v="8.3800000000000008"/>
  </r>
  <r>
    <d v="2016-06-12T00:00:00"/>
    <x v="2"/>
    <x v="3"/>
    <x v="409"/>
    <x v="2"/>
    <x v="2"/>
    <x v="3"/>
    <s v="IBM Multi-Purpose Copy Paper, 8 1/2 x 11&quot;, Case"/>
    <n v="92.94"/>
    <n v="3"/>
    <n v="41.82"/>
  </r>
  <r>
    <d v="2016-06-12T00:00:00"/>
    <x v="2"/>
    <x v="3"/>
    <x v="409"/>
    <x v="2"/>
    <x v="2"/>
    <x v="10"/>
    <s v="Bionaire 99.97% HEPA Air Cleaner"/>
    <n v="52.56"/>
    <n v="3"/>
    <n v="18.399999999999999"/>
  </r>
  <r>
    <d v="2016-06-12T00:00:00"/>
    <x v="2"/>
    <x v="3"/>
    <x v="29"/>
    <x v="5"/>
    <x v="2"/>
    <x v="3"/>
    <s v="IBM Multi-Purpose Copy Paper, 8 1/2 x 11&quot;, Case"/>
    <n v="185.88"/>
    <n v="6"/>
    <n v="83.65"/>
  </r>
  <r>
    <d v="2016-06-12T00:00:00"/>
    <x v="2"/>
    <x v="3"/>
    <x v="29"/>
    <x v="5"/>
    <x v="2"/>
    <x v="3"/>
    <s v="Xerox 228"/>
    <n v="12.96"/>
    <n v="2"/>
    <n v="6.22"/>
  </r>
  <r>
    <d v="2016-06-12T00:00:00"/>
    <x v="2"/>
    <x v="3"/>
    <x v="600"/>
    <x v="4"/>
    <x v="2"/>
    <x v="10"/>
    <s v="APC 7 Outlet Network SurgeArrest Surge Protector"/>
    <n v="64.38"/>
    <n v="4"/>
    <n v="-160.96"/>
  </r>
  <r>
    <d v="2016-06-12T00:00:00"/>
    <x v="2"/>
    <x v="3"/>
    <x v="600"/>
    <x v="4"/>
    <x v="1"/>
    <x v="5"/>
    <s v="Dax Clear Box Frame"/>
    <n v="6.98"/>
    <n v="2"/>
    <n v="-4.54"/>
  </r>
  <r>
    <d v="2016-06-12T00:00:00"/>
    <x v="2"/>
    <x v="3"/>
    <x v="600"/>
    <x v="4"/>
    <x v="2"/>
    <x v="11"/>
    <s v="Nontoxic Chalk"/>
    <n v="11.26"/>
    <n v="8"/>
    <n v="3.94"/>
  </r>
  <r>
    <d v="2016-06-12T00:00:00"/>
    <x v="2"/>
    <x v="3"/>
    <x v="600"/>
    <x v="4"/>
    <x v="2"/>
    <x v="3"/>
    <s v="Xerox 1975"/>
    <n v="15.55"/>
    <n v="3"/>
    <n v="5.64"/>
  </r>
  <r>
    <d v="2016-06-12T00:00:00"/>
    <x v="2"/>
    <x v="3"/>
    <x v="600"/>
    <x v="4"/>
    <x v="1"/>
    <x v="1"/>
    <s v="Global Enterprise Series Seating High-Back Swivel/Tilt Chairs"/>
    <n v="379.37"/>
    <n v="2"/>
    <n v="-119.23"/>
  </r>
  <r>
    <d v="2016-06-12T00:00:00"/>
    <x v="2"/>
    <x v="3"/>
    <x v="600"/>
    <x v="4"/>
    <x v="2"/>
    <x v="6"/>
    <s v="Staple magnet"/>
    <n v="67.540000000000006"/>
    <n v="9"/>
    <n v="6.75"/>
  </r>
  <r>
    <d v="2016-06-12T00:00:00"/>
    <x v="2"/>
    <x v="3"/>
    <x v="600"/>
    <x v="4"/>
    <x v="2"/>
    <x v="9"/>
    <s v="Acco Pressboard Covers with Storage Hooks, 14 7/8&quot; x 11&quot;, Executive Red"/>
    <n v="1.52"/>
    <n v="2"/>
    <n v="-2.67"/>
  </r>
  <r>
    <d v="2016-07-12T00:00:00"/>
    <x v="2"/>
    <x v="4"/>
    <x v="445"/>
    <x v="5"/>
    <x v="0"/>
    <x v="2"/>
    <s v="Cisco SPA525G2 IP Phone - Wireless"/>
    <n v="95.76"/>
    <n v="6"/>
    <n v="7.18"/>
  </r>
  <r>
    <d v="2016-08-12T00:00:00"/>
    <x v="2"/>
    <x v="5"/>
    <x v="366"/>
    <x v="43"/>
    <x v="2"/>
    <x v="3"/>
    <s v="Xerox 224"/>
    <n v="6.48"/>
    <n v="1"/>
    <n v="3.11"/>
  </r>
  <r>
    <d v="2016-08-12T00:00:00"/>
    <x v="2"/>
    <x v="5"/>
    <x v="519"/>
    <x v="4"/>
    <x v="0"/>
    <x v="0"/>
    <s v="Logitech diNovo Edge Keyboard"/>
    <n v="1399.94"/>
    <n v="7"/>
    <n v="52.5"/>
  </r>
  <r>
    <d v="2016-08-12T00:00:00"/>
    <x v="2"/>
    <x v="5"/>
    <x v="171"/>
    <x v="2"/>
    <x v="1"/>
    <x v="1"/>
    <s v="Global Geo Office Task Chair, Gray"/>
    <n v="145.76"/>
    <n v="2"/>
    <n v="-8.1"/>
  </r>
  <r>
    <d v="2016-08-12T00:00:00"/>
    <x v="2"/>
    <x v="5"/>
    <x v="500"/>
    <x v="11"/>
    <x v="1"/>
    <x v="7"/>
    <s v="BPI Conference Tables"/>
    <n v="562.29"/>
    <n v="7"/>
    <n v="-255.59"/>
  </r>
  <r>
    <d v="2016-08-12T00:00:00"/>
    <x v="2"/>
    <x v="5"/>
    <x v="142"/>
    <x v="2"/>
    <x v="1"/>
    <x v="7"/>
    <s v="Chromcraft Round Conference Tables"/>
    <n v="209.15"/>
    <n v="2"/>
    <n v="-66.23"/>
  </r>
  <r>
    <d v="2016-08-12T00:00:00"/>
    <x v="2"/>
    <x v="5"/>
    <x v="142"/>
    <x v="2"/>
    <x v="2"/>
    <x v="6"/>
    <s v="Tennsco 6- and 18-Compartment Lockers"/>
    <n v="1591.02"/>
    <n v="6"/>
    <n v="286.38"/>
  </r>
  <r>
    <d v="2016-08-12T00:00:00"/>
    <x v="2"/>
    <x v="5"/>
    <x v="100"/>
    <x v="13"/>
    <x v="2"/>
    <x v="11"/>
    <s v="Boston 16765 Mini Stand Up Battery Pencil Sharpener"/>
    <n v="37.31"/>
    <n v="4"/>
    <n v="2.8"/>
  </r>
  <r>
    <d v="2016-09-12T00:00:00"/>
    <x v="2"/>
    <x v="6"/>
    <x v="556"/>
    <x v="15"/>
    <x v="1"/>
    <x v="5"/>
    <s v="C-Line Cubicle Keepers Polyproplyene Holder With Velcro Backings"/>
    <n v="15.14"/>
    <n v="4"/>
    <n v="3.59"/>
  </r>
  <r>
    <d v="2016-09-12T00:00:00"/>
    <x v="2"/>
    <x v="6"/>
    <x v="556"/>
    <x v="15"/>
    <x v="1"/>
    <x v="1"/>
    <s v="Hon 4070 Series Pagoda Armless Upholstered Stacking Chairs"/>
    <n v="466.77"/>
    <n v="2"/>
    <n v="52.51"/>
  </r>
  <r>
    <d v="2016-09-12T00:00:00"/>
    <x v="2"/>
    <x v="6"/>
    <x v="556"/>
    <x v="15"/>
    <x v="1"/>
    <x v="5"/>
    <s v="Eldon Expressions Desk Accessory, Wood Photo Frame, Mahogany"/>
    <n v="15.23"/>
    <n v="1"/>
    <n v="1.71"/>
  </r>
  <r>
    <d v="2016-09-12T00:00:00"/>
    <x v="2"/>
    <x v="6"/>
    <x v="556"/>
    <x v="15"/>
    <x v="2"/>
    <x v="8"/>
    <s v="Avery 509"/>
    <n v="6.26"/>
    <n v="3"/>
    <n v="2.04"/>
  </r>
  <r>
    <d v="2016-09-12T00:00:00"/>
    <x v="2"/>
    <x v="6"/>
    <x v="393"/>
    <x v="1"/>
    <x v="2"/>
    <x v="4"/>
    <s v="OIC Bulk Pack Metal Binder Clips"/>
    <n v="10.47"/>
    <n v="3"/>
    <n v="4.82"/>
  </r>
  <r>
    <d v="2016-09-12T00:00:00"/>
    <x v="2"/>
    <x v="6"/>
    <x v="393"/>
    <x v="1"/>
    <x v="2"/>
    <x v="8"/>
    <s v="Avery 487"/>
    <n v="11.07"/>
    <n v="3"/>
    <n v="5.2"/>
  </r>
  <r>
    <d v="2016-09-12T00:00:00"/>
    <x v="2"/>
    <x v="6"/>
    <x v="393"/>
    <x v="1"/>
    <x v="2"/>
    <x v="9"/>
    <s v="GBC Instant Report Kit"/>
    <n v="20.7"/>
    <n v="4"/>
    <n v="7.76"/>
  </r>
  <r>
    <d v="2016-09-12T00:00:00"/>
    <x v="2"/>
    <x v="6"/>
    <x v="572"/>
    <x v="20"/>
    <x v="0"/>
    <x v="0"/>
    <s v="ImationÂ 30456 USBÂ Flash DriveÂ 8GB"/>
    <n v="20.7"/>
    <n v="3"/>
    <n v="1.66"/>
  </r>
  <r>
    <d v="2016-09-12T00:00:00"/>
    <x v="2"/>
    <x v="6"/>
    <x v="572"/>
    <x v="20"/>
    <x v="2"/>
    <x v="4"/>
    <s v="Staples"/>
    <n v="11.34"/>
    <n v="3"/>
    <n v="5.22"/>
  </r>
  <r>
    <d v="2016-09-12T00:00:00"/>
    <x v="2"/>
    <x v="6"/>
    <x v="572"/>
    <x v="20"/>
    <x v="2"/>
    <x v="6"/>
    <s v="Rogers Jumbo File, Granite"/>
    <n v="67.900000000000006"/>
    <n v="5"/>
    <n v="0.68"/>
  </r>
  <r>
    <d v="2016-09-12T00:00:00"/>
    <x v="2"/>
    <x v="6"/>
    <x v="572"/>
    <x v="20"/>
    <x v="1"/>
    <x v="1"/>
    <s v="Hon Olson Stacker Chairs"/>
    <n v="1059.1199999999999"/>
    <n v="4"/>
    <n v="307.14"/>
  </r>
  <r>
    <d v="2016-09-12T00:00:00"/>
    <x v="2"/>
    <x v="6"/>
    <x v="482"/>
    <x v="10"/>
    <x v="2"/>
    <x v="3"/>
    <s v="Xerox 1991"/>
    <n v="68.52"/>
    <n v="3"/>
    <n v="31.52"/>
  </r>
  <r>
    <d v="2016-09-12T00:00:00"/>
    <x v="2"/>
    <x v="6"/>
    <x v="483"/>
    <x v="15"/>
    <x v="0"/>
    <x v="2"/>
    <s v="Lunatik TT5L-002 Taktik Strike Impact Protection System for iPhone 5"/>
    <n v="146.94999999999999"/>
    <n v="3"/>
    <n v="9.18"/>
  </r>
  <r>
    <d v="2016-09-12T00:00:00"/>
    <x v="2"/>
    <x v="6"/>
    <x v="483"/>
    <x v="15"/>
    <x v="1"/>
    <x v="1"/>
    <s v="Global Stack Chair without Arms, Black"/>
    <n v="83.14"/>
    <n v="4"/>
    <n v="5.2"/>
  </r>
  <r>
    <d v="2016-09-12T00:00:00"/>
    <x v="2"/>
    <x v="6"/>
    <x v="641"/>
    <x v="2"/>
    <x v="1"/>
    <x v="5"/>
    <s v="DAX Contemporary Wood Frame with Silver Metal Mat, Desktop, 11 x 14 Size"/>
    <n v="40.479999999999997"/>
    <n v="2"/>
    <n v="14.57"/>
  </r>
  <r>
    <d v="2016-11-12T00:00:00"/>
    <x v="2"/>
    <x v="8"/>
    <x v="103"/>
    <x v="23"/>
    <x v="2"/>
    <x v="9"/>
    <s v="Avery Durable Slant Ring Binders With Label Holder"/>
    <n v="6.27"/>
    <n v="5"/>
    <n v="-4.5999999999999996"/>
  </r>
  <r>
    <d v="2016-11-12T00:00:00"/>
    <x v="2"/>
    <x v="8"/>
    <x v="103"/>
    <x v="23"/>
    <x v="2"/>
    <x v="9"/>
    <s v="Round Ring Binders"/>
    <n v="4.37"/>
    <n v="7"/>
    <n v="-3.35"/>
  </r>
  <r>
    <d v="2016-11-12T00:00:00"/>
    <x v="2"/>
    <x v="8"/>
    <x v="103"/>
    <x v="23"/>
    <x v="0"/>
    <x v="0"/>
    <s v="Micropad Numeric Keypads"/>
    <n v="31.98"/>
    <n v="2"/>
    <n v="2"/>
  </r>
  <r>
    <d v="2016-11-12T00:00:00"/>
    <x v="2"/>
    <x v="8"/>
    <x v="164"/>
    <x v="33"/>
    <x v="2"/>
    <x v="13"/>
    <s v="Tyvek  Top-Opening Peel &amp; Seel  Envelopes, Gray"/>
    <n v="287.52"/>
    <n v="8"/>
    <n v="129.38"/>
  </r>
  <r>
    <d v="2016-11-12T00:00:00"/>
    <x v="2"/>
    <x v="8"/>
    <x v="164"/>
    <x v="33"/>
    <x v="2"/>
    <x v="10"/>
    <s v="Belkin F9H710-06 7 Outlet SurgeMaster Surge Protector"/>
    <n v="37.68"/>
    <n v="2"/>
    <n v="10.55"/>
  </r>
  <r>
    <d v="2016-11-12T00:00:00"/>
    <x v="2"/>
    <x v="8"/>
    <x v="164"/>
    <x v="33"/>
    <x v="2"/>
    <x v="3"/>
    <s v="Xerox 1896"/>
    <n v="19.98"/>
    <n v="2"/>
    <n v="8.99"/>
  </r>
  <r>
    <d v="2016-11-12T00:00:00"/>
    <x v="2"/>
    <x v="8"/>
    <x v="164"/>
    <x v="33"/>
    <x v="2"/>
    <x v="11"/>
    <s v="Newell 332"/>
    <n v="20.58"/>
    <n v="7"/>
    <n v="5.56"/>
  </r>
  <r>
    <d v="2016-11-12T00:00:00"/>
    <x v="2"/>
    <x v="8"/>
    <x v="164"/>
    <x v="33"/>
    <x v="2"/>
    <x v="9"/>
    <s v="Cardinal Slant-D Ring Binders"/>
    <n v="17.38"/>
    <n v="2"/>
    <n v="8.69"/>
  </r>
  <r>
    <d v="2016-11-12T00:00:00"/>
    <x v="2"/>
    <x v="8"/>
    <x v="642"/>
    <x v="18"/>
    <x v="1"/>
    <x v="1"/>
    <s v="Global Leather and Oak Executive Chair, Black"/>
    <n v="1474.8"/>
    <n v="7"/>
    <n v="-21.07"/>
  </r>
  <r>
    <d v="2016-11-12T00:00:00"/>
    <x v="2"/>
    <x v="8"/>
    <x v="642"/>
    <x v="18"/>
    <x v="2"/>
    <x v="10"/>
    <s v="Holmes Replacement Filter for HEPA Air Cleaner, Very Large Room, HEPA Filter"/>
    <n v="110.1"/>
    <n v="2"/>
    <n v="33.03"/>
  </r>
  <r>
    <d v="2016-11-12T00:00:00"/>
    <x v="2"/>
    <x v="8"/>
    <x v="642"/>
    <x v="18"/>
    <x v="2"/>
    <x v="4"/>
    <s v="OIC Bulk Pack Metal Binder Clips"/>
    <n v="16.75"/>
    <n v="6"/>
    <n v="5.44"/>
  </r>
  <r>
    <d v="2016-11-12T00:00:00"/>
    <x v="2"/>
    <x v="8"/>
    <x v="642"/>
    <x v="18"/>
    <x v="1"/>
    <x v="1"/>
    <s v="Hon Deluxe Fabric Upholstered Stacking Chairs, Rounded Back"/>
    <n v="1537.07"/>
    <n v="9"/>
    <n v="0"/>
  </r>
  <r>
    <d v="2016-11-12T00:00:00"/>
    <x v="2"/>
    <x v="8"/>
    <x v="642"/>
    <x v="18"/>
    <x v="1"/>
    <x v="1"/>
    <s v="Hon 4070 Series Pagoda Round Back Stacking Chairs"/>
    <n v="449.37"/>
    <n v="2"/>
    <n v="-12.84"/>
  </r>
  <r>
    <d v="2016-11-12T00:00:00"/>
    <x v="2"/>
    <x v="8"/>
    <x v="8"/>
    <x v="5"/>
    <x v="0"/>
    <x v="2"/>
    <s v="Panasonic KX TS3282W Corded phone"/>
    <n v="203.98"/>
    <n v="3"/>
    <n v="25.5"/>
  </r>
  <r>
    <d v="2016-11-12T00:00:00"/>
    <x v="2"/>
    <x v="8"/>
    <x v="8"/>
    <x v="5"/>
    <x v="1"/>
    <x v="7"/>
    <s v="Global Adaptabilities Conference Tables"/>
    <n v="674.35"/>
    <n v="3"/>
    <n v="-8.43"/>
  </r>
  <r>
    <d v="2016-11-12T00:00:00"/>
    <x v="2"/>
    <x v="8"/>
    <x v="95"/>
    <x v="3"/>
    <x v="1"/>
    <x v="5"/>
    <s v="DAX Charcoal/Nickel-Tone Document Frame, 5 x 7"/>
    <n v="22.75"/>
    <n v="6"/>
    <n v="-8.5299999999999994"/>
  </r>
  <r>
    <d v="2016-12-12T00:00:00"/>
    <x v="2"/>
    <x v="9"/>
    <x v="203"/>
    <x v="18"/>
    <x v="2"/>
    <x v="9"/>
    <s v="Wilson Jones Century Plastic Molded Ring Binders"/>
    <n v="18.690000000000001"/>
    <n v="3"/>
    <n v="-14.33"/>
  </r>
  <r>
    <d v="2016-12-12T00:00:00"/>
    <x v="2"/>
    <x v="9"/>
    <x v="203"/>
    <x v="18"/>
    <x v="0"/>
    <x v="0"/>
    <s v="Logitech G602 Wireless Gaming Mouse"/>
    <n v="383.95"/>
    <n v="6"/>
    <n v="76.790000000000006"/>
  </r>
  <r>
    <d v="2016-12-12T00:00:00"/>
    <x v="2"/>
    <x v="9"/>
    <x v="242"/>
    <x v="10"/>
    <x v="0"/>
    <x v="2"/>
    <s v="Jabra SPEAK 410"/>
    <n v="657.93"/>
    <n v="7"/>
    <n v="184.22"/>
  </r>
  <r>
    <d v="2016-12-12T00:00:00"/>
    <x v="2"/>
    <x v="9"/>
    <x v="242"/>
    <x v="10"/>
    <x v="1"/>
    <x v="5"/>
    <s v="Westinghouse Clip-On Gooseneck Lamps"/>
    <n v="33.479999999999997"/>
    <n v="4"/>
    <n v="8.6999999999999993"/>
  </r>
  <r>
    <d v="2016-12-12T00:00:00"/>
    <x v="2"/>
    <x v="9"/>
    <x v="242"/>
    <x v="10"/>
    <x v="2"/>
    <x v="11"/>
    <s v="Newell 333"/>
    <n v="13.9"/>
    <n v="5"/>
    <n v="3.61"/>
  </r>
  <r>
    <d v="2016-12-12T00:00:00"/>
    <x v="2"/>
    <x v="9"/>
    <x v="242"/>
    <x v="10"/>
    <x v="2"/>
    <x v="6"/>
    <s v="Fellowes Desktop Hanging File Manager"/>
    <n v="26.86"/>
    <n v="2"/>
    <n v="6.72"/>
  </r>
  <r>
    <d v="2016-12-12T00:00:00"/>
    <x v="2"/>
    <x v="9"/>
    <x v="643"/>
    <x v="19"/>
    <x v="0"/>
    <x v="0"/>
    <s v="Case Logic 2.4GHz Wireless Keyboard"/>
    <n v="249.95"/>
    <n v="5"/>
    <n v="20"/>
  </r>
  <r>
    <d v="2016-12-12T00:00:00"/>
    <x v="2"/>
    <x v="9"/>
    <x v="643"/>
    <x v="19"/>
    <x v="2"/>
    <x v="3"/>
    <s v="Xerox 1907"/>
    <n v="49.12"/>
    <n v="4"/>
    <n v="23.09"/>
  </r>
  <r>
    <d v="2016-12-12T00:00:00"/>
    <x v="2"/>
    <x v="9"/>
    <x v="312"/>
    <x v="5"/>
    <x v="1"/>
    <x v="5"/>
    <s v="Howard Miller 14-1/2&quot; Diameter Chrome Round Wall Clock"/>
    <n v="383.64"/>
    <n v="6"/>
    <n v="122.76"/>
  </r>
  <r>
    <d v="2016-12-12T00:00:00"/>
    <x v="2"/>
    <x v="9"/>
    <x v="312"/>
    <x v="5"/>
    <x v="2"/>
    <x v="10"/>
    <s v="Belkin F9H710-06 7 Outlet SurgeMaster Surge Protector"/>
    <n v="56.52"/>
    <n v="3"/>
    <n v="15.83"/>
  </r>
  <r>
    <d v="2016-12-12T00:00:00"/>
    <x v="2"/>
    <x v="9"/>
    <x v="433"/>
    <x v="2"/>
    <x v="1"/>
    <x v="5"/>
    <s v="Eldon 500 Class Desk Accessories"/>
    <n v="60.35"/>
    <n v="5"/>
    <n v="19.920000000000002"/>
  </r>
  <r>
    <d v="2016-12-12T00:00:00"/>
    <x v="2"/>
    <x v="9"/>
    <x v="433"/>
    <x v="2"/>
    <x v="2"/>
    <x v="15"/>
    <s v="Fiskars Home &amp; Office Scissors"/>
    <n v="35.520000000000003"/>
    <n v="4"/>
    <n v="9.9499999999999993"/>
  </r>
  <r>
    <d v="2016-12-12T00:00:00"/>
    <x v="2"/>
    <x v="9"/>
    <x v="433"/>
    <x v="2"/>
    <x v="2"/>
    <x v="11"/>
    <s v="Sanford Pocket Accent Highlighters"/>
    <n v="11.2"/>
    <n v="7"/>
    <n v="4.82"/>
  </r>
  <r>
    <d v="2017-01-01T00:00:00"/>
    <x v="3"/>
    <x v="11"/>
    <x v="267"/>
    <x v="18"/>
    <x v="1"/>
    <x v="5"/>
    <s v="Linden 10&quot; Round Wall Clock, Black"/>
    <n v="48.9"/>
    <n v="4"/>
    <n v="8.56"/>
  </r>
  <r>
    <d v="2017-01-01T00:00:00"/>
    <x v="3"/>
    <x v="11"/>
    <x v="78"/>
    <x v="5"/>
    <x v="1"/>
    <x v="5"/>
    <s v="Howard Miller 11-1/2&quot; Diameter Brentwood Wall Clock"/>
    <n v="474.43"/>
    <n v="11"/>
    <n v="199.26"/>
  </r>
  <r>
    <d v="2017-01-01T00:00:00"/>
    <x v="3"/>
    <x v="11"/>
    <x v="135"/>
    <x v="0"/>
    <x v="2"/>
    <x v="9"/>
    <s v="Wilson Jones Easy Flow II Sheet Lifters"/>
    <n v="3.6"/>
    <n v="2"/>
    <n v="1.73"/>
  </r>
  <r>
    <d v="2017-01-01T00:00:00"/>
    <x v="3"/>
    <x v="11"/>
    <x v="644"/>
    <x v="4"/>
    <x v="2"/>
    <x v="6"/>
    <s v="SAFCO Boltless Steel Shelving"/>
    <n v="454.56"/>
    <n v="5"/>
    <n v="-107.96"/>
  </r>
  <r>
    <d v="2017-01-01T00:00:00"/>
    <x v="3"/>
    <x v="11"/>
    <x v="644"/>
    <x v="4"/>
    <x v="1"/>
    <x v="5"/>
    <s v="Tenex Carpeted, Granite-Look or Clear Contemporary Contour Shape Chair Mats"/>
    <n v="141.41999999999999"/>
    <n v="5"/>
    <n v="-187.38"/>
  </r>
  <r>
    <d v="2017-01-01T00:00:00"/>
    <x v="3"/>
    <x v="11"/>
    <x v="644"/>
    <x v="4"/>
    <x v="1"/>
    <x v="1"/>
    <s v="Office Star - Contemporary Task Swivel Chair"/>
    <n v="310.74"/>
    <n v="4"/>
    <n v="-26.64"/>
  </r>
  <r>
    <d v="2017-01-01T00:00:00"/>
    <x v="3"/>
    <x v="11"/>
    <x v="644"/>
    <x v="4"/>
    <x v="2"/>
    <x v="11"/>
    <s v="Fluorescent Highlighters by Dixon"/>
    <n v="12.74"/>
    <n v="4"/>
    <n v="2.23"/>
  </r>
  <r>
    <d v="2017-01-01T00:00:00"/>
    <x v="3"/>
    <x v="11"/>
    <x v="644"/>
    <x v="4"/>
    <x v="2"/>
    <x v="9"/>
    <s v="GBC Instant Report Kit"/>
    <n v="6.47"/>
    <n v="5"/>
    <n v="-9.7100000000000009"/>
  </r>
  <r>
    <d v="2017-01-01T00:00:00"/>
    <x v="3"/>
    <x v="11"/>
    <x v="644"/>
    <x v="4"/>
    <x v="2"/>
    <x v="9"/>
    <s v="Pressboard Covers with Storage Hooks, 9 1/2&quot; x 11&quot;, Light Blue"/>
    <n v="13.75"/>
    <n v="14"/>
    <n v="-22.68"/>
  </r>
  <r>
    <d v="2017-01-01T00:00:00"/>
    <x v="3"/>
    <x v="11"/>
    <x v="644"/>
    <x v="4"/>
    <x v="2"/>
    <x v="10"/>
    <s v="Fellowes Superior 10 Outlet Split Surge Protector"/>
    <n v="15.22"/>
    <n v="2"/>
    <n v="-38.82"/>
  </r>
  <r>
    <d v="2017-04-01T00:00:00"/>
    <x v="3"/>
    <x v="2"/>
    <x v="472"/>
    <x v="22"/>
    <x v="2"/>
    <x v="6"/>
    <s v="Hanging Personal Folder File"/>
    <n v="94.2"/>
    <n v="6"/>
    <n v="23.55"/>
  </r>
  <r>
    <d v="2017-04-01T00:00:00"/>
    <x v="3"/>
    <x v="2"/>
    <x v="472"/>
    <x v="22"/>
    <x v="2"/>
    <x v="13"/>
    <s v="Staple envelope"/>
    <n v="28.4"/>
    <n v="5"/>
    <n v="13.35"/>
  </r>
  <r>
    <d v="2017-04-01T00:00:00"/>
    <x v="3"/>
    <x v="2"/>
    <x v="199"/>
    <x v="5"/>
    <x v="2"/>
    <x v="8"/>
    <s v="Avery 498"/>
    <n v="5.78"/>
    <n v="2"/>
    <n v="2.72"/>
  </r>
  <r>
    <d v="2017-04-01T00:00:00"/>
    <x v="3"/>
    <x v="2"/>
    <x v="199"/>
    <x v="5"/>
    <x v="2"/>
    <x v="9"/>
    <s v="Fellowes Binding Cases"/>
    <n v="121.68"/>
    <n v="13"/>
    <n v="38.03"/>
  </r>
  <r>
    <d v="2017-04-01T00:00:00"/>
    <x v="3"/>
    <x v="2"/>
    <x v="645"/>
    <x v="5"/>
    <x v="1"/>
    <x v="16"/>
    <s v="Safco Value Mate Steel Bookcase, Baked Enamel Finish on Steel, Black"/>
    <n v="482.66"/>
    <n v="8"/>
    <n v="85.18"/>
  </r>
  <r>
    <d v="2017-04-01T00:00:00"/>
    <x v="3"/>
    <x v="2"/>
    <x v="645"/>
    <x v="5"/>
    <x v="0"/>
    <x v="14"/>
    <s v="Cubify CubeX 3D Printer Double Head Print"/>
    <n v="4799.9799999999996"/>
    <n v="2"/>
    <n v="360"/>
  </r>
  <r>
    <d v="2017-04-01T00:00:00"/>
    <x v="3"/>
    <x v="2"/>
    <x v="646"/>
    <x v="2"/>
    <x v="2"/>
    <x v="3"/>
    <s v="Wirebound Message Books, Four 2 3/4 x 5 Forms per Page, 200 Sets per Book"/>
    <n v="42.93"/>
    <n v="9"/>
    <n v="19.32"/>
  </r>
  <r>
    <d v="2017-04-01T00:00:00"/>
    <x v="3"/>
    <x v="2"/>
    <x v="535"/>
    <x v="11"/>
    <x v="0"/>
    <x v="2"/>
    <s v="Mediabridge Sport Armband iPhone 5s"/>
    <n v="23.98"/>
    <n v="3"/>
    <n v="-5.69"/>
  </r>
  <r>
    <d v="2017-04-01T00:00:00"/>
    <x v="3"/>
    <x v="2"/>
    <x v="535"/>
    <x v="11"/>
    <x v="2"/>
    <x v="8"/>
    <s v="Avery 494"/>
    <n v="6.26"/>
    <n v="3"/>
    <n v="2.04"/>
  </r>
  <r>
    <d v="2017-04-01T00:00:00"/>
    <x v="3"/>
    <x v="2"/>
    <x v="535"/>
    <x v="11"/>
    <x v="2"/>
    <x v="10"/>
    <s v="Staple holder"/>
    <n v="20.81"/>
    <n v="3"/>
    <n v="1.82"/>
  </r>
  <r>
    <d v="2017-04-01T00:00:00"/>
    <x v="3"/>
    <x v="2"/>
    <x v="535"/>
    <x v="11"/>
    <x v="1"/>
    <x v="1"/>
    <s v="Global Wood Trimmed Manager's Task Chair, Khaki"/>
    <n v="218.35"/>
    <n v="3"/>
    <n v="-19.11"/>
  </r>
  <r>
    <d v="2017-04-01T00:00:00"/>
    <x v="3"/>
    <x v="2"/>
    <x v="408"/>
    <x v="29"/>
    <x v="1"/>
    <x v="5"/>
    <s v="Deflect-o DuraMat Lighweight, Studded, Beveled Mat for Low Pile Carpeting"/>
    <n v="127.95"/>
    <n v="3"/>
    <n v="21.75"/>
  </r>
  <r>
    <d v="2017-05-01T00:00:00"/>
    <x v="3"/>
    <x v="10"/>
    <x v="605"/>
    <x v="9"/>
    <x v="0"/>
    <x v="0"/>
    <s v="Maxell 74 Minute CDR, 10/Pack"/>
    <n v="48.9"/>
    <n v="5"/>
    <n v="18.09"/>
  </r>
  <r>
    <d v="2017-05-01T00:00:00"/>
    <x v="3"/>
    <x v="10"/>
    <x v="553"/>
    <x v="11"/>
    <x v="2"/>
    <x v="15"/>
    <s v="Kleencut Forged Office Shears by Acme United Corporation"/>
    <n v="3.33"/>
    <n v="2"/>
    <n v="0.42"/>
  </r>
  <r>
    <d v="2017-05-01T00:00:00"/>
    <x v="3"/>
    <x v="10"/>
    <x v="553"/>
    <x v="11"/>
    <x v="1"/>
    <x v="7"/>
    <s v="Bush Advantage Collection Racetrack Conference Table"/>
    <n v="933.26"/>
    <n v="4"/>
    <n v="-458.15"/>
  </r>
  <r>
    <d v="2017-05-01T00:00:00"/>
    <x v="3"/>
    <x v="10"/>
    <x v="553"/>
    <x v="11"/>
    <x v="1"/>
    <x v="1"/>
    <s v="HON 5400 Series Task Chairs for Big and Tall"/>
    <n v="2803.92"/>
    <n v="5"/>
    <n v="0"/>
  </r>
  <r>
    <d v="2017-05-01T00:00:00"/>
    <x v="3"/>
    <x v="10"/>
    <x v="404"/>
    <x v="11"/>
    <x v="1"/>
    <x v="16"/>
    <s v="Bush Somerset Collection Bookcase"/>
    <n v="314.35000000000002"/>
    <n v="3"/>
    <n v="-15.72"/>
  </r>
  <r>
    <d v="2017-05-01T00:00:00"/>
    <x v="3"/>
    <x v="10"/>
    <x v="404"/>
    <x v="11"/>
    <x v="2"/>
    <x v="8"/>
    <s v="Avery 492"/>
    <n v="4.6100000000000003"/>
    <n v="2"/>
    <n v="1.5"/>
  </r>
  <r>
    <d v="2017-06-01T00:00:00"/>
    <x v="3"/>
    <x v="3"/>
    <x v="358"/>
    <x v="18"/>
    <x v="2"/>
    <x v="10"/>
    <s v="Eureka Sanitaire  Multi-Pro Heavy-Duty Upright, Disposable Bags"/>
    <n v="17.48"/>
    <n v="5"/>
    <n v="1.31"/>
  </r>
  <r>
    <d v="2017-06-01T00:00:00"/>
    <x v="3"/>
    <x v="3"/>
    <x v="647"/>
    <x v="18"/>
    <x v="2"/>
    <x v="9"/>
    <s v="Cardinal HOLDit! Binder Insert Strips,Extra Strips"/>
    <n v="3.8"/>
    <n v="2"/>
    <n v="-2.66"/>
  </r>
  <r>
    <d v="2017-06-01T00:00:00"/>
    <x v="3"/>
    <x v="3"/>
    <x v="647"/>
    <x v="18"/>
    <x v="2"/>
    <x v="3"/>
    <s v="Xerox 1924"/>
    <n v="27.74"/>
    <n v="6"/>
    <n v="10.06"/>
  </r>
  <r>
    <d v="2017-06-01T00:00:00"/>
    <x v="3"/>
    <x v="3"/>
    <x v="647"/>
    <x v="18"/>
    <x v="0"/>
    <x v="2"/>
    <s v="Panasonic KX-TG6844B Expandable Digital Cordless Telephone"/>
    <n v="158.38"/>
    <n v="4"/>
    <n v="-34.31"/>
  </r>
  <r>
    <d v="2017-06-01T00:00:00"/>
    <x v="3"/>
    <x v="3"/>
    <x v="523"/>
    <x v="27"/>
    <x v="2"/>
    <x v="9"/>
    <s v="GBC Standard Recycled Report Covers, Clear Plastic Sheets"/>
    <n v="53.9"/>
    <n v="5"/>
    <n v="25.87"/>
  </r>
  <r>
    <d v="2017-06-01T00:00:00"/>
    <x v="3"/>
    <x v="3"/>
    <x v="494"/>
    <x v="13"/>
    <x v="2"/>
    <x v="6"/>
    <s v="Tennsco Stur-D-Stor Boltless Shelving, 5 Shelves, 24&quot; Deep, Sand"/>
    <n v="324.74"/>
    <n v="3"/>
    <n v="-77.13"/>
  </r>
  <r>
    <d v="2017-06-01T00:00:00"/>
    <x v="3"/>
    <x v="3"/>
    <x v="648"/>
    <x v="33"/>
    <x v="1"/>
    <x v="1"/>
    <s v="Hon 4070 Series Pagoda Round Back Stacking Chairs"/>
    <n v="1925.88"/>
    <n v="6"/>
    <n v="539.25"/>
  </r>
  <r>
    <d v="2017-06-01T00:00:00"/>
    <x v="3"/>
    <x v="3"/>
    <x v="648"/>
    <x v="33"/>
    <x v="2"/>
    <x v="10"/>
    <s v="Honeywell Enviracaire Portable HEPA Air Cleaner for 17' x 22' Room"/>
    <n v="2405.1999999999998"/>
    <n v="8"/>
    <n v="793.72"/>
  </r>
  <r>
    <d v="2017-06-01T00:00:00"/>
    <x v="3"/>
    <x v="3"/>
    <x v="648"/>
    <x v="33"/>
    <x v="0"/>
    <x v="0"/>
    <s v="MaxellÂ LTO Ultrium - 800 GB"/>
    <n v="83.97"/>
    <n v="3"/>
    <n v="15.95"/>
  </r>
  <r>
    <d v="2017-06-01T00:00:00"/>
    <x v="3"/>
    <x v="3"/>
    <x v="648"/>
    <x v="33"/>
    <x v="0"/>
    <x v="0"/>
    <s v="LogitechÂ MX Performance Wireless Mouse"/>
    <n v="39.89"/>
    <n v="1"/>
    <n v="14.76"/>
  </r>
  <r>
    <d v="2017-06-01T00:00:00"/>
    <x v="3"/>
    <x v="3"/>
    <x v="648"/>
    <x v="33"/>
    <x v="2"/>
    <x v="9"/>
    <s v="Cardinal Slant-D Ring Binders"/>
    <n v="17.38"/>
    <n v="2"/>
    <n v="8.69"/>
  </r>
  <r>
    <d v="2017-07-01T00:00:00"/>
    <x v="3"/>
    <x v="4"/>
    <x v="622"/>
    <x v="33"/>
    <x v="2"/>
    <x v="6"/>
    <s v="Carina Mini System Audio Rack, Model AR050B"/>
    <n v="443.92"/>
    <n v="4"/>
    <n v="13.32"/>
  </r>
  <r>
    <d v="2017-07-01T00:00:00"/>
    <x v="3"/>
    <x v="4"/>
    <x v="622"/>
    <x v="33"/>
    <x v="2"/>
    <x v="9"/>
    <s v="Fellowes PB200 Plastic Comb Binding Machine"/>
    <n v="169.99"/>
    <n v="1"/>
    <n v="78.2"/>
  </r>
  <r>
    <d v="2017-07-01T00:00:00"/>
    <x v="3"/>
    <x v="4"/>
    <x v="622"/>
    <x v="33"/>
    <x v="2"/>
    <x v="3"/>
    <s v="Xerox 226"/>
    <n v="25.92"/>
    <n v="4"/>
    <n v="12.44"/>
  </r>
  <r>
    <d v="2017-08-01T00:00:00"/>
    <x v="3"/>
    <x v="5"/>
    <x v="93"/>
    <x v="3"/>
    <x v="0"/>
    <x v="2"/>
    <s v="JBL Micro Wireless Portable Bluetooth Speaker"/>
    <n v="95.98"/>
    <n v="2"/>
    <n v="6"/>
  </r>
  <r>
    <d v="2017-08-01T00:00:00"/>
    <x v="3"/>
    <x v="5"/>
    <x v="649"/>
    <x v="12"/>
    <x v="0"/>
    <x v="2"/>
    <s v="Nortel Networks T7316 E Nt8 B27"/>
    <n v="271.95999999999998"/>
    <n v="5"/>
    <n v="17"/>
  </r>
  <r>
    <d v="2017-08-01T00:00:00"/>
    <x v="3"/>
    <x v="5"/>
    <x v="650"/>
    <x v="4"/>
    <x v="0"/>
    <x v="14"/>
    <s v="Bady BDG101FRU Card Printer"/>
    <n v="1439.98"/>
    <n v="3"/>
    <n v="-264"/>
  </r>
  <r>
    <d v="2017-08-01T00:00:00"/>
    <x v="3"/>
    <x v="5"/>
    <x v="650"/>
    <x v="4"/>
    <x v="2"/>
    <x v="3"/>
    <s v="Xerox 1998"/>
    <n v="36.29"/>
    <n v="7"/>
    <n v="12.7"/>
  </r>
  <r>
    <d v="2017-08-01T00:00:00"/>
    <x v="3"/>
    <x v="5"/>
    <x v="257"/>
    <x v="5"/>
    <x v="2"/>
    <x v="9"/>
    <s v="GBC Prestige Therm-A-Bind Covers"/>
    <n v="54.9"/>
    <n v="2"/>
    <n v="18.53"/>
  </r>
  <r>
    <d v="2017-08-01T00:00:00"/>
    <x v="3"/>
    <x v="5"/>
    <x v="328"/>
    <x v="5"/>
    <x v="2"/>
    <x v="6"/>
    <s v="Fellowes Mobile File Cart, Black"/>
    <n v="186.54"/>
    <n v="3"/>
    <n v="50.37"/>
  </r>
  <r>
    <d v="2017-09-01T00:00:00"/>
    <x v="3"/>
    <x v="6"/>
    <x v="651"/>
    <x v="2"/>
    <x v="1"/>
    <x v="5"/>
    <s v="Seth Thomas 12&quot; Clock w/ Goldtone Case"/>
    <n v="114.9"/>
    <n v="5"/>
    <n v="39.07"/>
  </r>
  <r>
    <d v="2017-09-01T00:00:00"/>
    <x v="3"/>
    <x v="6"/>
    <x v="652"/>
    <x v="1"/>
    <x v="0"/>
    <x v="0"/>
    <s v="LogitechÂ LS21 Speaker System - PC Multimedia - 2.1-CH - Wired"/>
    <n v="19.989999999999998"/>
    <n v="1"/>
    <n v="6.8"/>
  </r>
  <r>
    <d v="2017-09-01T00:00:00"/>
    <x v="3"/>
    <x v="6"/>
    <x v="652"/>
    <x v="1"/>
    <x v="2"/>
    <x v="9"/>
    <s v="Avery Metallic Poly Binders"/>
    <n v="22.92"/>
    <n v="5"/>
    <n v="8.02"/>
  </r>
  <r>
    <d v="2017-09-01T00:00:00"/>
    <x v="3"/>
    <x v="6"/>
    <x v="45"/>
    <x v="1"/>
    <x v="2"/>
    <x v="11"/>
    <s v="Staples in misc. colors"/>
    <n v="7.58"/>
    <n v="1"/>
    <n v="2.96"/>
  </r>
  <r>
    <d v="2017-09-01T00:00:00"/>
    <x v="3"/>
    <x v="6"/>
    <x v="499"/>
    <x v="10"/>
    <x v="1"/>
    <x v="1"/>
    <s v="Harbour Creations 67200 Series Stacking Chairs"/>
    <n v="498.26"/>
    <n v="7"/>
    <n v="134.53"/>
  </r>
  <r>
    <d v="2017-09-01T00:00:00"/>
    <x v="3"/>
    <x v="6"/>
    <x v="363"/>
    <x v="1"/>
    <x v="2"/>
    <x v="10"/>
    <s v="Honeywell Quietcare HEPA Air Cleaner"/>
    <n v="314.60000000000002"/>
    <n v="4"/>
    <n v="103.82"/>
  </r>
  <r>
    <d v="2017-09-01T00:00:00"/>
    <x v="3"/>
    <x v="6"/>
    <x v="363"/>
    <x v="1"/>
    <x v="1"/>
    <x v="7"/>
    <s v="KI Conference Tables"/>
    <n v="283.56"/>
    <n v="4"/>
    <n v="45.37"/>
  </r>
  <r>
    <d v="2017-10-01T00:00:00"/>
    <x v="3"/>
    <x v="7"/>
    <x v="23"/>
    <x v="4"/>
    <x v="2"/>
    <x v="11"/>
    <s v="Design Ebony Sketching Pencil"/>
    <n v="6.67"/>
    <n v="6"/>
    <n v="0.5"/>
  </r>
  <r>
    <d v="2017-10-01T00:00:00"/>
    <x v="3"/>
    <x v="7"/>
    <x v="570"/>
    <x v="1"/>
    <x v="2"/>
    <x v="3"/>
    <s v="Personal Creations Ink Jet Cards and Labels"/>
    <n v="91.84"/>
    <n v="8"/>
    <n v="45"/>
  </r>
  <r>
    <d v="2017-10-01T00:00:00"/>
    <x v="3"/>
    <x v="7"/>
    <x v="570"/>
    <x v="1"/>
    <x v="2"/>
    <x v="9"/>
    <s v="GBC White Gloss Covers, Plain Front"/>
    <n v="81.09"/>
    <n v="7"/>
    <n v="27.37"/>
  </r>
  <r>
    <d v="2017-10-01T00:00:00"/>
    <x v="3"/>
    <x v="7"/>
    <x v="570"/>
    <x v="1"/>
    <x v="2"/>
    <x v="3"/>
    <s v="Xerox 222"/>
    <n v="19.440000000000001"/>
    <n v="3"/>
    <n v="9.33"/>
  </r>
  <r>
    <d v="2017-10-01T00:00:00"/>
    <x v="3"/>
    <x v="7"/>
    <x v="570"/>
    <x v="1"/>
    <x v="1"/>
    <x v="1"/>
    <s v="Hon Every-Day Series Multi-Task Chairs"/>
    <n v="451.15"/>
    <n v="3"/>
    <n v="0"/>
  </r>
  <r>
    <d v="2017-10-01T00:00:00"/>
    <x v="3"/>
    <x v="7"/>
    <x v="653"/>
    <x v="5"/>
    <x v="2"/>
    <x v="9"/>
    <s v="Wilson Jones Easy Flow II Sheet Lifters"/>
    <n v="1.44"/>
    <n v="1"/>
    <n v="0.5"/>
  </r>
  <r>
    <d v="2017-10-01T00:00:00"/>
    <x v="3"/>
    <x v="7"/>
    <x v="653"/>
    <x v="5"/>
    <x v="2"/>
    <x v="9"/>
    <s v="Storex Dura Pro Binders"/>
    <n v="61.78"/>
    <n v="13"/>
    <n v="20.85"/>
  </r>
  <r>
    <d v="2017-10-01T00:00:00"/>
    <x v="3"/>
    <x v="7"/>
    <x v="653"/>
    <x v="5"/>
    <x v="2"/>
    <x v="10"/>
    <s v="Belkin 325VA UPS Surge Protector, 6'"/>
    <n v="241.96"/>
    <n v="2"/>
    <n v="60.49"/>
  </r>
  <r>
    <d v="2017-10-01T00:00:00"/>
    <x v="3"/>
    <x v="7"/>
    <x v="653"/>
    <x v="5"/>
    <x v="1"/>
    <x v="1"/>
    <s v="Metal Folding Chairs, Beige, 4/Carton"/>
    <n v="108.61"/>
    <n v="4"/>
    <n v="9.5"/>
  </r>
  <r>
    <d v="2017-10-01T00:00:00"/>
    <x v="3"/>
    <x v="7"/>
    <x v="371"/>
    <x v="2"/>
    <x v="0"/>
    <x v="14"/>
    <s v="Fellowes Powershred HS-440 4-Sheet High Security Shredder"/>
    <n v="1704.89"/>
    <n v="11"/>
    <n v="767.2"/>
  </r>
  <r>
    <d v="2017-10-01T00:00:00"/>
    <x v="3"/>
    <x v="7"/>
    <x v="337"/>
    <x v="27"/>
    <x v="2"/>
    <x v="3"/>
    <s v="Xerox 1915"/>
    <n v="104.85"/>
    <n v="1"/>
    <n v="50.33"/>
  </r>
  <r>
    <d v="2017-10-01T00:00:00"/>
    <x v="3"/>
    <x v="7"/>
    <x v="260"/>
    <x v="5"/>
    <x v="0"/>
    <x v="0"/>
    <s v="Sony 32GB Class 10 Micro SDHC R40 Memory Card"/>
    <n v="104.75"/>
    <n v="5"/>
    <n v="22"/>
  </r>
  <r>
    <d v="2017-11-01T00:00:00"/>
    <x v="3"/>
    <x v="8"/>
    <x v="393"/>
    <x v="1"/>
    <x v="2"/>
    <x v="9"/>
    <s v="GBC Standard Plastic Binding Systems' Combs"/>
    <n v="25.12"/>
    <n v="5"/>
    <n v="7.85"/>
  </r>
  <r>
    <d v="2017-11-01T00:00:00"/>
    <x v="3"/>
    <x v="8"/>
    <x v="393"/>
    <x v="1"/>
    <x v="1"/>
    <x v="7"/>
    <s v="Hon 94000 Series Round Tables"/>
    <n v="2665.62"/>
    <n v="9"/>
    <n v="239.91"/>
  </r>
  <r>
    <d v="2017-11-01T00:00:00"/>
    <x v="3"/>
    <x v="8"/>
    <x v="259"/>
    <x v="6"/>
    <x v="2"/>
    <x v="3"/>
    <s v="Xerox 1939"/>
    <n v="189.7"/>
    <n v="10"/>
    <n v="91.06"/>
  </r>
  <r>
    <d v="2017-11-01T00:00:00"/>
    <x v="3"/>
    <x v="8"/>
    <x v="259"/>
    <x v="6"/>
    <x v="2"/>
    <x v="3"/>
    <s v="Xerox 1893"/>
    <n v="40.99"/>
    <n v="1"/>
    <n v="20.09"/>
  </r>
  <r>
    <d v="2017-12-01T00:00:00"/>
    <x v="3"/>
    <x v="9"/>
    <x v="243"/>
    <x v="10"/>
    <x v="2"/>
    <x v="6"/>
    <s v="Tennsco Lockers, Gray"/>
    <n v="83.92"/>
    <n v="4"/>
    <n v="5.87"/>
  </r>
  <r>
    <d v="2017-12-01T00:00:00"/>
    <x v="3"/>
    <x v="9"/>
    <x v="243"/>
    <x v="10"/>
    <x v="0"/>
    <x v="2"/>
    <s v="Panasonic KX-TG6844B Expandable Digital Cordless Telephone"/>
    <n v="131.97999999999999"/>
    <n v="2"/>
    <n v="35.630000000000003"/>
  </r>
  <r>
    <d v="2017-12-01T00:00:00"/>
    <x v="3"/>
    <x v="9"/>
    <x v="243"/>
    <x v="10"/>
    <x v="2"/>
    <x v="9"/>
    <s v="Avery Durable Slant Ring Binders, No Labels"/>
    <n v="15.92"/>
    <n v="4"/>
    <n v="7.48"/>
  </r>
  <r>
    <d v="2017-12-01T00:00:00"/>
    <x v="3"/>
    <x v="9"/>
    <x v="243"/>
    <x v="10"/>
    <x v="2"/>
    <x v="4"/>
    <s v="Advantus Push Pins, Aluminum Head"/>
    <n v="52.29"/>
    <n v="9"/>
    <n v="16.21"/>
  </r>
  <r>
    <d v="2017-12-01T00:00:00"/>
    <x v="3"/>
    <x v="9"/>
    <x v="243"/>
    <x v="10"/>
    <x v="2"/>
    <x v="6"/>
    <s v="Gould Plastics 18-Pocket Panel Bin, 34w x 5-1/4d x 20-1/2h"/>
    <n v="91.99"/>
    <n v="1"/>
    <n v="3.68"/>
  </r>
  <r>
    <d v="2017-12-01T00:00:00"/>
    <x v="3"/>
    <x v="9"/>
    <x v="509"/>
    <x v="2"/>
    <x v="0"/>
    <x v="0"/>
    <s v="Sabrent 4-Port USB 2.0 Hub"/>
    <n v="20.37"/>
    <n v="3"/>
    <n v="6.93"/>
  </r>
  <r>
    <d v="2017-12-01T00:00:00"/>
    <x v="3"/>
    <x v="9"/>
    <x v="509"/>
    <x v="2"/>
    <x v="2"/>
    <x v="6"/>
    <s v="Safco Industrial Shelving"/>
    <n v="221.55"/>
    <n v="3"/>
    <n v="6.65"/>
  </r>
  <r>
    <d v="2017-12-01T00:00:00"/>
    <x v="3"/>
    <x v="9"/>
    <x v="509"/>
    <x v="2"/>
    <x v="2"/>
    <x v="9"/>
    <s v="Acco 3-Hole Punch"/>
    <n v="17.52"/>
    <n v="5"/>
    <n v="6.13"/>
  </r>
  <r>
    <d v="2017-12-01T00:00:00"/>
    <x v="3"/>
    <x v="9"/>
    <x v="473"/>
    <x v="15"/>
    <x v="0"/>
    <x v="2"/>
    <s v="GE 30524EE4"/>
    <n v="470.38"/>
    <n v="3"/>
    <n v="52.92"/>
  </r>
  <r>
    <d v="2017-12-01T00:00:00"/>
    <x v="3"/>
    <x v="9"/>
    <x v="473"/>
    <x v="15"/>
    <x v="0"/>
    <x v="2"/>
    <s v="AT&amp;T SB67148 SynJ"/>
    <n v="105.58"/>
    <n v="2"/>
    <n v="9.24"/>
  </r>
  <r>
    <d v="2017-12-01T00:00:00"/>
    <x v="3"/>
    <x v="9"/>
    <x v="473"/>
    <x v="15"/>
    <x v="2"/>
    <x v="10"/>
    <s v="Fellowes Basic Home/Office Series Surge Protectors"/>
    <n v="31.15"/>
    <n v="3"/>
    <n v="3.5"/>
  </r>
  <r>
    <d v="2017-12-01T00:00:00"/>
    <x v="3"/>
    <x v="9"/>
    <x v="473"/>
    <x v="15"/>
    <x v="2"/>
    <x v="9"/>
    <s v="Recycled Pressboard Report Cover with Reinforced Top Hinge"/>
    <n v="6.78"/>
    <n v="7"/>
    <n v="-4.75"/>
  </r>
  <r>
    <d v="2017-12-01T00:00:00"/>
    <x v="3"/>
    <x v="9"/>
    <x v="473"/>
    <x v="15"/>
    <x v="0"/>
    <x v="2"/>
    <s v="Jabra BIZ 2300 Duo QD Duo CordedÂ Headset"/>
    <n v="406.37"/>
    <n v="4"/>
    <n v="30.48"/>
  </r>
  <r>
    <d v="2017-12-01T00:00:00"/>
    <x v="3"/>
    <x v="9"/>
    <x v="202"/>
    <x v="13"/>
    <x v="2"/>
    <x v="13"/>
    <s v="Quality Park Security Envelopes"/>
    <n v="104.68"/>
    <n v="5"/>
    <n v="35.33"/>
  </r>
  <r>
    <d v="2017-12-01T00:00:00"/>
    <x v="3"/>
    <x v="9"/>
    <x v="202"/>
    <x v="13"/>
    <x v="0"/>
    <x v="2"/>
    <s v="Belkin SportFit Armband For iPhone 5s/5c, Fuchsia"/>
    <n v="62.96"/>
    <n v="7"/>
    <n v="9.44"/>
  </r>
  <r>
    <d v="2017-12-01T00:00:00"/>
    <x v="3"/>
    <x v="9"/>
    <x v="416"/>
    <x v="4"/>
    <x v="0"/>
    <x v="2"/>
    <s v="Cisco SPA112 2 Port Phone Adapter"/>
    <n v="219.8"/>
    <n v="5"/>
    <n v="24.73"/>
  </r>
  <r>
    <d v="2017-12-01T00:00:00"/>
    <x v="3"/>
    <x v="9"/>
    <x v="416"/>
    <x v="4"/>
    <x v="1"/>
    <x v="1"/>
    <s v="DMI Arturo Collection Mission-style Design Wood Chair"/>
    <n v="317.06"/>
    <n v="3"/>
    <n v="-18.12"/>
  </r>
  <r>
    <d v="2017-12-01T00:00:00"/>
    <x v="3"/>
    <x v="9"/>
    <x v="654"/>
    <x v="5"/>
    <x v="2"/>
    <x v="3"/>
    <s v="Xerox 1905"/>
    <n v="45.36"/>
    <n v="7"/>
    <n v="21.77"/>
  </r>
  <r>
    <d v="2017-12-01T00:00:00"/>
    <x v="3"/>
    <x v="9"/>
    <x v="654"/>
    <x v="5"/>
    <x v="2"/>
    <x v="9"/>
    <s v="Cardinal HOLDit! Binder Insert Strips,Extra Strips"/>
    <n v="10.130000000000001"/>
    <n v="2"/>
    <n v="3.67"/>
  </r>
  <r>
    <d v="2017-12-01T00:00:00"/>
    <x v="3"/>
    <x v="9"/>
    <x v="563"/>
    <x v="13"/>
    <x v="2"/>
    <x v="6"/>
    <s v="Personal File Boxes with Fold-Down Carry Handle"/>
    <n v="37.39"/>
    <n v="3"/>
    <n v="2.34"/>
  </r>
  <r>
    <d v="2017-12-01T00:00:00"/>
    <x v="3"/>
    <x v="9"/>
    <x v="563"/>
    <x v="13"/>
    <x v="1"/>
    <x v="5"/>
    <s v="Ultra Door Kickplate, 8&quot;H x 34&quot;W"/>
    <n v="79.12"/>
    <n v="5"/>
    <n v="13.85"/>
  </r>
  <r>
    <d v="2017-12-01T00:00:00"/>
    <x v="3"/>
    <x v="9"/>
    <x v="382"/>
    <x v="25"/>
    <x v="2"/>
    <x v="3"/>
    <s v="Xerox 214"/>
    <n v="19.440000000000001"/>
    <n v="3"/>
    <n v="9.33"/>
  </r>
  <r>
    <d v="2017-12-01T00:00:00"/>
    <x v="3"/>
    <x v="9"/>
    <x v="382"/>
    <x v="25"/>
    <x v="1"/>
    <x v="1"/>
    <s v="Global Comet Stacking Armless Chair"/>
    <n v="897.15"/>
    <n v="3"/>
    <n v="251.2"/>
  </r>
  <r>
    <d v="2017-12-01T00:00:00"/>
    <x v="3"/>
    <x v="9"/>
    <x v="242"/>
    <x v="18"/>
    <x v="1"/>
    <x v="5"/>
    <s v="Magna Visual Magnetic Picture Hangers"/>
    <n v="7.71"/>
    <n v="2"/>
    <n v="1.74"/>
  </r>
  <r>
    <d v="2017-12-01T00:00:00"/>
    <x v="3"/>
    <x v="9"/>
    <x v="655"/>
    <x v="4"/>
    <x v="2"/>
    <x v="3"/>
    <s v="Xerox 201"/>
    <n v="10.37"/>
    <n v="2"/>
    <n v="3.63"/>
  </r>
  <r>
    <d v="2017-12-01T00:00:00"/>
    <x v="3"/>
    <x v="9"/>
    <x v="388"/>
    <x v="1"/>
    <x v="2"/>
    <x v="3"/>
    <s v="Xerox 1947"/>
    <n v="41.86"/>
    <n v="7"/>
    <n v="18.84"/>
  </r>
  <r>
    <d v="2017-12-01T00:00:00"/>
    <x v="3"/>
    <x v="9"/>
    <x v="388"/>
    <x v="1"/>
    <x v="1"/>
    <x v="16"/>
    <s v="Hon Metal Bookcases, Putty"/>
    <n v="141.96"/>
    <n v="2"/>
    <n v="41.17"/>
  </r>
  <r>
    <d v="2017-12-01T00:00:00"/>
    <x v="3"/>
    <x v="9"/>
    <x v="264"/>
    <x v="1"/>
    <x v="2"/>
    <x v="9"/>
    <s v="Ibico Presentation Index for Binding Systems"/>
    <n v="15.92"/>
    <n v="5"/>
    <n v="5.37"/>
  </r>
  <r>
    <d v="2017-12-01T00:00:00"/>
    <x v="3"/>
    <x v="9"/>
    <x v="264"/>
    <x v="1"/>
    <x v="1"/>
    <x v="5"/>
    <s v="Eldon Wave Desk Accessories"/>
    <n v="70.680000000000007"/>
    <n v="12"/>
    <n v="31.1"/>
  </r>
  <r>
    <d v="2017-12-01T00:00:00"/>
    <x v="3"/>
    <x v="9"/>
    <x v="264"/>
    <x v="1"/>
    <x v="2"/>
    <x v="6"/>
    <s v="Tennsco Stur-D-Stor Boltless Shelving, 5 Shelves, 24&quot; Deep, Sand"/>
    <n v="541.24"/>
    <n v="4"/>
    <n v="5.41"/>
  </r>
  <r>
    <d v="2017-12-01T00:00:00"/>
    <x v="3"/>
    <x v="9"/>
    <x v="562"/>
    <x v="5"/>
    <x v="1"/>
    <x v="5"/>
    <s v="Tenex &quot;The Solids&quot; Textured Chair Mats"/>
    <n v="629.64"/>
    <n v="9"/>
    <n v="107.04"/>
  </r>
  <r>
    <d v="2017-12-01T00:00:00"/>
    <x v="3"/>
    <x v="9"/>
    <x v="656"/>
    <x v="13"/>
    <x v="2"/>
    <x v="8"/>
    <s v="Avery 483"/>
    <n v="15.94"/>
    <n v="4"/>
    <n v="5.18"/>
  </r>
  <r>
    <d v="2017-12-01T00:00:00"/>
    <x v="3"/>
    <x v="9"/>
    <x v="656"/>
    <x v="13"/>
    <x v="2"/>
    <x v="9"/>
    <s v="Acco Pressboard Covers with Storage Hooks, 14 7/8&quot; x 11&quot;, Dark Blue"/>
    <n v="8"/>
    <n v="7"/>
    <n v="-5.6"/>
  </r>
  <r>
    <d v="2017-12-01T00:00:00"/>
    <x v="3"/>
    <x v="9"/>
    <x v="656"/>
    <x v="13"/>
    <x v="1"/>
    <x v="1"/>
    <s v="Global Commerce Series High-Back Swivel/Tilt Chairs"/>
    <n v="398.97"/>
    <n v="2"/>
    <n v="-28.5"/>
  </r>
  <r>
    <d v="2017-01-02T00:00:00"/>
    <x v="3"/>
    <x v="11"/>
    <x v="650"/>
    <x v="12"/>
    <x v="0"/>
    <x v="14"/>
    <s v="Cisco CP-7937G Unified IP Conference Station Phone"/>
    <n v="695.7"/>
    <n v="2"/>
    <n v="-27.83"/>
  </r>
  <r>
    <d v="2017-01-02T00:00:00"/>
    <x v="3"/>
    <x v="11"/>
    <x v="650"/>
    <x v="12"/>
    <x v="2"/>
    <x v="9"/>
    <s v="Avery 3 1/2&quot; Diskette Storage Pages, 10/Pack"/>
    <n v="15.66"/>
    <n v="5"/>
    <n v="-12.53"/>
  </r>
  <r>
    <d v="2017-01-02T00:00:00"/>
    <x v="3"/>
    <x v="11"/>
    <x v="650"/>
    <x v="12"/>
    <x v="2"/>
    <x v="9"/>
    <s v="Avery Recycled Flexi-View Covers for Binding Systems"/>
    <n v="28.85"/>
    <n v="6"/>
    <n v="-21.16"/>
  </r>
  <r>
    <d v="2017-01-02T00:00:00"/>
    <x v="3"/>
    <x v="11"/>
    <x v="412"/>
    <x v="4"/>
    <x v="2"/>
    <x v="11"/>
    <s v="Newell 319"/>
    <n v="31.74"/>
    <n v="2"/>
    <n v="3.97"/>
  </r>
  <r>
    <d v="2017-01-02T00:00:00"/>
    <x v="3"/>
    <x v="11"/>
    <x v="412"/>
    <x v="4"/>
    <x v="2"/>
    <x v="10"/>
    <s v="Hoover Commercial SteamVac"/>
    <n v="5.43"/>
    <n v="2"/>
    <n v="-13.58"/>
  </r>
  <r>
    <d v="2017-01-02T00:00:00"/>
    <x v="3"/>
    <x v="11"/>
    <x v="412"/>
    <x v="4"/>
    <x v="1"/>
    <x v="7"/>
    <s v="Bevis Oval Conference Table, Walnut"/>
    <n v="913.43"/>
    <n v="5"/>
    <n v="-169.64"/>
  </r>
  <r>
    <d v="2017-01-02T00:00:00"/>
    <x v="3"/>
    <x v="11"/>
    <x v="412"/>
    <x v="4"/>
    <x v="2"/>
    <x v="6"/>
    <s v="Dual Level, Single-Width Filing Carts"/>
    <n v="372.14"/>
    <n v="3"/>
    <n v="27.91"/>
  </r>
  <r>
    <d v="2017-01-02T00:00:00"/>
    <x v="3"/>
    <x v="11"/>
    <x v="580"/>
    <x v="5"/>
    <x v="0"/>
    <x v="0"/>
    <s v="Kensington K72356US Mouse-in-a-Box USB Desktop Mouse"/>
    <n v="16.59"/>
    <n v="1"/>
    <n v="5.81"/>
  </r>
  <r>
    <d v="2017-02-02T00:00:00"/>
    <x v="3"/>
    <x v="0"/>
    <x v="598"/>
    <x v="18"/>
    <x v="0"/>
    <x v="2"/>
    <s v="Anker 36W 4-Port USB Wall Charger Travel Power Adapter for iPhone 5s 5c 5"/>
    <n v="59.97"/>
    <n v="5"/>
    <n v="-11.99"/>
  </r>
  <r>
    <d v="2017-02-02T00:00:00"/>
    <x v="3"/>
    <x v="0"/>
    <x v="598"/>
    <x v="18"/>
    <x v="2"/>
    <x v="3"/>
    <s v="Xerox 1916"/>
    <n v="78.3"/>
    <n v="2"/>
    <n v="29.36"/>
  </r>
  <r>
    <d v="2017-02-02T00:00:00"/>
    <x v="3"/>
    <x v="0"/>
    <x v="598"/>
    <x v="18"/>
    <x v="2"/>
    <x v="4"/>
    <s v="Staples"/>
    <n v="21.46"/>
    <n v="9"/>
    <n v="6.97"/>
  </r>
  <r>
    <d v="2017-02-02T00:00:00"/>
    <x v="3"/>
    <x v="0"/>
    <x v="192"/>
    <x v="5"/>
    <x v="1"/>
    <x v="5"/>
    <s v="Howard Miller 11-1/2&quot; Diameter Grantwood Wall Clock"/>
    <n v="86.26"/>
    <n v="2"/>
    <n v="29.33"/>
  </r>
  <r>
    <d v="2017-02-02T00:00:00"/>
    <x v="3"/>
    <x v="0"/>
    <x v="192"/>
    <x v="5"/>
    <x v="2"/>
    <x v="6"/>
    <s v="Multi-Use Personal File Cart and Caster Set, Three Stacking Bins"/>
    <n v="139.04"/>
    <n v="4"/>
    <n v="38.93"/>
  </r>
  <r>
    <d v="2017-02-02T00:00:00"/>
    <x v="3"/>
    <x v="0"/>
    <x v="192"/>
    <x v="5"/>
    <x v="2"/>
    <x v="10"/>
    <s v="Harmony HEPA Quiet Air Purifiers"/>
    <n v="46.8"/>
    <n v="4"/>
    <n v="16.38"/>
  </r>
  <r>
    <d v="2017-02-02T00:00:00"/>
    <x v="3"/>
    <x v="0"/>
    <x v="543"/>
    <x v="5"/>
    <x v="1"/>
    <x v="5"/>
    <s v="Eldon Antistatic Chair Mats for Low to Medium Pile Carpets"/>
    <n v="210.58"/>
    <n v="2"/>
    <n v="12.63"/>
  </r>
  <r>
    <d v="2017-02-02T00:00:00"/>
    <x v="3"/>
    <x v="0"/>
    <x v="543"/>
    <x v="5"/>
    <x v="2"/>
    <x v="9"/>
    <s v="GBC Durable Plastic Covers"/>
    <n v="30.96"/>
    <n v="2"/>
    <n v="10.06"/>
  </r>
  <r>
    <d v="2017-02-02T00:00:00"/>
    <x v="3"/>
    <x v="0"/>
    <x v="543"/>
    <x v="5"/>
    <x v="0"/>
    <x v="14"/>
    <s v="HP Officejet Pro 8600 e-All-In-One Printer, Copier, Scanner, Fax"/>
    <n v="239.98"/>
    <n v="2"/>
    <n v="39"/>
  </r>
  <r>
    <d v="2017-03-02T00:00:00"/>
    <x v="3"/>
    <x v="1"/>
    <x v="639"/>
    <x v="4"/>
    <x v="2"/>
    <x v="15"/>
    <s v="Staple remover"/>
    <n v="6.98"/>
    <n v="4"/>
    <n v="-1.4"/>
  </r>
  <r>
    <d v="2017-03-02T00:00:00"/>
    <x v="3"/>
    <x v="1"/>
    <x v="639"/>
    <x v="4"/>
    <x v="2"/>
    <x v="9"/>
    <s v="Wilson Jones Leather-Like Binders with DublLock Round Rings"/>
    <n v="12.22"/>
    <n v="7"/>
    <n v="-20.170000000000002"/>
  </r>
  <r>
    <d v="2017-03-02T00:00:00"/>
    <x v="3"/>
    <x v="1"/>
    <x v="655"/>
    <x v="5"/>
    <x v="0"/>
    <x v="2"/>
    <s v="Panasonic KX TS3282B Corded phone"/>
    <n v="196.78"/>
    <n v="3"/>
    <n v="14.76"/>
  </r>
  <r>
    <d v="2017-03-02T00:00:00"/>
    <x v="3"/>
    <x v="1"/>
    <x v="655"/>
    <x v="5"/>
    <x v="0"/>
    <x v="0"/>
    <s v="Logitech G13 Programmable Gameboard with LCD Display"/>
    <n v="479.94"/>
    <n v="6"/>
    <n v="52.79"/>
  </r>
  <r>
    <d v="2017-03-02T00:00:00"/>
    <x v="3"/>
    <x v="1"/>
    <x v="289"/>
    <x v="37"/>
    <x v="2"/>
    <x v="11"/>
    <s v="Newell 34"/>
    <n v="59.52"/>
    <n v="3"/>
    <n v="15.48"/>
  </r>
  <r>
    <d v="2017-03-02T00:00:00"/>
    <x v="3"/>
    <x v="1"/>
    <x v="289"/>
    <x v="37"/>
    <x v="2"/>
    <x v="13"/>
    <s v="Staple envelope"/>
    <n v="57.96"/>
    <n v="7"/>
    <n v="27.24"/>
  </r>
  <r>
    <d v="2017-03-02T00:00:00"/>
    <x v="3"/>
    <x v="1"/>
    <x v="289"/>
    <x v="37"/>
    <x v="1"/>
    <x v="16"/>
    <s v="Bush Cubix Collection Bookcases, Fully Assembled"/>
    <n v="441.96"/>
    <n v="2"/>
    <n v="101.65"/>
  </r>
  <r>
    <d v="2017-03-02T00:00:00"/>
    <x v="3"/>
    <x v="1"/>
    <x v="289"/>
    <x v="37"/>
    <x v="2"/>
    <x v="3"/>
    <s v="Easy-staple paper"/>
    <n v="68.040000000000006"/>
    <n v="6"/>
    <n v="33.340000000000003"/>
  </r>
  <r>
    <d v="2017-03-02T00:00:00"/>
    <x v="3"/>
    <x v="1"/>
    <x v="313"/>
    <x v="18"/>
    <x v="2"/>
    <x v="9"/>
    <s v="GBC VeloBind Cover Sets"/>
    <n v="18.53"/>
    <n v="4"/>
    <n v="-12.35"/>
  </r>
  <r>
    <d v="2017-03-02T00:00:00"/>
    <x v="3"/>
    <x v="1"/>
    <x v="657"/>
    <x v="5"/>
    <x v="2"/>
    <x v="9"/>
    <s v="Catalog Binders with Expanding Posts"/>
    <n v="107.65"/>
    <n v="2"/>
    <n v="33.64"/>
  </r>
  <r>
    <d v="2017-03-02T00:00:00"/>
    <x v="3"/>
    <x v="1"/>
    <x v="180"/>
    <x v="4"/>
    <x v="2"/>
    <x v="9"/>
    <s v="Acco Suede Grain Vinyl Round Ring Binder"/>
    <n v="0.56000000000000005"/>
    <n v="1"/>
    <n v="-0.95"/>
  </r>
  <r>
    <d v="2017-04-02T00:00:00"/>
    <x v="3"/>
    <x v="2"/>
    <x v="541"/>
    <x v="5"/>
    <x v="1"/>
    <x v="5"/>
    <s v="Westinghouse Clip-On Gooseneck Lamps"/>
    <n v="25.11"/>
    <n v="3"/>
    <n v="6.53"/>
  </r>
  <r>
    <d v="2017-04-02T00:00:00"/>
    <x v="3"/>
    <x v="2"/>
    <x v="584"/>
    <x v="19"/>
    <x v="1"/>
    <x v="7"/>
    <s v="Bevis 44 x 96 Conference Tables"/>
    <n v="411.8"/>
    <n v="2"/>
    <n v="70.010000000000005"/>
  </r>
  <r>
    <d v="2017-04-02T00:00:00"/>
    <x v="3"/>
    <x v="2"/>
    <x v="584"/>
    <x v="19"/>
    <x v="0"/>
    <x v="0"/>
    <s v="NETGEAR N750 Dual Band Wi-Fi Gigabit Router"/>
    <n v="360"/>
    <n v="4"/>
    <n v="129.6"/>
  </r>
  <r>
    <d v="2017-04-02T00:00:00"/>
    <x v="3"/>
    <x v="2"/>
    <x v="419"/>
    <x v="25"/>
    <x v="2"/>
    <x v="11"/>
    <s v="Newell 318"/>
    <n v="11.12"/>
    <n v="4"/>
    <n v="2.89"/>
  </r>
  <r>
    <d v="2017-04-02T00:00:00"/>
    <x v="3"/>
    <x v="2"/>
    <x v="361"/>
    <x v="34"/>
    <x v="2"/>
    <x v="8"/>
    <s v="Avery 499"/>
    <n v="14.94"/>
    <n v="3"/>
    <n v="6.87"/>
  </r>
  <r>
    <d v="2017-05-02T00:00:00"/>
    <x v="3"/>
    <x v="10"/>
    <x v="598"/>
    <x v="8"/>
    <x v="1"/>
    <x v="5"/>
    <s v="Eldon Advantage Chair Mats for Low to Medium Pile Carpets"/>
    <n v="129.93"/>
    <n v="3"/>
    <n v="12.99"/>
  </r>
  <r>
    <d v="2017-05-02T00:00:00"/>
    <x v="3"/>
    <x v="10"/>
    <x v="68"/>
    <x v="5"/>
    <x v="0"/>
    <x v="0"/>
    <s v="LogitechÂ MX Performance Wireless Mouse"/>
    <n v="159.56"/>
    <n v="4"/>
    <n v="59.04"/>
  </r>
  <r>
    <d v="2017-05-02T00:00:00"/>
    <x v="3"/>
    <x v="10"/>
    <x v="658"/>
    <x v="5"/>
    <x v="2"/>
    <x v="3"/>
    <s v="Adams &quot;While You Were Out&quot; Message Pads"/>
    <n v="15.7"/>
    <n v="5"/>
    <n v="7.07"/>
  </r>
  <r>
    <d v="2017-05-02T00:00:00"/>
    <x v="3"/>
    <x v="10"/>
    <x v="658"/>
    <x v="5"/>
    <x v="2"/>
    <x v="11"/>
    <s v="Newell 34"/>
    <n v="59.52"/>
    <n v="3"/>
    <n v="15.48"/>
  </r>
  <r>
    <d v="2017-05-02T00:00:00"/>
    <x v="3"/>
    <x v="10"/>
    <x v="658"/>
    <x v="5"/>
    <x v="2"/>
    <x v="3"/>
    <s v="Adams Phone Message Book, 200 Message Capacity, 8 1/16Â” x 11Â”"/>
    <n v="34.4"/>
    <n v="5"/>
    <n v="15.82"/>
  </r>
  <r>
    <d v="2017-06-02T00:00:00"/>
    <x v="3"/>
    <x v="3"/>
    <x v="374"/>
    <x v="18"/>
    <x v="0"/>
    <x v="2"/>
    <s v="Cush Cases Heavy Duty Rugged Cover Case for Samsung Galaxy S5 - Purple"/>
    <n v="2.97"/>
    <n v="1"/>
    <n v="-0.64"/>
  </r>
  <r>
    <d v="2017-06-02T00:00:00"/>
    <x v="3"/>
    <x v="3"/>
    <x v="374"/>
    <x v="18"/>
    <x v="2"/>
    <x v="6"/>
    <s v="Advantus Rolling Storage Box"/>
    <n v="27.44"/>
    <n v="2"/>
    <n v="2.4"/>
  </r>
  <r>
    <d v="2017-06-02T00:00:00"/>
    <x v="3"/>
    <x v="3"/>
    <x v="89"/>
    <x v="23"/>
    <x v="2"/>
    <x v="3"/>
    <s v="Xerox 4200 Series MultiUse Premium Copy Paper (20Lb. and 84 Bright)"/>
    <n v="25.34"/>
    <n v="6"/>
    <n v="7.92"/>
  </r>
  <r>
    <d v="2017-06-02T00:00:00"/>
    <x v="3"/>
    <x v="3"/>
    <x v="89"/>
    <x v="23"/>
    <x v="2"/>
    <x v="13"/>
    <s v="Manila Recycled Extra-Heavyweight Clasp Envelopes, 6&quot; x 9&quot;"/>
    <n v="43.92"/>
    <n v="5"/>
    <n v="15.92"/>
  </r>
  <r>
    <d v="2017-06-02T00:00:00"/>
    <x v="3"/>
    <x v="3"/>
    <x v="44"/>
    <x v="12"/>
    <x v="2"/>
    <x v="3"/>
    <s v="Things To Do Today Spiral Book"/>
    <n v="25.34"/>
    <n v="4"/>
    <n v="9.19"/>
  </r>
  <r>
    <d v="2017-06-02T00:00:00"/>
    <x v="3"/>
    <x v="3"/>
    <x v="341"/>
    <x v="4"/>
    <x v="2"/>
    <x v="3"/>
    <s v="Xerox 1977"/>
    <n v="10.69"/>
    <n v="2"/>
    <n v="3.74"/>
  </r>
  <r>
    <d v="2017-07-02T00:00:00"/>
    <x v="3"/>
    <x v="4"/>
    <x v="659"/>
    <x v="4"/>
    <x v="2"/>
    <x v="3"/>
    <s v="White Dual Perf Computer Printout Paper, 2700 Sheets, 1 Part, Heavyweight, 20 lbs., 14 7/8 x 11"/>
    <n v="163.96"/>
    <n v="5"/>
    <n v="59.44"/>
  </r>
  <r>
    <d v="2017-07-02T00:00:00"/>
    <x v="3"/>
    <x v="4"/>
    <x v="659"/>
    <x v="4"/>
    <x v="2"/>
    <x v="9"/>
    <s v="Wilson Jones Four-Pocket Poly Binders"/>
    <n v="5.23"/>
    <n v="4"/>
    <n v="-8.11"/>
  </r>
  <r>
    <d v="2017-09-02T00:00:00"/>
    <x v="3"/>
    <x v="6"/>
    <x v="12"/>
    <x v="18"/>
    <x v="1"/>
    <x v="5"/>
    <s v="Eldon 200 Class Desk Accessories, Burgundy"/>
    <n v="15.07"/>
    <n v="3"/>
    <n v="4.1399999999999997"/>
  </r>
  <r>
    <d v="2017-09-02T00:00:00"/>
    <x v="3"/>
    <x v="6"/>
    <x v="660"/>
    <x v="10"/>
    <x v="0"/>
    <x v="2"/>
    <s v="Polycom CX600 IP Phone VoIP phone"/>
    <n v="1199.8"/>
    <n v="4"/>
    <n v="323.95"/>
  </r>
  <r>
    <d v="2017-09-02T00:00:00"/>
    <x v="3"/>
    <x v="6"/>
    <x v="660"/>
    <x v="10"/>
    <x v="0"/>
    <x v="0"/>
    <s v="MaxellÂ iVDR EX 500GB Cartridge"/>
    <n v="1928.78"/>
    <n v="7"/>
    <n v="829.38"/>
  </r>
  <r>
    <d v="2017-09-02T00:00:00"/>
    <x v="3"/>
    <x v="6"/>
    <x v="660"/>
    <x v="10"/>
    <x v="2"/>
    <x v="6"/>
    <s v="Fellowes High-Stak Drawer Files"/>
    <n v="352.38"/>
    <n v="2"/>
    <n v="81.05"/>
  </r>
  <r>
    <d v="2017-09-02T00:00:00"/>
    <x v="3"/>
    <x v="6"/>
    <x v="510"/>
    <x v="13"/>
    <x v="2"/>
    <x v="3"/>
    <s v="RSVP Cards &amp; Envelopes, Blank White, 8-1/2&quot; X 11&quot;, 24 Cards/25 Envelopes/Set"/>
    <n v="12.19"/>
    <n v="3"/>
    <n v="4.1100000000000003"/>
  </r>
  <r>
    <d v="2017-09-02T00:00:00"/>
    <x v="3"/>
    <x v="6"/>
    <x v="551"/>
    <x v="5"/>
    <x v="2"/>
    <x v="11"/>
    <s v="Pencil and Crayon Sharpener"/>
    <n v="6.57"/>
    <n v="3"/>
    <n v="1.77"/>
  </r>
  <r>
    <d v="2017-09-02T00:00:00"/>
    <x v="3"/>
    <x v="6"/>
    <x v="661"/>
    <x v="2"/>
    <x v="2"/>
    <x v="11"/>
    <s v="Newell 324"/>
    <n v="23.1"/>
    <n v="2"/>
    <n v="6.47"/>
  </r>
  <r>
    <d v="2017-09-02T00:00:00"/>
    <x v="3"/>
    <x v="6"/>
    <x v="661"/>
    <x v="2"/>
    <x v="1"/>
    <x v="5"/>
    <s v="DAX Cubicle Frames - 8x10"/>
    <n v="11.54"/>
    <n v="2"/>
    <n v="3.46"/>
  </r>
  <r>
    <d v="2017-09-02T00:00:00"/>
    <x v="3"/>
    <x v="6"/>
    <x v="661"/>
    <x v="2"/>
    <x v="1"/>
    <x v="7"/>
    <s v="Bush Advantage Collection Racetrack Conference Table"/>
    <n v="254.53"/>
    <n v="1"/>
    <n v="-93.33"/>
  </r>
  <r>
    <d v="2017-09-02T00:00:00"/>
    <x v="3"/>
    <x v="6"/>
    <x v="661"/>
    <x v="2"/>
    <x v="2"/>
    <x v="10"/>
    <s v="Fellowes Basic Home/Office Series Surge Protectors"/>
    <n v="12.98"/>
    <n v="1"/>
    <n v="3.76"/>
  </r>
  <r>
    <d v="2017-09-02T00:00:00"/>
    <x v="3"/>
    <x v="6"/>
    <x v="661"/>
    <x v="2"/>
    <x v="2"/>
    <x v="9"/>
    <s v="ACCOHIDE 3-Ring Binder, Blue, 1&quot;"/>
    <n v="26.43"/>
    <n v="8"/>
    <n v="8.92"/>
  </r>
  <r>
    <d v="2017-09-02T00:00:00"/>
    <x v="3"/>
    <x v="6"/>
    <x v="661"/>
    <x v="2"/>
    <x v="0"/>
    <x v="2"/>
    <s v="Cisco SPA508G"/>
    <n v="197.97"/>
    <n v="3"/>
    <n v="57.41"/>
  </r>
  <r>
    <d v="2017-09-02T00:00:00"/>
    <x v="3"/>
    <x v="6"/>
    <x v="661"/>
    <x v="2"/>
    <x v="2"/>
    <x v="8"/>
    <s v="Avery 518"/>
    <n v="18.899999999999999"/>
    <n v="6"/>
    <n v="9.07"/>
  </r>
  <r>
    <d v="2017-09-02T00:00:00"/>
    <x v="3"/>
    <x v="6"/>
    <x v="661"/>
    <x v="2"/>
    <x v="1"/>
    <x v="1"/>
    <s v="Global Commerce Series High-Back Swivel/Tilt Chairs"/>
    <n v="1282.4100000000001"/>
    <n v="5"/>
    <n v="213.74"/>
  </r>
  <r>
    <d v="2017-09-02T00:00:00"/>
    <x v="3"/>
    <x v="6"/>
    <x v="661"/>
    <x v="2"/>
    <x v="2"/>
    <x v="11"/>
    <s v="BIC Brite Liner Grip Highlighters"/>
    <n v="4.92"/>
    <n v="3"/>
    <n v="2.21"/>
  </r>
  <r>
    <d v="2017-09-02T00:00:00"/>
    <x v="3"/>
    <x v="6"/>
    <x v="661"/>
    <x v="2"/>
    <x v="0"/>
    <x v="0"/>
    <s v="WD My Passport Ultra 2TB Portable External Hard Drive"/>
    <n v="238"/>
    <n v="2"/>
    <n v="38.08"/>
  </r>
  <r>
    <d v="2017-09-02T00:00:00"/>
    <x v="3"/>
    <x v="6"/>
    <x v="661"/>
    <x v="2"/>
    <x v="0"/>
    <x v="0"/>
    <s v="Sony Micro Vault Click 16 GB USB 2.0 Flash Drive"/>
    <n v="167.97"/>
    <n v="3"/>
    <n v="40.31"/>
  </r>
  <r>
    <d v="2017-09-02T00:00:00"/>
    <x v="3"/>
    <x v="6"/>
    <x v="661"/>
    <x v="2"/>
    <x v="2"/>
    <x v="3"/>
    <s v="Xerox 1962"/>
    <n v="17.12"/>
    <n v="4"/>
    <n v="7.7"/>
  </r>
  <r>
    <d v="2017-09-02T00:00:00"/>
    <x v="3"/>
    <x v="6"/>
    <x v="662"/>
    <x v="5"/>
    <x v="2"/>
    <x v="11"/>
    <s v="OIC #2 Pencils, Medium Soft"/>
    <n v="9.4"/>
    <n v="5"/>
    <n v="2.73"/>
  </r>
  <r>
    <d v="2017-09-02T00:00:00"/>
    <x v="3"/>
    <x v="6"/>
    <x v="662"/>
    <x v="5"/>
    <x v="2"/>
    <x v="8"/>
    <s v="Avery 505"/>
    <n v="74"/>
    <n v="5"/>
    <n v="37"/>
  </r>
  <r>
    <d v="2017-09-02T00:00:00"/>
    <x v="3"/>
    <x v="6"/>
    <x v="662"/>
    <x v="5"/>
    <x v="0"/>
    <x v="2"/>
    <s v="Ooma Telo VoIP Home Phone System"/>
    <n v="201.58"/>
    <n v="2"/>
    <n v="12.6"/>
  </r>
  <r>
    <d v="2017-09-02T00:00:00"/>
    <x v="3"/>
    <x v="6"/>
    <x v="663"/>
    <x v="25"/>
    <x v="2"/>
    <x v="6"/>
    <s v="Crate-A-Files"/>
    <n v="10.9"/>
    <n v="1"/>
    <n v="2.83"/>
  </r>
  <r>
    <d v="2017-09-02T00:00:00"/>
    <x v="3"/>
    <x v="6"/>
    <x v="663"/>
    <x v="25"/>
    <x v="2"/>
    <x v="3"/>
    <s v="Xerox 191"/>
    <n v="79.92"/>
    <n v="4"/>
    <n v="37.56"/>
  </r>
  <r>
    <d v="2017-09-02T00:00:00"/>
    <x v="3"/>
    <x v="6"/>
    <x v="663"/>
    <x v="25"/>
    <x v="2"/>
    <x v="3"/>
    <s v="Xerox 1890"/>
    <n v="146.82"/>
    <n v="3"/>
    <n v="73.41"/>
  </r>
  <r>
    <d v="2017-09-02T00:00:00"/>
    <x v="3"/>
    <x v="6"/>
    <x v="73"/>
    <x v="3"/>
    <x v="2"/>
    <x v="4"/>
    <s v="Advantus Plastic Paper Clips"/>
    <n v="16"/>
    <n v="4"/>
    <n v="5.6"/>
  </r>
  <r>
    <d v="2017-09-02T00:00:00"/>
    <x v="3"/>
    <x v="6"/>
    <x v="73"/>
    <x v="3"/>
    <x v="2"/>
    <x v="10"/>
    <s v="Belkin 7-Outlet SurgeMaster Home Series"/>
    <n v="5.59"/>
    <n v="2"/>
    <n v="-15.09"/>
  </r>
  <r>
    <d v="2017-09-02T00:00:00"/>
    <x v="3"/>
    <x v="6"/>
    <x v="73"/>
    <x v="3"/>
    <x v="2"/>
    <x v="6"/>
    <s v="Belkin 19&quot; Center-Weighted Shelf, Gray"/>
    <n v="235.92"/>
    <n v="5"/>
    <n v="-44.24"/>
  </r>
  <r>
    <d v="2017-09-02T00:00:00"/>
    <x v="3"/>
    <x v="6"/>
    <x v="463"/>
    <x v="3"/>
    <x v="0"/>
    <x v="0"/>
    <s v="Kingston Digital DataTraveler 32GB USB 2.0"/>
    <n v="40.68"/>
    <n v="3"/>
    <n v="-7.12"/>
  </r>
  <r>
    <d v="2017-09-02T00:00:00"/>
    <x v="3"/>
    <x v="6"/>
    <x v="576"/>
    <x v="5"/>
    <x v="2"/>
    <x v="9"/>
    <s v="Acco Translucent Poly Ring Binders"/>
    <n v="18.72"/>
    <n v="5"/>
    <n v="6.55"/>
  </r>
  <r>
    <d v="2017-09-02T00:00:00"/>
    <x v="3"/>
    <x v="6"/>
    <x v="576"/>
    <x v="5"/>
    <x v="1"/>
    <x v="7"/>
    <s v="Hon 2111 Invitation Series Straight Table"/>
    <n v="236.53"/>
    <n v="2"/>
    <n v="-2.96"/>
  </r>
  <r>
    <d v="2017-09-02T00:00:00"/>
    <x v="3"/>
    <x v="6"/>
    <x v="411"/>
    <x v="1"/>
    <x v="1"/>
    <x v="1"/>
    <s v="Global Leather Task Chair, Black"/>
    <n v="215.98"/>
    <n v="3"/>
    <n v="-2.7"/>
  </r>
  <r>
    <d v="2017-09-02T00:00:00"/>
    <x v="3"/>
    <x v="6"/>
    <x v="444"/>
    <x v="17"/>
    <x v="2"/>
    <x v="9"/>
    <s v="GBC DocuBind 300 Electric Binding Machine"/>
    <n v="1577.94"/>
    <n v="3"/>
    <n v="757.41"/>
  </r>
  <r>
    <d v="2017-09-02T00:00:00"/>
    <x v="3"/>
    <x v="6"/>
    <x v="310"/>
    <x v="15"/>
    <x v="2"/>
    <x v="8"/>
    <s v="Avery 519"/>
    <n v="11.7"/>
    <n v="2"/>
    <n v="3.95"/>
  </r>
  <r>
    <d v="2017-09-02T00:00:00"/>
    <x v="3"/>
    <x v="6"/>
    <x v="664"/>
    <x v="5"/>
    <x v="2"/>
    <x v="10"/>
    <s v="Acco Six-Outlet Power Strip, 4' Cord Length"/>
    <n v="43.1"/>
    <n v="5"/>
    <n v="11.21"/>
  </r>
  <r>
    <d v="2017-09-02T00:00:00"/>
    <x v="3"/>
    <x v="6"/>
    <x v="664"/>
    <x v="5"/>
    <x v="1"/>
    <x v="5"/>
    <s v="Luxo Professional Combination Clamp-On Lamps"/>
    <n v="511.5"/>
    <n v="5"/>
    <n v="132.99"/>
  </r>
  <r>
    <d v="2017-09-02T00:00:00"/>
    <x v="3"/>
    <x v="6"/>
    <x v="664"/>
    <x v="5"/>
    <x v="2"/>
    <x v="9"/>
    <s v="GBC Velobind Prepunched Cover Sets, Regency Series"/>
    <n v="147.91999999999999"/>
    <n v="5"/>
    <n v="46.23"/>
  </r>
  <r>
    <d v="2017-10-02T00:00:00"/>
    <x v="3"/>
    <x v="7"/>
    <x v="172"/>
    <x v="10"/>
    <x v="2"/>
    <x v="9"/>
    <s v="GBC Durable Plastic Covers"/>
    <n v="58.05"/>
    <n v="3"/>
    <n v="26.7"/>
  </r>
  <r>
    <d v="2017-10-02T00:00:00"/>
    <x v="3"/>
    <x v="7"/>
    <x v="172"/>
    <x v="10"/>
    <x v="1"/>
    <x v="5"/>
    <s v="Nu-Dell Leatherette Frames"/>
    <n v="157.74"/>
    <n v="11"/>
    <n v="56.79"/>
  </r>
  <r>
    <d v="2017-10-02T00:00:00"/>
    <x v="3"/>
    <x v="7"/>
    <x v="172"/>
    <x v="10"/>
    <x v="2"/>
    <x v="11"/>
    <s v="Avery Hi-Liter EverBold Pen Style Fluorescent Highlighters, 4/Pack"/>
    <n v="56.98"/>
    <n v="7"/>
    <n v="22.79"/>
  </r>
  <r>
    <d v="2017-10-02T00:00:00"/>
    <x v="3"/>
    <x v="7"/>
    <x v="172"/>
    <x v="10"/>
    <x v="2"/>
    <x v="9"/>
    <s v="Avery Durable Binders"/>
    <n v="2.88"/>
    <n v="1"/>
    <n v="1.41"/>
  </r>
  <r>
    <d v="2017-10-02T00:00:00"/>
    <x v="3"/>
    <x v="7"/>
    <x v="380"/>
    <x v="2"/>
    <x v="2"/>
    <x v="3"/>
    <s v="Xerox 1907"/>
    <n v="49.12"/>
    <n v="4"/>
    <n v="23.09"/>
  </r>
  <r>
    <d v="2017-10-02T00:00:00"/>
    <x v="3"/>
    <x v="7"/>
    <x v="573"/>
    <x v="2"/>
    <x v="0"/>
    <x v="2"/>
    <s v="Plantronics 81402"/>
    <n v="65.989999999999995"/>
    <n v="1"/>
    <n v="17.16"/>
  </r>
  <r>
    <d v="2017-10-02T00:00:00"/>
    <x v="3"/>
    <x v="7"/>
    <x v="665"/>
    <x v="1"/>
    <x v="2"/>
    <x v="4"/>
    <s v="Staples"/>
    <n v="8.94"/>
    <n v="3"/>
    <n v="4.1100000000000003"/>
  </r>
  <r>
    <d v="2017-10-02T00:00:00"/>
    <x v="3"/>
    <x v="7"/>
    <x v="665"/>
    <x v="1"/>
    <x v="0"/>
    <x v="2"/>
    <s v="i.Sound Portable Power - 8000 mAh"/>
    <n v="84.78"/>
    <n v="2"/>
    <n v="-20.14"/>
  </r>
  <r>
    <d v="2017-10-02T00:00:00"/>
    <x v="3"/>
    <x v="7"/>
    <x v="302"/>
    <x v="5"/>
    <x v="2"/>
    <x v="9"/>
    <s v="Performers Binder/Pad Holder, Black"/>
    <n v="112.12"/>
    <n v="5"/>
    <n v="42.05"/>
  </r>
  <r>
    <d v="2017-10-02T00:00:00"/>
    <x v="3"/>
    <x v="7"/>
    <x v="302"/>
    <x v="5"/>
    <x v="2"/>
    <x v="6"/>
    <s v="Tennsco Double-Tier Lockers"/>
    <n v="1575.14"/>
    <n v="7"/>
    <n v="204.77"/>
  </r>
  <r>
    <d v="2017-10-02T00:00:00"/>
    <x v="3"/>
    <x v="7"/>
    <x v="287"/>
    <x v="26"/>
    <x v="1"/>
    <x v="5"/>
    <s v="Eldon Expressions Wood Desk Accessories, Oak"/>
    <n v="11.81"/>
    <n v="2"/>
    <n v="1.33"/>
  </r>
  <r>
    <d v="2017-10-02T00:00:00"/>
    <x v="3"/>
    <x v="7"/>
    <x v="287"/>
    <x v="26"/>
    <x v="1"/>
    <x v="5"/>
    <s v="Eldon 500 Class Desk Accessories"/>
    <n v="9.66"/>
    <n v="1"/>
    <n v="1.57"/>
  </r>
  <r>
    <d v="2017-10-02T00:00:00"/>
    <x v="3"/>
    <x v="7"/>
    <x v="287"/>
    <x v="26"/>
    <x v="2"/>
    <x v="3"/>
    <s v="Xerox 1996"/>
    <n v="20.74"/>
    <n v="4"/>
    <n v="7.26"/>
  </r>
  <r>
    <d v="2017-10-02T00:00:00"/>
    <x v="3"/>
    <x v="7"/>
    <x v="287"/>
    <x v="26"/>
    <x v="2"/>
    <x v="9"/>
    <s v="Ibico Plastic Spiral Binding Combs"/>
    <n v="27.36"/>
    <n v="3"/>
    <n v="-21.89"/>
  </r>
  <r>
    <d v="2017-10-02T00:00:00"/>
    <x v="3"/>
    <x v="7"/>
    <x v="287"/>
    <x v="26"/>
    <x v="1"/>
    <x v="7"/>
    <s v="Chromcraft Bull-Nose Wood Oval Conference Tables &amp; Bases"/>
    <n v="2314.12"/>
    <n v="7"/>
    <n v="-1002.78"/>
  </r>
  <r>
    <d v="2017-10-02T00:00:00"/>
    <x v="3"/>
    <x v="7"/>
    <x v="287"/>
    <x v="26"/>
    <x v="2"/>
    <x v="9"/>
    <s v="Lock-Up Easel 'Spel-Binder'"/>
    <n v="34.24"/>
    <n v="4"/>
    <n v="-26.25"/>
  </r>
  <r>
    <d v="2017-10-02T00:00:00"/>
    <x v="3"/>
    <x v="7"/>
    <x v="287"/>
    <x v="26"/>
    <x v="1"/>
    <x v="5"/>
    <s v="Eldon Image Series Desk Accessories, Ebony"/>
    <n v="19.760000000000002"/>
    <n v="2"/>
    <n v="5.93"/>
  </r>
  <r>
    <d v="2017-10-02T00:00:00"/>
    <x v="3"/>
    <x v="7"/>
    <x v="666"/>
    <x v="34"/>
    <x v="1"/>
    <x v="5"/>
    <s v="Master Caster Door Stop, Gray"/>
    <n v="10.16"/>
    <n v="2"/>
    <n v="3.45"/>
  </r>
  <r>
    <d v="2017-10-02T00:00:00"/>
    <x v="3"/>
    <x v="7"/>
    <x v="667"/>
    <x v="16"/>
    <x v="1"/>
    <x v="16"/>
    <s v="O'Sullivan 4-Shelf Bookcase in Odessa Pine"/>
    <n v="217.76"/>
    <n v="6"/>
    <n v="-384.72"/>
  </r>
  <r>
    <d v="2017-10-02T00:00:00"/>
    <x v="3"/>
    <x v="7"/>
    <x v="667"/>
    <x v="16"/>
    <x v="2"/>
    <x v="15"/>
    <s v="Acme Softgrip Scissors"/>
    <n v="39.07"/>
    <n v="6"/>
    <n v="4.4000000000000004"/>
  </r>
  <r>
    <d v="2017-10-02T00:00:00"/>
    <x v="3"/>
    <x v="7"/>
    <x v="667"/>
    <x v="16"/>
    <x v="2"/>
    <x v="9"/>
    <s v="GBC Standard Recycled Report Covers, Clear Plastic Sheets"/>
    <n v="22.64"/>
    <n v="7"/>
    <n v="-16.600000000000001"/>
  </r>
  <r>
    <d v="2017-10-02T00:00:00"/>
    <x v="3"/>
    <x v="7"/>
    <x v="667"/>
    <x v="16"/>
    <x v="2"/>
    <x v="11"/>
    <s v="Berol Giant Pencil Sharpener"/>
    <n v="95.14"/>
    <n v="7"/>
    <n v="10.7"/>
  </r>
  <r>
    <d v="2017-10-02T00:00:00"/>
    <x v="3"/>
    <x v="7"/>
    <x v="668"/>
    <x v="5"/>
    <x v="1"/>
    <x v="5"/>
    <s v="Dax Clear Box Frame"/>
    <n v="17.46"/>
    <n v="2"/>
    <n v="5.94"/>
  </r>
  <r>
    <d v="2017-10-02T00:00:00"/>
    <x v="3"/>
    <x v="7"/>
    <x v="668"/>
    <x v="5"/>
    <x v="0"/>
    <x v="14"/>
    <s v="Ricoh - Ink Collector Unit for GX3000 Series Printers"/>
    <n v="369.16"/>
    <n v="11"/>
    <n v="32.299999999999997"/>
  </r>
  <r>
    <d v="2017-10-02T00:00:00"/>
    <x v="3"/>
    <x v="7"/>
    <x v="482"/>
    <x v="4"/>
    <x v="2"/>
    <x v="10"/>
    <s v="Fellowes Superior 10 Outlet Split Surge Protector"/>
    <n v="15.22"/>
    <n v="2"/>
    <n v="-38.82"/>
  </r>
  <r>
    <d v="2017-10-02T00:00:00"/>
    <x v="3"/>
    <x v="7"/>
    <x v="482"/>
    <x v="4"/>
    <x v="2"/>
    <x v="10"/>
    <s v="Acco 6 Outlet Guardian Premium Plus Surge Suppressor"/>
    <n v="21.98"/>
    <n v="6"/>
    <n v="-56.06"/>
  </r>
  <r>
    <d v="2017-11-02T00:00:00"/>
    <x v="3"/>
    <x v="8"/>
    <x v="23"/>
    <x v="1"/>
    <x v="2"/>
    <x v="3"/>
    <s v="Wirebound Message Books, Four 2 3/4 x 5 Forms per Page, 200 Sets per Book"/>
    <n v="23.85"/>
    <n v="5"/>
    <n v="10.73"/>
  </r>
  <r>
    <d v="2017-11-02T00:00:00"/>
    <x v="3"/>
    <x v="8"/>
    <x v="415"/>
    <x v="39"/>
    <x v="2"/>
    <x v="4"/>
    <s v="Staples"/>
    <n v="18.239999999999998"/>
    <n v="3"/>
    <n v="9.1199999999999992"/>
  </r>
  <r>
    <d v="2017-11-02T00:00:00"/>
    <x v="3"/>
    <x v="8"/>
    <x v="415"/>
    <x v="39"/>
    <x v="2"/>
    <x v="11"/>
    <s v="Binney &amp; Smith Crayola Metallic Colored Pencils, 8-Color Set"/>
    <n v="27.78"/>
    <n v="6"/>
    <n v="9.17"/>
  </r>
  <r>
    <d v="2017-11-02T00:00:00"/>
    <x v="3"/>
    <x v="8"/>
    <x v="669"/>
    <x v="5"/>
    <x v="2"/>
    <x v="13"/>
    <s v="White Business Envelopes with Contemporary Seam, Recycled White Business Envelopes"/>
    <n v="76.58"/>
    <n v="7"/>
    <n v="38.29"/>
  </r>
  <r>
    <d v="2017-11-02T00:00:00"/>
    <x v="3"/>
    <x v="8"/>
    <x v="669"/>
    <x v="5"/>
    <x v="2"/>
    <x v="11"/>
    <s v="Nontoxic Chalk"/>
    <n v="8.8000000000000007"/>
    <n v="5"/>
    <n v="4.22"/>
  </r>
  <r>
    <d v="2017-11-02T00:00:00"/>
    <x v="3"/>
    <x v="8"/>
    <x v="669"/>
    <x v="5"/>
    <x v="2"/>
    <x v="9"/>
    <s v="GBC Therma-A-Bind 250T Electric Binding System"/>
    <n v="590.35"/>
    <n v="6"/>
    <n v="206.62"/>
  </r>
  <r>
    <d v="2017-11-02T00:00:00"/>
    <x v="3"/>
    <x v="8"/>
    <x v="669"/>
    <x v="5"/>
    <x v="2"/>
    <x v="4"/>
    <s v="Super Bands, 12/Pack"/>
    <n v="5.58"/>
    <n v="3"/>
    <n v="0.17"/>
  </r>
  <r>
    <d v="2017-11-02T00:00:00"/>
    <x v="3"/>
    <x v="8"/>
    <x v="669"/>
    <x v="5"/>
    <x v="1"/>
    <x v="5"/>
    <s v="Document Clip Frames"/>
    <n v="25.02"/>
    <n v="3"/>
    <n v="10.51"/>
  </r>
  <r>
    <d v="2017-11-02T00:00:00"/>
    <x v="3"/>
    <x v="8"/>
    <x v="669"/>
    <x v="5"/>
    <x v="2"/>
    <x v="6"/>
    <s v="Space Solutions Commercial Steel Shelving"/>
    <n v="452.55"/>
    <n v="7"/>
    <n v="22.63"/>
  </r>
  <r>
    <d v="2017-11-02T00:00:00"/>
    <x v="3"/>
    <x v="8"/>
    <x v="228"/>
    <x v="17"/>
    <x v="2"/>
    <x v="13"/>
    <s v="Letter or Legal Size Expandable Poly String Tie Envelopes"/>
    <n v="5.32"/>
    <n v="2"/>
    <n v="2.61"/>
  </r>
  <r>
    <d v="2017-11-02T00:00:00"/>
    <x v="3"/>
    <x v="8"/>
    <x v="228"/>
    <x v="17"/>
    <x v="1"/>
    <x v="1"/>
    <s v="Hon Deluxe Fabric Upholstered Stacking Chairs, Rounded Back"/>
    <n v="975.92"/>
    <n v="4"/>
    <n v="292.77999999999997"/>
  </r>
  <r>
    <d v="2017-11-02T00:00:00"/>
    <x v="3"/>
    <x v="8"/>
    <x v="228"/>
    <x v="17"/>
    <x v="0"/>
    <x v="0"/>
    <s v="Logitech diNovo Edge Keyboard"/>
    <n v="2249.91"/>
    <n v="9"/>
    <n v="517.48"/>
  </r>
  <r>
    <d v="2017-11-02T00:00:00"/>
    <x v="3"/>
    <x v="8"/>
    <x v="228"/>
    <x v="17"/>
    <x v="2"/>
    <x v="6"/>
    <s v="Super Decoflex Portable Personal File"/>
    <n v="59.92"/>
    <n v="4"/>
    <n v="16.78"/>
  </r>
  <r>
    <d v="2017-11-02T00:00:00"/>
    <x v="3"/>
    <x v="8"/>
    <x v="607"/>
    <x v="13"/>
    <x v="1"/>
    <x v="5"/>
    <s v="Eldon Image Series Black Desk Accessories"/>
    <n v="3.31"/>
    <n v="1"/>
    <n v="0.66"/>
  </r>
  <r>
    <d v="2017-11-02T00:00:00"/>
    <x v="3"/>
    <x v="8"/>
    <x v="607"/>
    <x v="13"/>
    <x v="2"/>
    <x v="10"/>
    <s v="Black &amp; Decker Filter for Double Action Dustbuster Cordless Vac BLDV7210"/>
    <n v="20.14"/>
    <n v="3"/>
    <n v="1.26"/>
  </r>
  <r>
    <d v="2017-11-02T00:00:00"/>
    <x v="3"/>
    <x v="8"/>
    <x v="607"/>
    <x v="13"/>
    <x v="2"/>
    <x v="13"/>
    <s v="Colored Envelopes"/>
    <n v="8.86"/>
    <n v="3"/>
    <n v="2.88"/>
  </r>
  <r>
    <d v="2017-11-02T00:00:00"/>
    <x v="3"/>
    <x v="8"/>
    <x v="607"/>
    <x v="13"/>
    <x v="0"/>
    <x v="2"/>
    <s v="Wilson Electronics DB Pro Signal Booster"/>
    <n v="859.2"/>
    <n v="4"/>
    <n v="-186.16"/>
  </r>
  <r>
    <d v="2017-11-02T00:00:00"/>
    <x v="3"/>
    <x v="8"/>
    <x v="621"/>
    <x v="21"/>
    <x v="2"/>
    <x v="3"/>
    <s v="Xerox 220"/>
    <n v="19.440000000000001"/>
    <n v="3"/>
    <n v="9.33"/>
  </r>
  <r>
    <d v="2017-11-02T00:00:00"/>
    <x v="3"/>
    <x v="8"/>
    <x v="447"/>
    <x v="18"/>
    <x v="2"/>
    <x v="15"/>
    <s v="Premier Automatic Letter Opener"/>
    <n v="384.59"/>
    <n v="2"/>
    <n v="-81.73"/>
  </r>
  <r>
    <d v="2017-11-02T00:00:00"/>
    <x v="3"/>
    <x v="8"/>
    <x v="503"/>
    <x v="5"/>
    <x v="2"/>
    <x v="10"/>
    <s v="Fellowes 8 Outlet Superior Workstation Surge Protector w/o Phone/Fax/Modem Protection"/>
    <n v="168.1"/>
    <n v="5"/>
    <n v="43.71"/>
  </r>
  <r>
    <d v="2017-11-02T00:00:00"/>
    <x v="3"/>
    <x v="8"/>
    <x v="397"/>
    <x v="3"/>
    <x v="2"/>
    <x v="11"/>
    <s v="Stanley Bostitch Contemporary Electric Pencil Sharpeners"/>
    <n v="54.34"/>
    <n v="4"/>
    <n v="5.43"/>
  </r>
  <r>
    <d v="2017-11-02T00:00:00"/>
    <x v="3"/>
    <x v="8"/>
    <x v="670"/>
    <x v="22"/>
    <x v="2"/>
    <x v="10"/>
    <s v="Black &amp; Decker Filter for Double Action Dustbuster Cordless Vac BLDV7210"/>
    <n v="83.9"/>
    <n v="10"/>
    <n v="20.98"/>
  </r>
  <r>
    <d v="2017-11-02T00:00:00"/>
    <x v="3"/>
    <x v="8"/>
    <x v="670"/>
    <x v="22"/>
    <x v="2"/>
    <x v="3"/>
    <s v="Adams Telephone Message Book W/Dividers/Space For Phone Numbers, 5 1/4&quot;X8 1/2&quot;, 300/Messages"/>
    <n v="11.76"/>
    <n v="2"/>
    <n v="5.76"/>
  </r>
  <r>
    <d v="2017-11-02T00:00:00"/>
    <x v="3"/>
    <x v="8"/>
    <x v="671"/>
    <x v="18"/>
    <x v="1"/>
    <x v="1"/>
    <s v="Office Star Flex Back Scooter Chair with White Frame"/>
    <n v="155.37"/>
    <n v="2"/>
    <n v="-35.51"/>
  </r>
  <r>
    <d v="2017-11-02T00:00:00"/>
    <x v="3"/>
    <x v="8"/>
    <x v="149"/>
    <x v="20"/>
    <x v="2"/>
    <x v="11"/>
    <s v="Newell 318"/>
    <n v="5.56"/>
    <n v="2"/>
    <n v="1.45"/>
  </r>
  <r>
    <d v="2017-12-02T00:00:00"/>
    <x v="3"/>
    <x v="9"/>
    <x v="278"/>
    <x v="5"/>
    <x v="2"/>
    <x v="6"/>
    <s v="Fellowes Mobile File Cart, Black"/>
    <n v="559.62"/>
    <n v="9"/>
    <n v="151.1"/>
  </r>
  <r>
    <d v="2017-12-02T00:00:00"/>
    <x v="3"/>
    <x v="9"/>
    <x v="278"/>
    <x v="5"/>
    <x v="2"/>
    <x v="3"/>
    <s v="Xerox 1940"/>
    <n v="109.92"/>
    <n v="2"/>
    <n v="53.86"/>
  </r>
  <r>
    <d v="2017-12-02T00:00:00"/>
    <x v="3"/>
    <x v="9"/>
    <x v="278"/>
    <x v="5"/>
    <x v="2"/>
    <x v="3"/>
    <s v="Xerox 1962"/>
    <n v="8.56"/>
    <n v="2"/>
    <n v="3.85"/>
  </r>
  <r>
    <d v="2017-12-02T00:00:00"/>
    <x v="3"/>
    <x v="9"/>
    <x v="472"/>
    <x v="20"/>
    <x v="2"/>
    <x v="11"/>
    <s v="Newell 309"/>
    <n v="34.65"/>
    <n v="3"/>
    <n v="10.4"/>
  </r>
  <r>
    <d v="2017-12-02T00:00:00"/>
    <x v="3"/>
    <x v="9"/>
    <x v="672"/>
    <x v="4"/>
    <x v="2"/>
    <x v="10"/>
    <s v="3.6 Cubic Foot Counter Height Office Refrigerator"/>
    <n v="294.62"/>
    <n v="5"/>
    <n v="-766.01"/>
  </r>
  <r>
    <d v="2017-12-02T00:00:00"/>
    <x v="3"/>
    <x v="9"/>
    <x v="672"/>
    <x v="4"/>
    <x v="1"/>
    <x v="5"/>
    <s v="Advantus Panel Wall Acrylic Frame"/>
    <n v="8.75"/>
    <n v="4"/>
    <n v="-3.72"/>
  </r>
  <r>
    <d v="2017-12-02T00:00:00"/>
    <x v="3"/>
    <x v="9"/>
    <x v="673"/>
    <x v="11"/>
    <x v="2"/>
    <x v="11"/>
    <s v="Bulldog Vacuum Base Pencil Sharpener"/>
    <n v="47.96"/>
    <n v="5"/>
    <n v="4.2"/>
  </r>
  <r>
    <d v="2017-12-02T00:00:00"/>
    <x v="3"/>
    <x v="9"/>
    <x v="176"/>
    <x v="5"/>
    <x v="2"/>
    <x v="9"/>
    <s v="3-ring staple pack"/>
    <n v="9.02"/>
    <n v="6"/>
    <n v="3.16"/>
  </r>
  <r>
    <d v="2017-12-02T00:00:00"/>
    <x v="3"/>
    <x v="9"/>
    <x v="176"/>
    <x v="5"/>
    <x v="2"/>
    <x v="9"/>
    <s v="Satellite Sectional Post Binders"/>
    <n v="69.459999999999994"/>
    <n v="2"/>
    <n v="22.57"/>
  </r>
  <r>
    <d v="2017-12-02T00:00:00"/>
    <x v="3"/>
    <x v="9"/>
    <x v="176"/>
    <x v="5"/>
    <x v="2"/>
    <x v="3"/>
    <s v="Wirebound Message Book, 4 per Page"/>
    <n v="10.86"/>
    <n v="2"/>
    <n v="5.32"/>
  </r>
  <r>
    <d v="2017-12-02T00:00:00"/>
    <x v="3"/>
    <x v="9"/>
    <x v="176"/>
    <x v="5"/>
    <x v="2"/>
    <x v="10"/>
    <s v="Fellowes Advanced Computer Series Surge Protectors"/>
    <n v="79.47"/>
    <n v="3"/>
    <n v="22.25"/>
  </r>
  <r>
    <d v="2017-12-02T00:00:00"/>
    <x v="3"/>
    <x v="9"/>
    <x v="176"/>
    <x v="5"/>
    <x v="2"/>
    <x v="11"/>
    <s v="Prang Dustless Chalk Sticks"/>
    <n v="10.08"/>
    <n v="6"/>
    <n v="5.04"/>
  </r>
  <r>
    <d v="2017-12-02T00:00:00"/>
    <x v="3"/>
    <x v="9"/>
    <x v="516"/>
    <x v="11"/>
    <x v="2"/>
    <x v="9"/>
    <s v="Premier Elliptical Ring Binder, Black"/>
    <n v="45.66"/>
    <n v="5"/>
    <n v="-33.479999999999997"/>
  </r>
  <r>
    <d v="2017-12-02T00:00:00"/>
    <x v="3"/>
    <x v="9"/>
    <x v="5"/>
    <x v="13"/>
    <x v="2"/>
    <x v="9"/>
    <s v="GBC DocuBind 300 Electric Binding Machine"/>
    <n v="631.17999999999995"/>
    <n v="4"/>
    <n v="-462.86"/>
  </r>
  <r>
    <d v="2017-12-02T00:00:00"/>
    <x v="3"/>
    <x v="9"/>
    <x v="667"/>
    <x v="27"/>
    <x v="0"/>
    <x v="2"/>
    <s v="ClearOne CHATAttach 160 -Â speaker phone"/>
    <n v="2479.96"/>
    <n v="4"/>
    <n v="743.99"/>
  </r>
  <r>
    <d v="2017-12-02T00:00:00"/>
    <x v="3"/>
    <x v="9"/>
    <x v="401"/>
    <x v="5"/>
    <x v="0"/>
    <x v="2"/>
    <s v="Anker Astro 15000mAh USB Portable Charger"/>
    <n v="39.99"/>
    <n v="1"/>
    <n v="-8"/>
  </r>
  <r>
    <d v="2017-12-02T00:00:00"/>
    <x v="3"/>
    <x v="9"/>
    <x v="401"/>
    <x v="5"/>
    <x v="1"/>
    <x v="1"/>
    <s v="Office Star - Mid Back Dual function Ergonomic High Back Chair with 2-Way Adjustable Arms"/>
    <n v="1159.06"/>
    <n v="9"/>
    <n v="43.46"/>
  </r>
  <r>
    <d v="2017-12-02T00:00:00"/>
    <x v="3"/>
    <x v="9"/>
    <x v="401"/>
    <x v="5"/>
    <x v="2"/>
    <x v="11"/>
    <s v="Panasonic KP-380BK Classic Electric Pencil Sharpener"/>
    <n v="179.9"/>
    <n v="5"/>
    <n v="44.98"/>
  </r>
  <r>
    <d v="2017-12-02T00:00:00"/>
    <x v="3"/>
    <x v="9"/>
    <x v="301"/>
    <x v="20"/>
    <x v="1"/>
    <x v="1"/>
    <s v="Office Star - Professional Matrix Back Chair with 2-to-1 Synchro Tilt and Mesh Fabric Seat"/>
    <n v="701.96"/>
    <n v="2"/>
    <n v="168.47"/>
  </r>
  <r>
    <d v="2017-12-02T00:00:00"/>
    <x v="3"/>
    <x v="9"/>
    <x v="129"/>
    <x v="4"/>
    <x v="2"/>
    <x v="11"/>
    <s v="Manco Dry-Lighter Erasable Highlighter"/>
    <n v="12.16"/>
    <n v="5"/>
    <n v="2.13"/>
  </r>
  <r>
    <d v="2017-12-02T00:00:00"/>
    <x v="3"/>
    <x v="9"/>
    <x v="149"/>
    <x v="12"/>
    <x v="2"/>
    <x v="11"/>
    <s v="Sanford 52201 APSCO Electric Pencil Sharpener"/>
    <n v="32.78"/>
    <n v="1"/>
    <n v="2.46"/>
  </r>
  <r>
    <d v="2017-12-02T00:00:00"/>
    <x v="3"/>
    <x v="9"/>
    <x v="375"/>
    <x v="15"/>
    <x v="2"/>
    <x v="6"/>
    <s v="Letter Size Cart"/>
    <n v="114.29"/>
    <n v="1"/>
    <n v="12.86"/>
  </r>
  <r>
    <d v="2017-12-02T00:00:00"/>
    <x v="3"/>
    <x v="9"/>
    <x v="375"/>
    <x v="15"/>
    <x v="2"/>
    <x v="9"/>
    <s v="Aluminum Screw Posts"/>
    <n v="36.619999999999997"/>
    <n v="8"/>
    <n v="-24.42"/>
  </r>
  <r>
    <d v="2017-12-02T00:00:00"/>
    <x v="3"/>
    <x v="9"/>
    <x v="375"/>
    <x v="15"/>
    <x v="1"/>
    <x v="16"/>
    <s v="Hon 4-Shelf Metal Bookcases"/>
    <n v="242.35"/>
    <n v="8"/>
    <n v="-363.53"/>
  </r>
  <r>
    <d v="2017-12-02T00:00:00"/>
    <x v="3"/>
    <x v="9"/>
    <x v="375"/>
    <x v="15"/>
    <x v="0"/>
    <x v="2"/>
    <s v="Seidio BD2-HK3IPH5-BK DILEX Case and Holster Combo for Apple iPhone 5/5s - Black"/>
    <n v="49.62"/>
    <n v="2"/>
    <n v="4.96"/>
  </r>
  <r>
    <d v="2017-12-02T00:00:00"/>
    <x v="3"/>
    <x v="9"/>
    <x v="375"/>
    <x v="15"/>
    <x v="1"/>
    <x v="5"/>
    <s v="Tenex 46&quot; x 60&quot; Computer Anti-Static Chairmat, Rectangular Shaped"/>
    <n v="508.7"/>
    <n v="6"/>
    <n v="0"/>
  </r>
  <r>
    <d v="2017-12-02T00:00:00"/>
    <x v="3"/>
    <x v="9"/>
    <x v="375"/>
    <x v="15"/>
    <x v="0"/>
    <x v="2"/>
    <s v="Macally Suction Cup Mount"/>
    <n v="57.36"/>
    <n v="6"/>
    <n v="-14.34"/>
  </r>
  <r>
    <d v="2017-12-02T00:00:00"/>
    <x v="3"/>
    <x v="9"/>
    <x v="375"/>
    <x v="15"/>
    <x v="1"/>
    <x v="1"/>
    <s v="Hon GuestStacker Chair"/>
    <n v="906.68"/>
    <n v="5"/>
    <n v="68"/>
  </r>
  <r>
    <d v="2017-12-02T00:00:00"/>
    <x v="3"/>
    <x v="9"/>
    <x v="674"/>
    <x v="23"/>
    <x v="2"/>
    <x v="9"/>
    <s v="Vinyl Sectional Post Binders"/>
    <n v="67.86"/>
    <n v="6"/>
    <n v="-45.24"/>
  </r>
  <r>
    <d v="2017-12-02T00:00:00"/>
    <x v="3"/>
    <x v="9"/>
    <x v="56"/>
    <x v="18"/>
    <x v="2"/>
    <x v="11"/>
    <s v="Rogers Handheld Barrel Pencil Sharpener"/>
    <n v="19.73"/>
    <n v="9"/>
    <n v="1.73"/>
  </r>
  <r>
    <d v="2017-12-02T00:00:00"/>
    <x v="3"/>
    <x v="9"/>
    <x v="56"/>
    <x v="18"/>
    <x v="0"/>
    <x v="2"/>
    <s v="AT&amp;T CL2909"/>
    <n v="151.19"/>
    <n v="2"/>
    <n v="-25.2"/>
  </r>
  <r>
    <d v="2017-12-02T00:00:00"/>
    <x v="3"/>
    <x v="9"/>
    <x v="6"/>
    <x v="6"/>
    <x v="2"/>
    <x v="10"/>
    <s v="Belkin 8 Outlet Surge Protector"/>
    <n v="286.86"/>
    <n v="7"/>
    <n v="80.319999999999993"/>
  </r>
  <r>
    <d v="2017-12-02T00:00:00"/>
    <x v="3"/>
    <x v="9"/>
    <x v="6"/>
    <x v="6"/>
    <x v="0"/>
    <x v="2"/>
    <s v="GE 30524EE4"/>
    <n v="979.95"/>
    <n v="5"/>
    <n v="284.19"/>
  </r>
  <r>
    <d v="2017-12-02T00:00:00"/>
    <x v="3"/>
    <x v="9"/>
    <x v="6"/>
    <x v="6"/>
    <x v="2"/>
    <x v="15"/>
    <s v="Staple remover"/>
    <n v="4.3600000000000003"/>
    <n v="2"/>
    <n v="0.17"/>
  </r>
  <r>
    <d v="2017-01-03T00:00:00"/>
    <x v="3"/>
    <x v="11"/>
    <x v="159"/>
    <x v="5"/>
    <x v="2"/>
    <x v="3"/>
    <s v="Xerox 1905"/>
    <n v="38.880000000000003"/>
    <n v="6"/>
    <n v="18.66"/>
  </r>
  <r>
    <d v="2017-01-03T00:00:00"/>
    <x v="3"/>
    <x v="11"/>
    <x v="675"/>
    <x v="5"/>
    <x v="2"/>
    <x v="9"/>
    <s v="GBC ProClick 150 Presentation Binding System"/>
    <n v="2022.27"/>
    <n v="8"/>
    <n v="682.52"/>
  </r>
  <r>
    <d v="2017-01-03T00:00:00"/>
    <x v="3"/>
    <x v="11"/>
    <x v="675"/>
    <x v="5"/>
    <x v="2"/>
    <x v="11"/>
    <s v="Manco Dry-Lighter Erasable Highlighter"/>
    <n v="9.1199999999999992"/>
    <n v="3"/>
    <n v="3.1"/>
  </r>
  <r>
    <d v="2017-02-03T00:00:00"/>
    <x v="3"/>
    <x v="0"/>
    <x v="66"/>
    <x v="18"/>
    <x v="2"/>
    <x v="9"/>
    <s v="Fellowes Black Plastic Comb Bindings"/>
    <n v="5.23"/>
    <n v="3"/>
    <n v="-4.18"/>
  </r>
  <r>
    <d v="2017-02-03T00:00:00"/>
    <x v="3"/>
    <x v="0"/>
    <x v="66"/>
    <x v="18"/>
    <x v="2"/>
    <x v="6"/>
    <s v="Hot File 7-Pocket, Floor Stand"/>
    <n v="285.55"/>
    <n v="2"/>
    <n v="35.69"/>
  </r>
  <r>
    <d v="2017-02-03T00:00:00"/>
    <x v="3"/>
    <x v="0"/>
    <x v="4"/>
    <x v="11"/>
    <x v="2"/>
    <x v="9"/>
    <s v="GBC Instant Report Kit"/>
    <n v="3.88"/>
    <n v="2"/>
    <n v="-2.59"/>
  </r>
  <r>
    <d v="2017-02-03T00:00:00"/>
    <x v="3"/>
    <x v="0"/>
    <x v="4"/>
    <x v="11"/>
    <x v="2"/>
    <x v="3"/>
    <s v="14-7/8 x 11 Blue Bar Computer Printout Paper"/>
    <n v="115.3"/>
    <n v="3"/>
    <n v="40.35"/>
  </r>
  <r>
    <d v="2017-02-03T00:00:00"/>
    <x v="3"/>
    <x v="0"/>
    <x v="537"/>
    <x v="3"/>
    <x v="2"/>
    <x v="3"/>
    <s v="Xerox 2"/>
    <n v="5.18"/>
    <n v="1"/>
    <n v="1.81"/>
  </r>
  <r>
    <d v="2017-02-03T00:00:00"/>
    <x v="3"/>
    <x v="0"/>
    <x v="537"/>
    <x v="3"/>
    <x v="2"/>
    <x v="3"/>
    <s v="Xerox 1893"/>
    <n v="65.58"/>
    <n v="2"/>
    <n v="23.77"/>
  </r>
  <r>
    <d v="2017-02-03T00:00:00"/>
    <x v="3"/>
    <x v="0"/>
    <x v="537"/>
    <x v="3"/>
    <x v="1"/>
    <x v="5"/>
    <s v="Eldon Cleatmat Chair Mats for Medium Pile Carpets"/>
    <n v="22.2"/>
    <n v="1"/>
    <n v="-26.09"/>
  </r>
  <r>
    <d v="2017-02-03T00:00:00"/>
    <x v="3"/>
    <x v="0"/>
    <x v="537"/>
    <x v="3"/>
    <x v="2"/>
    <x v="3"/>
    <s v="Xerox 189"/>
    <n v="419.4"/>
    <n v="5"/>
    <n v="146.79"/>
  </r>
  <r>
    <d v="2017-03-03T00:00:00"/>
    <x v="3"/>
    <x v="1"/>
    <x v="539"/>
    <x v="17"/>
    <x v="2"/>
    <x v="10"/>
    <s v="Acco 6 Outlet Guardian Premium Surge Suppressor"/>
    <n v="72.8"/>
    <n v="5"/>
    <n v="19.66"/>
  </r>
  <r>
    <d v="2017-03-03T00:00:00"/>
    <x v="3"/>
    <x v="1"/>
    <x v="80"/>
    <x v="4"/>
    <x v="2"/>
    <x v="3"/>
    <s v="Important Message Pads, 50 4-1/4 x 5-1/2 Forms per Pad"/>
    <n v="26.88"/>
    <n v="8"/>
    <n v="9.74"/>
  </r>
  <r>
    <d v="2017-03-03T00:00:00"/>
    <x v="3"/>
    <x v="1"/>
    <x v="170"/>
    <x v="10"/>
    <x v="1"/>
    <x v="1"/>
    <s v="Global Ergonomic Managers Chair"/>
    <n v="180.98"/>
    <n v="1"/>
    <n v="47.05"/>
  </r>
  <r>
    <d v="2017-03-03T00:00:00"/>
    <x v="3"/>
    <x v="1"/>
    <x v="170"/>
    <x v="10"/>
    <x v="0"/>
    <x v="0"/>
    <s v="Logitech Wireless Marathon Mouse M705"/>
    <n v="99.98"/>
    <n v="2"/>
    <n v="42.99"/>
  </r>
  <r>
    <d v="2017-03-03T00:00:00"/>
    <x v="3"/>
    <x v="1"/>
    <x v="676"/>
    <x v="5"/>
    <x v="0"/>
    <x v="0"/>
    <s v="Imation Bio 2GB USBÂ Flash Drive ImationÂ Corp"/>
    <n v="1049.44"/>
    <n v="8"/>
    <n v="440.76"/>
  </r>
  <r>
    <d v="2017-03-03T00:00:00"/>
    <x v="3"/>
    <x v="1"/>
    <x v="676"/>
    <x v="5"/>
    <x v="1"/>
    <x v="1"/>
    <s v="Novimex Turbo Task Chair"/>
    <n v="170.35"/>
    <n v="3"/>
    <n v="-17.04"/>
  </r>
  <r>
    <d v="2017-03-03T00:00:00"/>
    <x v="3"/>
    <x v="1"/>
    <x v="677"/>
    <x v="5"/>
    <x v="1"/>
    <x v="7"/>
    <s v="Lesro Sheffield Collection Coffee Table, End Table, Center Table, Corner Table"/>
    <n v="399.67"/>
    <n v="7"/>
    <n v="-14.99"/>
  </r>
  <r>
    <d v="2017-04-03T00:00:00"/>
    <x v="3"/>
    <x v="2"/>
    <x v="534"/>
    <x v="13"/>
    <x v="1"/>
    <x v="5"/>
    <s v="Staple-based wall hangings"/>
    <n v="25.47"/>
    <n v="4"/>
    <n v="7.64"/>
  </r>
  <r>
    <d v="2017-04-03T00:00:00"/>
    <x v="3"/>
    <x v="2"/>
    <x v="678"/>
    <x v="3"/>
    <x v="2"/>
    <x v="11"/>
    <s v="Prang Colored Pencils"/>
    <n v="7.06"/>
    <n v="3"/>
    <n v="2.21"/>
  </r>
  <r>
    <d v="2017-05-03T00:00:00"/>
    <x v="3"/>
    <x v="10"/>
    <x v="314"/>
    <x v="5"/>
    <x v="2"/>
    <x v="6"/>
    <s v="Multi-Use Personal File Cart and Caster Set, Three Stacking Bins"/>
    <n v="69.52"/>
    <n v="2"/>
    <n v="19.47"/>
  </r>
  <r>
    <d v="2017-05-03T00:00:00"/>
    <x v="3"/>
    <x v="10"/>
    <x v="314"/>
    <x v="5"/>
    <x v="2"/>
    <x v="6"/>
    <s v="Fellowes Stor/Drawer Steel Plus Storage Drawers"/>
    <n v="763.44"/>
    <n v="8"/>
    <n v="45.81"/>
  </r>
  <r>
    <d v="2017-05-03T00:00:00"/>
    <x v="3"/>
    <x v="10"/>
    <x v="540"/>
    <x v="5"/>
    <x v="2"/>
    <x v="3"/>
    <s v="Xerox 2"/>
    <n v="25.92"/>
    <n v="4"/>
    <n v="12.44"/>
  </r>
  <r>
    <d v="2017-05-03T00:00:00"/>
    <x v="3"/>
    <x v="10"/>
    <x v="540"/>
    <x v="5"/>
    <x v="2"/>
    <x v="11"/>
    <s v="Newell 350"/>
    <n v="22.96"/>
    <n v="7"/>
    <n v="6.66"/>
  </r>
  <r>
    <d v="2017-05-03T00:00:00"/>
    <x v="3"/>
    <x v="10"/>
    <x v="543"/>
    <x v="13"/>
    <x v="1"/>
    <x v="5"/>
    <s v="Career Cubicle Clock, 8 1/4&quot;, Black"/>
    <n v="32.450000000000003"/>
    <n v="2"/>
    <n v="7.3"/>
  </r>
  <r>
    <d v="2017-05-03T00:00:00"/>
    <x v="3"/>
    <x v="10"/>
    <x v="543"/>
    <x v="13"/>
    <x v="2"/>
    <x v="9"/>
    <s v="Wilson Jones Legal Size Ring Binders"/>
    <n v="26.39"/>
    <n v="4"/>
    <n v="-17.59"/>
  </r>
  <r>
    <d v="2017-05-03T00:00:00"/>
    <x v="3"/>
    <x v="10"/>
    <x v="543"/>
    <x v="13"/>
    <x v="1"/>
    <x v="7"/>
    <s v="Bevis 36 x 72 Conference Tables"/>
    <n v="373.47"/>
    <n v="5"/>
    <n v="-112.04"/>
  </r>
  <r>
    <d v="2017-05-03T00:00:00"/>
    <x v="3"/>
    <x v="10"/>
    <x v="543"/>
    <x v="13"/>
    <x v="2"/>
    <x v="9"/>
    <s v="Wilson Jones Elliptical Ring 3 1/2&quot; Capacity Binders, 800 sheets"/>
    <n v="64.2"/>
    <n v="5"/>
    <n v="-44.94"/>
  </r>
  <r>
    <d v="2017-05-03T00:00:00"/>
    <x v="3"/>
    <x v="10"/>
    <x v="543"/>
    <x v="13"/>
    <x v="2"/>
    <x v="4"/>
    <s v="Advantus Plastic Paper Clips"/>
    <n v="8"/>
    <n v="2"/>
    <n v="2.8"/>
  </r>
  <r>
    <d v="2017-06-03T00:00:00"/>
    <x v="3"/>
    <x v="3"/>
    <x v="257"/>
    <x v="26"/>
    <x v="1"/>
    <x v="5"/>
    <s v="Eldon 200 Class Desk Accessories, Burgundy"/>
    <n v="35.17"/>
    <n v="7"/>
    <n v="9.67"/>
  </r>
  <r>
    <d v="2017-06-03T00:00:00"/>
    <x v="3"/>
    <x v="3"/>
    <x v="132"/>
    <x v="1"/>
    <x v="0"/>
    <x v="0"/>
    <s v="Plantronics Audio 995 Wireless Stereo Headset"/>
    <n v="1099.5"/>
    <n v="10"/>
    <n v="362.84"/>
  </r>
  <r>
    <d v="2017-06-03T00:00:00"/>
    <x v="3"/>
    <x v="3"/>
    <x v="679"/>
    <x v="5"/>
    <x v="0"/>
    <x v="0"/>
    <s v="Kingston Digital DataTraveler 16GB USB 2.0"/>
    <n v="44.75"/>
    <n v="5"/>
    <n v="8.5"/>
  </r>
  <r>
    <d v="2017-06-03T00:00:00"/>
    <x v="3"/>
    <x v="3"/>
    <x v="679"/>
    <x v="5"/>
    <x v="2"/>
    <x v="3"/>
    <s v="Xerox 1947"/>
    <n v="11.96"/>
    <n v="2"/>
    <n v="5.38"/>
  </r>
  <r>
    <d v="2017-06-03T00:00:00"/>
    <x v="3"/>
    <x v="3"/>
    <x v="679"/>
    <x v="5"/>
    <x v="2"/>
    <x v="9"/>
    <s v="UniKeep View Case Binders"/>
    <n v="3.91"/>
    <n v="1"/>
    <n v="1.27"/>
  </r>
  <r>
    <d v="2017-06-03T00:00:00"/>
    <x v="3"/>
    <x v="3"/>
    <x v="191"/>
    <x v="11"/>
    <x v="2"/>
    <x v="9"/>
    <s v="Wilson Jones Standard D-Ring Binders"/>
    <n v="4.55"/>
    <n v="3"/>
    <n v="-3.49"/>
  </r>
  <r>
    <d v="2017-06-03T00:00:00"/>
    <x v="3"/>
    <x v="3"/>
    <x v="191"/>
    <x v="11"/>
    <x v="2"/>
    <x v="10"/>
    <s v="Bravo II Megaboss 12-Amp Hard Body Upright, Replacement Belts, 2 Belts per Pack"/>
    <n v="5.2"/>
    <n v="2"/>
    <n v="0.59"/>
  </r>
  <r>
    <d v="2017-06-03T00:00:00"/>
    <x v="3"/>
    <x v="3"/>
    <x v="191"/>
    <x v="11"/>
    <x v="0"/>
    <x v="0"/>
    <s v="LogitechÂ P710e Mobile Speakerphone"/>
    <n v="205.99"/>
    <n v="1"/>
    <n v="-2.57"/>
  </r>
  <r>
    <d v="2017-06-03T00:00:00"/>
    <x v="3"/>
    <x v="3"/>
    <x v="191"/>
    <x v="11"/>
    <x v="2"/>
    <x v="3"/>
    <s v="Xerox 206"/>
    <n v="15.55"/>
    <n v="3"/>
    <n v="5.44"/>
  </r>
  <r>
    <d v="2017-06-03T00:00:00"/>
    <x v="3"/>
    <x v="3"/>
    <x v="191"/>
    <x v="11"/>
    <x v="0"/>
    <x v="2"/>
    <s v="VTech DS6151"/>
    <n v="503.96"/>
    <n v="5"/>
    <n v="50.4"/>
  </r>
  <r>
    <d v="2017-06-03T00:00:00"/>
    <x v="3"/>
    <x v="3"/>
    <x v="191"/>
    <x v="11"/>
    <x v="2"/>
    <x v="10"/>
    <s v="Eureka Sanitaire  Multi-Pro Heavy-Duty Upright, Disposable Bags"/>
    <n v="24.47"/>
    <n v="7"/>
    <n v="1.84"/>
  </r>
  <r>
    <d v="2017-06-03T00:00:00"/>
    <x v="3"/>
    <x v="3"/>
    <x v="191"/>
    <x v="11"/>
    <x v="1"/>
    <x v="16"/>
    <s v="Bush Mission Pointe Library"/>
    <n v="241.57"/>
    <n v="2"/>
    <n v="0"/>
  </r>
  <r>
    <d v="2017-06-03T00:00:00"/>
    <x v="3"/>
    <x v="3"/>
    <x v="191"/>
    <x v="11"/>
    <x v="0"/>
    <x v="0"/>
    <s v="WD My Passport Ultra 1TB Portable External Hard Drive"/>
    <n v="110.4"/>
    <n v="2"/>
    <n v="-4.1399999999999997"/>
  </r>
  <r>
    <d v="2017-06-03T00:00:00"/>
    <x v="3"/>
    <x v="3"/>
    <x v="65"/>
    <x v="2"/>
    <x v="1"/>
    <x v="7"/>
    <s v="Chromcraft 48&quot; x 96&quot; Racetrack Double Pedestal Table"/>
    <n v="384.77"/>
    <n v="2"/>
    <n v="-115.43"/>
  </r>
  <r>
    <d v="2017-06-03T00:00:00"/>
    <x v="3"/>
    <x v="3"/>
    <x v="65"/>
    <x v="2"/>
    <x v="0"/>
    <x v="14"/>
    <s v="Hewlett-Packard 300S Scientific Calculator"/>
    <n v="78.66"/>
    <n v="6"/>
    <n v="36.18"/>
  </r>
  <r>
    <d v="2017-06-03T00:00:00"/>
    <x v="3"/>
    <x v="3"/>
    <x v="65"/>
    <x v="2"/>
    <x v="2"/>
    <x v="3"/>
    <s v="Xerox 188"/>
    <n v="45.36"/>
    <n v="4"/>
    <n v="22.23"/>
  </r>
  <r>
    <d v="2017-06-03T00:00:00"/>
    <x v="3"/>
    <x v="3"/>
    <x v="680"/>
    <x v="1"/>
    <x v="2"/>
    <x v="6"/>
    <s v="Eldon Gobal File Keepers"/>
    <n v="136.26"/>
    <n v="9"/>
    <n v="5.45"/>
  </r>
  <r>
    <d v="2017-07-03T00:00:00"/>
    <x v="3"/>
    <x v="4"/>
    <x v="681"/>
    <x v="19"/>
    <x v="1"/>
    <x v="5"/>
    <s v="Westinghouse Floor Lamp with Metal Mesh Shade, Black"/>
    <n v="23.99"/>
    <n v="1"/>
    <n v="5.52"/>
  </r>
  <r>
    <d v="2017-07-03T00:00:00"/>
    <x v="3"/>
    <x v="4"/>
    <x v="681"/>
    <x v="19"/>
    <x v="0"/>
    <x v="2"/>
    <s v="Pyle PMP37LED"/>
    <n v="287.97000000000003"/>
    <n v="3"/>
    <n v="77.75"/>
  </r>
  <r>
    <d v="2017-07-03T00:00:00"/>
    <x v="3"/>
    <x v="4"/>
    <x v="459"/>
    <x v="12"/>
    <x v="2"/>
    <x v="11"/>
    <s v="4009 Highlighters by Sanford"/>
    <n v="9.5500000000000007"/>
    <n v="3"/>
    <n v="1.55"/>
  </r>
  <r>
    <d v="2017-07-03T00:00:00"/>
    <x v="3"/>
    <x v="4"/>
    <x v="40"/>
    <x v="4"/>
    <x v="0"/>
    <x v="2"/>
    <s v="netTALK DUO VoIP Telephone Service"/>
    <n v="167.97"/>
    <n v="4"/>
    <n v="62.99"/>
  </r>
  <r>
    <d v="2017-07-03T00:00:00"/>
    <x v="3"/>
    <x v="4"/>
    <x v="164"/>
    <x v="4"/>
    <x v="2"/>
    <x v="3"/>
    <s v="Xerox 1891"/>
    <n v="273.89999999999998"/>
    <n v="7"/>
    <n v="92.44"/>
  </r>
  <r>
    <d v="2017-07-03T00:00:00"/>
    <x v="3"/>
    <x v="4"/>
    <x v="164"/>
    <x v="4"/>
    <x v="0"/>
    <x v="14"/>
    <s v="Hewlett-Packard Deskjet 5550 Printer"/>
    <n v="597.13"/>
    <n v="3"/>
    <n v="49.76"/>
  </r>
  <r>
    <d v="2017-07-03T00:00:00"/>
    <x v="3"/>
    <x v="4"/>
    <x v="593"/>
    <x v="35"/>
    <x v="1"/>
    <x v="5"/>
    <s v="Tenex Traditional Chairmats for Medium Pile Carpet, Standard Lip, 36&quot; x 48&quot;"/>
    <n v="545.85"/>
    <n v="9"/>
    <n v="114.63"/>
  </r>
  <r>
    <d v="2017-07-03T00:00:00"/>
    <x v="3"/>
    <x v="4"/>
    <x v="120"/>
    <x v="18"/>
    <x v="2"/>
    <x v="3"/>
    <s v="Message Book, Wirebound, Four 5 1/2&quot; X 4&quot; Forms/Pg., 200 Dupl. Sets/Book"/>
    <n v="32.9"/>
    <n v="4"/>
    <n v="11.1"/>
  </r>
  <r>
    <d v="2017-07-03T00:00:00"/>
    <x v="3"/>
    <x v="4"/>
    <x v="120"/>
    <x v="18"/>
    <x v="1"/>
    <x v="7"/>
    <s v="Bevis Round Conference Table Top, X-Base"/>
    <n v="215.15"/>
    <n v="2"/>
    <n v="-103.99"/>
  </r>
  <r>
    <d v="2017-07-03T00:00:00"/>
    <x v="3"/>
    <x v="4"/>
    <x v="120"/>
    <x v="18"/>
    <x v="2"/>
    <x v="3"/>
    <s v="Wirebound Four 2-3/4 x 5 Forms per Page, 400 Sets per Book"/>
    <n v="30.96"/>
    <n v="6"/>
    <n v="11.22"/>
  </r>
  <r>
    <d v="2017-07-03T00:00:00"/>
    <x v="3"/>
    <x v="4"/>
    <x v="498"/>
    <x v="1"/>
    <x v="0"/>
    <x v="0"/>
    <s v="Logitech 910-002974 M325 Wireless Mouse for Web Scrolling"/>
    <n v="59.98"/>
    <n v="2"/>
    <n v="26.39"/>
  </r>
  <r>
    <d v="2017-07-03T00:00:00"/>
    <x v="3"/>
    <x v="4"/>
    <x v="498"/>
    <x v="1"/>
    <x v="0"/>
    <x v="14"/>
    <s v="Okidata MB491 Multifunction Printer"/>
    <n v="2395.1999999999998"/>
    <n v="6"/>
    <n v="209.58"/>
  </r>
  <r>
    <d v="2017-07-03T00:00:00"/>
    <x v="3"/>
    <x v="4"/>
    <x v="498"/>
    <x v="1"/>
    <x v="0"/>
    <x v="0"/>
    <s v="Plantronics Savi W720 Multi-Device Wireless Headset System"/>
    <n v="1687.8"/>
    <n v="4"/>
    <n v="742.63"/>
  </r>
  <r>
    <d v="2017-07-03T00:00:00"/>
    <x v="3"/>
    <x v="4"/>
    <x v="498"/>
    <x v="1"/>
    <x v="0"/>
    <x v="2"/>
    <s v="Square Credit Card Reader, 4 1/2&quot; x 4 1/2&quot; x 1&quot;, White"/>
    <n v="7.99"/>
    <n v="1"/>
    <n v="2.7"/>
  </r>
  <r>
    <d v="2017-07-03T00:00:00"/>
    <x v="3"/>
    <x v="4"/>
    <x v="430"/>
    <x v="6"/>
    <x v="0"/>
    <x v="0"/>
    <s v="TRENDnet 56K USB 2.0 Phone, Internet and Fax Modem"/>
    <n v="258.89999999999998"/>
    <n v="10"/>
    <n v="93.2"/>
  </r>
  <r>
    <d v="2017-07-03T00:00:00"/>
    <x v="3"/>
    <x v="4"/>
    <x v="430"/>
    <x v="6"/>
    <x v="2"/>
    <x v="3"/>
    <s v="Xerox 1881"/>
    <n v="24.56"/>
    <n v="2"/>
    <n v="11.54"/>
  </r>
  <r>
    <d v="2017-07-03T00:00:00"/>
    <x v="3"/>
    <x v="4"/>
    <x v="213"/>
    <x v="5"/>
    <x v="1"/>
    <x v="5"/>
    <s v="Howard Miller 11-1/2&quot; Diameter Brentwood Wall Clock"/>
    <n v="129.38999999999999"/>
    <n v="3"/>
    <n v="54.34"/>
  </r>
  <r>
    <d v="2017-07-03T00:00:00"/>
    <x v="3"/>
    <x v="4"/>
    <x v="40"/>
    <x v="5"/>
    <x v="2"/>
    <x v="6"/>
    <s v="Rogers Deluxe File Chest"/>
    <n v="87.92"/>
    <n v="4"/>
    <n v="0.88"/>
  </r>
  <r>
    <d v="2017-07-03T00:00:00"/>
    <x v="3"/>
    <x v="4"/>
    <x v="339"/>
    <x v="12"/>
    <x v="0"/>
    <x v="0"/>
    <s v="ImationÂ 8gb Micro Traveldrive Usb 2.0Â Flash Drive"/>
    <n v="24"/>
    <n v="2"/>
    <n v="-2.7"/>
  </r>
  <r>
    <d v="2017-07-03T00:00:00"/>
    <x v="3"/>
    <x v="4"/>
    <x v="682"/>
    <x v="41"/>
    <x v="1"/>
    <x v="5"/>
    <s v="Luxo Professional Combination Clamp-On Lamps"/>
    <n v="102.3"/>
    <n v="1"/>
    <n v="26.6"/>
  </r>
  <r>
    <d v="2017-08-03T00:00:00"/>
    <x v="3"/>
    <x v="5"/>
    <x v="471"/>
    <x v="3"/>
    <x v="1"/>
    <x v="16"/>
    <s v="O'Sullivan Elevations Bookcase, Cherry Finish"/>
    <n v="183.37"/>
    <n v="2"/>
    <n v="-36.67"/>
  </r>
  <r>
    <d v="2017-08-03T00:00:00"/>
    <x v="3"/>
    <x v="5"/>
    <x v="367"/>
    <x v="5"/>
    <x v="2"/>
    <x v="8"/>
    <s v="Avery 473"/>
    <n v="51.75"/>
    <n v="5"/>
    <n v="24.84"/>
  </r>
  <r>
    <d v="2017-08-03T00:00:00"/>
    <x v="3"/>
    <x v="5"/>
    <x v="367"/>
    <x v="5"/>
    <x v="1"/>
    <x v="5"/>
    <s v="Deflect-o EconoMat Studded, No Bevel Mat for Low Pile Carpeting"/>
    <n v="123.96"/>
    <n v="3"/>
    <n v="11.16"/>
  </r>
  <r>
    <d v="2017-08-03T00:00:00"/>
    <x v="3"/>
    <x v="5"/>
    <x v="177"/>
    <x v="5"/>
    <x v="2"/>
    <x v="6"/>
    <s v="Fellowes Bases and Tops For Staxonsteel/High-Stak Systems"/>
    <n v="99.87"/>
    <n v="3"/>
    <n v="23.97"/>
  </r>
  <r>
    <d v="2017-08-03T00:00:00"/>
    <x v="3"/>
    <x v="5"/>
    <x v="443"/>
    <x v="3"/>
    <x v="0"/>
    <x v="0"/>
    <s v="Kensington K72356US Mouse-in-a-Box USB Desktop Mouse"/>
    <n v="39.82"/>
    <n v="3"/>
    <n v="7.47"/>
  </r>
  <r>
    <d v="2017-08-03T00:00:00"/>
    <x v="3"/>
    <x v="5"/>
    <x v="587"/>
    <x v="1"/>
    <x v="2"/>
    <x v="6"/>
    <s v="Letter/Legal File Tote with Clear Snap-On Lid, Black Granite"/>
    <n v="16.059999999999999"/>
    <n v="1"/>
    <n v="4.18"/>
  </r>
  <r>
    <d v="2017-08-03T00:00:00"/>
    <x v="3"/>
    <x v="5"/>
    <x v="663"/>
    <x v="18"/>
    <x v="2"/>
    <x v="8"/>
    <s v="Avery 476"/>
    <n v="16.52"/>
    <n v="5"/>
    <n v="5.37"/>
  </r>
  <r>
    <d v="2017-09-03T00:00:00"/>
    <x v="3"/>
    <x v="6"/>
    <x v="170"/>
    <x v="3"/>
    <x v="2"/>
    <x v="9"/>
    <s v="Premier Elliptical Ring Binder, Black"/>
    <n v="42.62"/>
    <n v="7"/>
    <n v="-68.19"/>
  </r>
  <r>
    <d v="2017-09-03T00:00:00"/>
    <x v="3"/>
    <x v="6"/>
    <x v="294"/>
    <x v="11"/>
    <x v="2"/>
    <x v="13"/>
    <s v="#10- 4 1/8&quot; x 9 1/2&quot; Security-Tint Envelopes"/>
    <n v="24.45"/>
    <n v="4"/>
    <n v="8.86"/>
  </r>
  <r>
    <d v="2017-09-03T00:00:00"/>
    <x v="3"/>
    <x v="6"/>
    <x v="583"/>
    <x v="5"/>
    <x v="2"/>
    <x v="11"/>
    <s v="Premium Writing Pencils, Soft, #2 by Central Association for the Blind"/>
    <n v="5.96"/>
    <n v="2"/>
    <n v="1.67"/>
  </r>
  <r>
    <d v="2017-09-03T00:00:00"/>
    <x v="3"/>
    <x v="6"/>
    <x v="683"/>
    <x v="5"/>
    <x v="2"/>
    <x v="9"/>
    <s v="Square Ring Data Binders, Rigid 75 Pt. Covers, 11&quot; x 14-7/8&quot;"/>
    <n v="82.56"/>
    <n v="5"/>
    <n v="28.9"/>
  </r>
  <r>
    <d v="2017-09-03T00:00:00"/>
    <x v="3"/>
    <x v="6"/>
    <x v="683"/>
    <x v="5"/>
    <x v="0"/>
    <x v="0"/>
    <s v="Kensington Expert Mouse Optical USB Trackball for PC or Mac"/>
    <n v="284.97000000000003"/>
    <n v="3"/>
    <n v="85.49"/>
  </r>
  <r>
    <d v="2017-09-03T00:00:00"/>
    <x v="3"/>
    <x v="6"/>
    <x v="684"/>
    <x v="2"/>
    <x v="2"/>
    <x v="3"/>
    <s v="Xerox 189"/>
    <n v="419.4"/>
    <n v="4"/>
    <n v="201.31"/>
  </r>
  <r>
    <d v="2017-09-03T00:00:00"/>
    <x v="3"/>
    <x v="6"/>
    <x v="684"/>
    <x v="2"/>
    <x v="1"/>
    <x v="1"/>
    <s v="Office Star Flex Back Scooter Chair with Aluminum Finish Frame"/>
    <n v="90.8"/>
    <n v="1"/>
    <n v="14.12"/>
  </r>
  <r>
    <d v="2017-09-03T00:00:00"/>
    <x v="3"/>
    <x v="6"/>
    <x v="684"/>
    <x v="2"/>
    <x v="1"/>
    <x v="1"/>
    <s v="Global Low Back Tilter Chair"/>
    <n v="181.76"/>
    <n v="2"/>
    <n v="-8.08"/>
  </r>
  <r>
    <d v="2017-09-03T00:00:00"/>
    <x v="3"/>
    <x v="6"/>
    <x v="684"/>
    <x v="2"/>
    <x v="2"/>
    <x v="11"/>
    <s v="Prang Drawing Pencil Set"/>
    <n v="5.56"/>
    <n v="2"/>
    <n v="2.2200000000000002"/>
  </r>
  <r>
    <d v="2017-09-03T00:00:00"/>
    <x v="3"/>
    <x v="6"/>
    <x v="33"/>
    <x v="5"/>
    <x v="1"/>
    <x v="16"/>
    <s v="Bush Heritage Pine Collection 5-Shelf Bookcase, Albany Pine Finish, *Special Order"/>
    <n v="239.67"/>
    <n v="2"/>
    <n v="14.1"/>
  </r>
  <r>
    <d v="2017-09-03T00:00:00"/>
    <x v="3"/>
    <x v="6"/>
    <x v="404"/>
    <x v="4"/>
    <x v="1"/>
    <x v="5"/>
    <s v="Eldon Advantage Foldable Chair Mats for Low Pile Carpets"/>
    <n v="108.4"/>
    <n v="5"/>
    <n v="-105.69"/>
  </r>
  <r>
    <d v="2017-09-03T00:00:00"/>
    <x v="3"/>
    <x v="6"/>
    <x v="517"/>
    <x v="3"/>
    <x v="2"/>
    <x v="3"/>
    <s v="&quot;While you Were Out&quot; Message Book, One Form per Page"/>
    <n v="8.9"/>
    <n v="3"/>
    <n v="3.34"/>
  </r>
  <r>
    <d v="2017-09-03T00:00:00"/>
    <x v="3"/>
    <x v="6"/>
    <x v="517"/>
    <x v="3"/>
    <x v="0"/>
    <x v="0"/>
    <s v="Hypercom P1300 Pinpad"/>
    <n v="100.8"/>
    <n v="2"/>
    <n v="21.42"/>
  </r>
  <r>
    <d v="2017-10-03T00:00:00"/>
    <x v="3"/>
    <x v="7"/>
    <x v="456"/>
    <x v="7"/>
    <x v="2"/>
    <x v="9"/>
    <s v="GBC DocuBind TL300 Electric Binding System"/>
    <n v="1793.98"/>
    <n v="2"/>
    <n v="843.17"/>
  </r>
  <r>
    <d v="2017-10-03T00:00:00"/>
    <x v="3"/>
    <x v="7"/>
    <x v="298"/>
    <x v="2"/>
    <x v="2"/>
    <x v="6"/>
    <s v="X-Rack File for Hanging Folders"/>
    <n v="22.58"/>
    <n v="2"/>
    <n v="5.87"/>
  </r>
  <r>
    <d v="2017-10-03T00:00:00"/>
    <x v="3"/>
    <x v="7"/>
    <x v="650"/>
    <x v="5"/>
    <x v="1"/>
    <x v="7"/>
    <s v="Lesro Sheffield Collection Coffee Table, End Table, Center Table, Corner Table"/>
    <n v="171.29"/>
    <n v="3"/>
    <n v="-6.42"/>
  </r>
  <r>
    <d v="2017-10-03T00:00:00"/>
    <x v="3"/>
    <x v="7"/>
    <x v="58"/>
    <x v="11"/>
    <x v="2"/>
    <x v="3"/>
    <s v="Xerox 208"/>
    <n v="15.55"/>
    <n v="3"/>
    <n v="5.44"/>
  </r>
  <r>
    <d v="2017-10-03T00:00:00"/>
    <x v="3"/>
    <x v="7"/>
    <x v="58"/>
    <x v="11"/>
    <x v="2"/>
    <x v="10"/>
    <s v="Hoover Portapower Portable Vacuum"/>
    <n v="17.920000000000002"/>
    <n v="5"/>
    <n v="1.1200000000000001"/>
  </r>
  <r>
    <d v="2017-10-03T00:00:00"/>
    <x v="3"/>
    <x v="7"/>
    <x v="418"/>
    <x v="2"/>
    <x v="1"/>
    <x v="5"/>
    <s v="Magnifier Swing Arm Lamp"/>
    <n v="83.92"/>
    <n v="4"/>
    <n v="21.82"/>
  </r>
  <r>
    <d v="2017-10-03T00:00:00"/>
    <x v="3"/>
    <x v="7"/>
    <x v="418"/>
    <x v="2"/>
    <x v="2"/>
    <x v="11"/>
    <s v="Quartet Alpha White Chalk, 12/Pack"/>
    <n v="6.63"/>
    <n v="3"/>
    <n v="3.12"/>
  </r>
  <r>
    <d v="2017-10-03T00:00:00"/>
    <x v="3"/>
    <x v="7"/>
    <x v="418"/>
    <x v="2"/>
    <x v="0"/>
    <x v="0"/>
    <s v="Logitech G19 Programmable Gaming Keyboard"/>
    <n v="371.97"/>
    <n v="3"/>
    <n v="66.95"/>
  </r>
  <r>
    <d v="2017-10-03T00:00:00"/>
    <x v="3"/>
    <x v="7"/>
    <x v="13"/>
    <x v="4"/>
    <x v="2"/>
    <x v="11"/>
    <s v="Colorific Watercolor Pencils"/>
    <n v="20.64"/>
    <n v="5"/>
    <n v="2.3199999999999998"/>
  </r>
  <r>
    <d v="2017-11-03T00:00:00"/>
    <x v="3"/>
    <x v="8"/>
    <x v="685"/>
    <x v="26"/>
    <x v="1"/>
    <x v="5"/>
    <s v="Telescoping Adjustable Floor Lamp"/>
    <n v="15.99"/>
    <n v="1"/>
    <n v="1"/>
  </r>
  <r>
    <d v="2017-11-03T00:00:00"/>
    <x v="3"/>
    <x v="8"/>
    <x v="686"/>
    <x v="1"/>
    <x v="2"/>
    <x v="3"/>
    <s v="Xerox 191"/>
    <n v="139.86000000000001"/>
    <n v="7"/>
    <n v="65.73"/>
  </r>
  <r>
    <d v="2017-11-03T00:00:00"/>
    <x v="3"/>
    <x v="8"/>
    <x v="686"/>
    <x v="1"/>
    <x v="1"/>
    <x v="1"/>
    <s v="Global Deluxe Office Fabric Chairs"/>
    <n v="307.14"/>
    <n v="4"/>
    <n v="26.87"/>
  </r>
  <r>
    <d v="2017-11-03T00:00:00"/>
    <x v="3"/>
    <x v="8"/>
    <x v="368"/>
    <x v="19"/>
    <x v="2"/>
    <x v="8"/>
    <s v="Avery 476"/>
    <n v="12.39"/>
    <n v="3"/>
    <n v="5.7"/>
  </r>
  <r>
    <d v="2017-11-03T00:00:00"/>
    <x v="3"/>
    <x v="8"/>
    <x v="687"/>
    <x v="35"/>
    <x v="1"/>
    <x v="5"/>
    <s v="9-3/4 Diameter Round Wall Clock"/>
    <n v="41.37"/>
    <n v="3"/>
    <n v="17.38"/>
  </r>
  <r>
    <d v="2017-11-03T00:00:00"/>
    <x v="3"/>
    <x v="8"/>
    <x v="27"/>
    <x v="7"/>
    <x v="2"/>
    <x v="3"/>
    <s v="Xerox 1971"/>
    <n v="8.56"/>
    <n v="2"/>
    <n v="3.85"/>
  </r>
  <r>
    <d v="2017-11-03T00:00:00"/>
    <x v="3"/>
    <x v="8"/>
    <x v="27"/>
    <x v="7"/>
    <x v="2"/>
    <x v="6"/>
    <s v="Sterilite Officeware Hinged File Box"/>
    <n v="52.4"/>
    <n v="5"/>
    <n v="14.15"/>
  </r>
  <r>
    <d v="2017-11-03T00:00:00"/>
    <x v="3"/>
    <x v="8"/>
    <x v="27"/>
    <x v="7"/>
    <x v="2"/>
    <x v="8"/>
    <s v="Avery 513"/>
    <n v="14.94"/>
    <n v="3"/>
    <n v="6.87"/>
  </r>
  <r>
    <d v="2017-11-03T00:00:00"/>
    <x v="3"/>
    <x v="8"/>
    <x v="450"/>
    <x v="13"/>
    <x v="2"/>
    <x v="9"/>
    <s v="Mead 1st Gear 2&quot; Zipper Binder, Asst. Colors"/>
    <n v="11.67"/>
    <n v="3"/>
    <n v="-7.78"/>
  </r>
  <r>
    <d v="2017-11-03T00:00:00"/>
    <x v="3"/>
    <x v="8"/>
    <x v="74"/>
    <x v="1"/>
    <x v="0"/>
    <x v="0"/>
    <s v="HP Standard 104 key PS/2 Keyboard"/>
    <n v="43.5"/>
    <n v="3"/>
    <n v="10.88"/>
  </r>
  <r>
    <d v="2017-11-03T00:00:00"/>
    <x v="3"/>
    <x v="8"/>
    <x v="552"/>
    <x v="17"/>
    <x v="2"/>
    <x v="3"/>
    <s v="Xerox 1963"/>
    <n v="26.4"/>
    <n v="5"/>
    <n v="11.88"/>
  </r>
  <r>
    <d v="2017-11-03T00:00:00"/>
    <x v="3"/>
    <x v="8"/>
    <x v="275"/>
    <x v="5"/>
    <x v="2"/>
    <x v="3"/>
    <s v="Xerox 1992"/>
    <n v="35.880000000000003"/>
    <n v="6"/>
    <n v="17.579999999999998"/>
  </r>
  <r>
    <d v="2017-11-03T00:00:00"/>
    <x v="3"/>
    <x v="8"/>
    <x v="688"/>
    <x v="11"/>
    <x v="0"/>
    <x v="2"/>
    <s v="Polycom SoundPoint IP 450 VoIP phone"/>
    <n v="361.38"/>
    <n v="2"/>
    <n v="27.1"/>
  </r>
  <r>
    <d v="2017-11-03T00:00:00"/>
    <x v="3"/>
    <x v="8"/>
    <x v="689"/>
    <x v="13"/>
    <x v="0"/>
    <x v="0"/>
    <s v="Memorex 25GB 6X Branded Blu-Ray Recordable Disc, 15/Pack"/>
    <n v="40.78"/>
    <n v="3"/>
    <n v="0.51"/>
  </r>
  <r>
    <d v="2017-11-03T00:00:00"/>
    <x v="3"/>
    <x v="8"/>
    <x v="690"/>
    <x v="5"/>
    <x v="0"/>
    <x v="0"/>
    <s v="Microsoft Sculpt Comfort Mouse"/>
    <n v="199.75"/>
    <n v="5"/>
    <n v="87.89"/>
  </r>
  <r>
    <d v="2017-11-03T00:00:00"/>
    <x v="3"/>
    <x v="8"/>
    <x v="690"/>
    <x v="5"/>
    <x v="1"/>
    <x v="7"/>
    <s v="Chromcraft Round Conference Tables"/>
    <n v="1673.18"/>
    <n v="12"/>
    <n v="20.91"/>
  </r>
  <r>
    <d v="2017-11-03T00:00:00"/>
    <x v="3"/>
    <x v="8"/>
    <x v="49"/>
    <x v="12"/>
    <x v="2"/>
    <x v="3"/>
    <s v="Strathmore Photo Mount Cards"/>
    <n v="16.27"/>
    <n v="3"/>
    <n v="5.29"/>
  </r>
  <r>
    <d v="2017-11-03T00:00:00"/>
    <x v="3"/>
    <x v="8"/>
    <x v="25"/>
    <x v="1"/>
    <x v="2"/>
    <x v="9"/>
    <s v="Binder Posts"/>
    <n v="18.37"/>
    <n v="4"/>
    <n v="5.97"/>
  </r>
  <r>
    <d v="2017-11-03T00:00:00"/>
    <x v="3"/>
    <x v="8"/>
    <x v="588"/>
    <x v="5"/>
    <x v="1"/>
    <x v="7"/>
    <s v="SAFCO PlanMaster Boards, 60w x 37-1/2d, White Melamine"/>
    <n v="486.37"/>
    <n v="4"/>
    <n v="36.479999999999997"/>
  </r>
  <r>
    <d v="2017-11-03T00:00:00"/>
    <x v="3"/>
    <x v="8"/>
    <x v="337"/>
    <x v="11"/>
    <x v="0"/>
    <x v="12"/>
    <s v="Canon Image Class D660 Copier"/>
    <n v="959.98"/>
    <n v="2"/>
    <n v="311.99"/>
  </r>
  <r>
    <d v="2017-11-03T00:00:00"/>
    <x v="3"/>
    <x v="8"/>
    <x v="337"/>
    <x v="11"/>
    <x v="2"/>
    <x v="9"/>
    <s v="Avery Self-Adhesive Photo Pockets for Polaroid Photos"/>
    <n v="4.09"/>
    <n v="2"/>
    <n v="-3"/>
  </r>
  <r>
    <d v="2017-11-03T00:00:00"/>
    <x v="3"/>
    <x v="8"/>
    <x v="337"/>
    <x v="11"/>
    <x v="2"/>
    <x v="11"/>
    <s v="Hunt Boston Vacuum Mount KS Pencil Sharpener"/>
    <n v="55.98"/>
    <n v="2"/>
    <n v="4.2"/>
  </r>
  <r>
    <d v="2017-11-03T00:00:00"/>
    <x v="3"/>
    <x v="8"/>
    <x v="337"/>
    <x v="11"/>
    <x v="2"/>
    <x v="3"/>
    <s v="Xerox 1923"/>
    <n v="10.69"/>
    <n v="2"/>
    <n v="3.74"/>
  </r>
  <r>
    <d v="2017-12-03T00:00:00"/>
    <x v="3"/>
    <x v="9"/>
    <x v="681"/>
    <x v="2"/>
    <x v="2"/>
    <x v="9"/>
    <s v="GBC Premium Transparent Covers with Diagonal Lined Pattern"/>
    <n v="83.92"/>
    <n v="5"/>
    <n v="29.37"/>
  </r>
  <r>
    <d v="2017-12-03T00:00:00"/>
    <x v="3"/>
    <x v="9"/>
    <x v="681"/>
    <x v="2"/>
    <x v="2"/>
    <x v="9"/>
    <s v="SpineVue Locking Slant-D Ring Binders by Cardinal"/>
    <n v="14.62"/>
    <n v="2"/>
    <n v="5.12"/>
  </r>
  <r>
    <d v="2017-12-03T00:00:00"/>
    <x v="3"/>
    <x v="9"/>
    <x v="681"/>
    <x v="2"/>
    <x v="0"/>
    <x v="2"/>
    <s v="AT&amp;T 1080 Corded phone"/>
    <n v="136.99"/>
    <n v="1"/>
    <n v="36.99"/>
  </r>
  <r>
    <d v="2017-12-03T00:00:00"/>
    <x v="3"/>
    <x v="9"/>
    <x v="681"/>
    <x v="2"/>
    <x v="2"/>
    <x v="8"/>
    <s v="Avery 520"/>
    <n v="3.15"/>
    <n v="1"/>
    <n v="1.51"/>
  </r>
  <r>
    <d v="2017-12-03T00:00:00"/>
    <x v="3"/>
    <x v="9"/>
    <x v="617"/>
    <x v="5"/>
    <x v="2"/>
    <x v="3"/>
    <s v="Xerox 1888"/>
    <n v="166.44"/>
    <n v="3"/>
    <n v="79.89"/>
  </r>
  <r>
    <d v="2017-12-03T00:00:00"/>
    <x v="3"/>
    <x v="9"/>
    <x v="22"/>
    <x v="11"/>
    <x v="0"/>
    <x v="0"/>
    <s v="Kensington Orbit Wireless Mobile Trackball for PC and Mac"/>
    <n v="47.99"/>
    <n v="1"/>
    <n v="7.2"/>
  </r>
  <r>
    <d v="2017-12-03T00:00:00"/>
    <x v="3"/>
    <x v="9"/>
    <x v="66"/>
    <x v="12"/>
    <x v="2"/>
    <x v="10"/>
    <s v="Belkin F9H710-06 7 Outlet SurgeMaster Surge Protector"/>
    <n v="45.22"/>
    <n v="3"/>
    <n v="4.5199999999999996"/>
  </r>
  <r>
    <d v="2017-12-03T00:00:00"/>
    <x v="3"/>
    <x v="9"/>
    <x v="66"/>
    <x v="12"/>
    <x v="2"/>
    <x v="9"/>
    <s v="GBC Pre-Punched Binding Paper, Plastic, White, 8-1/2&quot; x 11&quot;"/>
    <n v="28.78"/>
    <n v="6"/>
    <n v="-21.11"/>
  </r>
  <r>
    <d v="2017-12-03T00:00:00"/>
    <x v="3"/>
    <x v="9"/>
    <x v="66"/>
    <x v="12"/>
    <x v="2"/>
    <x v="3"/>
    <s v="Rediform Wirebound &quot;Phone Memo&quot; Message Book, 11 x 5-3/4"/>
    <n v="24.45"/>
    <n v="4"/>
    <n v="8.86"/>
  </r>
  <r>
    <d v="2017-12-03T00:00:00"/>
    <x v="3"/>
    <x v="9"/>
    <x v="371"/>
    <x v="1"/>
    <x v="1"/>
    <x v="7"/>
    <s v="Bevis Oval Conference Table, Walnut"/>
    <n v="521.96"/>
    <n v="2"/>
    <n v="88.73"/>
  </r>
  <r>
    <d v="2017-12-03T00:00:00"/>
    <x v="3"/>
    <x v="9"/>
    <x v="578"/>
    <x v="4"/>
    <x v="1"/>
    <x v="5"/>
    <s v="Tensor Brushed Steel Torchiere Floor Lamp"/>
    <n v="13.59"/>
    <n v="2"/>
    <n v="-14.27"/>
  </r>
  <r>
    <d v="2017-12-03T00:00:00"/>
    <x v="3"/>
    <x v="9"/>
    <x v="654"/>
    <x v="4"/>
    <x v="2"/>
    <x v="3"/>
    <s v="Xerox 1998"/>
    <n v="10.37"/>
    <n v="2"/>
    <n v="3.63"/>
  </r>
  <r>
    <d v="2017-12-03T00:00:00"/>
    <x v="3"/>
    <x v="9"/>
    <x v="366"/>
    <x v="15"/>
    <x v="2"/>
    <x v="11"/>
    <s v="Newell 344"/>
    <n v="13.34"/>
    <n v="6"/>
    <n v="1"/>
  </r>
  <r>
    <d v="2017-12-03T00:00:00"/>
    <x v="3"/>
    <x v="9"/>
    <x v="366"/>
    <x v="15"/>
    <x v="0"/>
    <x v="0"/>
    <s v="Memorex Micro Travel Drive 16 GB"/>
    <n v="76.75"/>
    <n v="6"/>
    <n v="10.55"/>
  </r>
  <r>
    <d v="2017-12-03T00:00:00"/>
    <x v="3"/>
    <x v="9"/>
    <x v="366"/>
    <x v="15"/>
    <x v="0"/>
    <x v="0"/>
    <s v="Memorex Micro Travel Drive 16 GB"/>
    <n v="102.34"/>
    <n v="8"/>
    <n v="14.07"/>
  </r>
  <r>
    <d v="2017-12-03T00:00:00"/>
    <x v="3"/>
    <x v="9"/>
    <x v="366"/>
    <x v="15"/>
    <x v="2"/>
    <x v="3"/>
    <s v="Wirebound Four 2-3/4 x 5 Forms per Page, 400 Sets per Book"/>
    <n v="10.32"/>
    <n v="2"/>
    <n v="3.74"/>
  </r>
  <r>
    <d v="2017-12-03T00:00:00"/>
    <x v="3"/>
    <x v="9"/>
    <x v="366"/>
    <x v="15"/>
    <x v="2"/>
    <x v="15"/>
    <s v="Elite 5&quot; Scissors"/>
    <n v="47.32"/>
    <n v="7"/>
    <n v="5.92"/>
  </r>
  <r>
    <d v="2017-12-03T00:00:00"/>
    <x v="3"/>
    <x v="9"/>
    <x v="366"/>
    <x v="15"/>
    <x v="1"/>
    <x v="5"/>
    <s v="Staple-based wall hangings"/>
    <n v="23.38"/>
    <n v="3"/>
    <n v="7.01"/>
  </r>
  <r>
    <d v="2017-12-03T00:00:00"/>
    <x v="3"/>
    <x v="9"/>
    <x v="366"/>
    <x v="15"/>
    <x v="1"/>
    <x v="5"/>
    <s v="Eldon Image Series Desk Accessories, Burgundy"/>
    <n v="16.72"/>
    <n v="5"/>
    <n v="3.34"/>
  </r>
  <r>
    <d v="2017-12-03T00:00:00"/>
    <x v="3"/>
    <x v="9"/>
    <x v="366"/>
    <x v="15"/>
    <x v="1"/>
    <x v="5"/>
    <s v="DAX Two-Tone Silver Metal Document Frame"/>
    <n v="16.190000000000001"/>
    <n v="1"/>
    <n v="4.66"/>
  </r>
  <r>
    <d v="2017-02-04T00:00:00"/>
    <x v="3"/>
    <x v="0"/>
    <x v="520"/>
    <x v="2"/>
    <x v="2"/>
    <x v="10"/>
    <s v="Belkin 6 Outlet Metallic Surge Strip"/>
    <n v="32.67"/>
    <n v="3"/>
    <n v="8.49"/>
  </r>
  <r>
    <d v="2017-03-04T00:00:00"/>
    <x v="3"/>
    <x v="1"/>
    <x v="406"/>
    <x v="5"/>
    <x v="2"/>
    <x v="11"/>
    <s v="American Pencil"/>
    <n v="9.32"/>
    <n v="4"/>
    <n v="2.7"/>
  </r>
  <r>
    <d v="2017-03-04T00:00:00"/>
    <x v="3"/>
    <x v="1"/>
    <x v="406"/>
    <x v="5"/>
    <x v="2"/>
    <x v="13"/>
    <s v="White Envelopes, White Envelopes with Clear Poly Window"/>
    <n v="15.25"/>
    <n v="1"/>
    <n v="7.02"/>
  </r>
  <r>
    <d v="2017-03-04T00:00:00"/>
    <x v="3"/>
    <x v="1"/>
    <x v="69"/>
    <x v="4"/>
    <x v="2"/>
    <x v="3"/>
    <s v="Xerox 1934"/>
    <n v="89.57"/>
    <n v="2"/>
    <n v="32.47"/>
  </r>
  <r>
    <d v="2017-03-04T00:00:00"/>
    <x v="3"/>
    <x v="1"/>
    <x v="458"/>
    <x v="4"/>
    <x v="1"/>
    <x v="5"/>
    <s v="Howard Miller 13-3/4&quot; Diameter Brushed Chrome Round Wall Clock"/>
    <n v="103.5"/>
    <n v="5"/>
    <n v="-77.63"/>
  </r>
  <r>
    <d v="2017-03-04T00:00:00"/>
    <x v="3"/>
    <x v="1"/>
    <x v="458"/>
    <x v="4"/>
    <x v="2"/>
    <x v="8"/>
    <s v="Avery 497"/>
    <n v="2.46"/>
    <n v="1"/>
    <n v="0.86"/>
  </r>
  <r>
    <d v="2017-03-04T00:00:00"/>
    <x v="3"/>
    <x v="1"/>
    <x v="458"/>
    <x v="4"/>
    <x v="2"/>
    <x v="6"/>
    <s v="Crate-A-Files"/>
    <n v="8.7200000000000006"/>
    <n v="1"/>
    <n v="0.65"/>
  </r>
  <r>
    <d v="2017-04-04T00:00:00"/>
    <x v="3"/>
    <x v="2"/>
    <x v="691"/>
    <x v="3"/>
    <x v="0"/>
    <x v="2"/>
    <s v="Cisco SPA 502G IP Phone"/>
    <n v="383.84"/>
    <n v="4"/>
    <n v="47.98"/>
  </r>
  <r>
    <d v="2017-04-04T00:00:00"/>
    <x v="3"/>
    <x v="2"/>
    <x v="240"/>
    <x v="2"/>
    <x v="0"/>
    <x v="2"/>
    <s v="Panasonic KX - TS880B Telephone"/>
    <n v="41.22"/>
    <n v="1"/>
    <n v="11.13"/>
  </r>
  <r>
    <d v="2017-04-04T00:00:00"/>
    <x v="3"/>
    <x v="2"/>
    <x v="240"/>
    <x v="2"/>
    <x v="2"/>
    <x v="15"/>
    <s v="Premier Automatic Letter Opener"/>
    <n v="240.37"/>
    <n v="1"/>
    <n v="7.21"/>
  </r>
  <r>
    <d v="2017-04-04T00:00:00"/>
    <x v="3"/>
    <x v="2"/>
    <x v="240"/>
    <x v="2"/>
    <x v="0"/>
    <x v="2"/>
    <s v="LG Electronics Tone+ HBS-730 Bluetooth Headset"/>
    <n v="119.02"/>
    <n v="2"/>
    <n v="33.33"/>
  </r>
  <r>
    <d v="2017-04-04T00:00:00"/>
    <x v="3"/>
    <x v="2"/>
    <x v="601"/>
    <x v="2"/>
    <x v="2"/>
    <x v="13"/>
    <s v="Brown Kraft Recycled Envelopes"/>
    <n v="16.98"/>
    <n v="1"/>
    <n v="8.49"/>
  </r>
  <r>
    <d v="2017-04-04T00:00:00"/>
    <x v="3"/>
    <x v="2"/>
    <x v="309"/>
    <x v="2"/>
    <x v="2"/>
    <x v="11"/>
    <s v="Newell 326"/>
    <n v="7.04"/>
    <n v="4"/>
    <n v="2.04"/>
  </r>
  <r>
    <d v="2017-05-04T00:00:00"/>
    <x v="3"/>
    <x v="10"/>
    <x v="575"/>
    <x v="5"/>
    <x v="0"/>
    <x v="2"/>
    <s v="Motorola L804"/>
    <n v="183.96"/>
    <n v="5"/>
    <n v="20.7"/>
  </r>
  <r>
    <d v="2017-05-04T00:00:00"/>
    <x v="3"/>
    <x v="10"/>
    <x v="575"/>
    <x v="5"/>
    <x v="2"/>
    <x v="3"/>
    <s v="Things To Do Today Pad"/>
    <n v="17.61"/>
    <n v="3"/>
    <n v="8.4499999999999993"/>
  </r>
  <r>
    <d v="2017-05-04T00:00:00"/>
    <x v="3"/>
    <x v="10"/>
    <x v="575"/>
    <x v="5"/>
    <x v="1"/>
    <x v="7"/>
    <s v="Bretford Rectangular Conference Table Tops"/>
    <n v="300.89999999999998"/>
    <n v="1"/>
    <n v="11.28"/>
  </r>
  <r>
    <d v="2017-05-04T00:00:00"/>
    <x v="3"/>
    <x v="10"/>
    <x v="540"/>
    <x v="20"/>
    <x v="2"/>
    <x v="3"/>
    <s v="Black Print Carbonless Snap-Off Rapid Letter, 8 1/2&quot; x 7&quot;"/>
    <n v="9.11"/>
    <n v="1"/>
    <n v="4.0999999999999996"/>
  </r>
  <r>
    <d v="2017-05-04T00:00:00"/>
    <x v="3"/>
    <x v="10"/>
    <x v="540"/>
    <x v="20"/>
    <x v="2"/>
    <x v="6"/>
    <s v="Letter Size Cart"/>
    <n v="571.44000000000005"/>
    <n v="4"/>
    <n v="165.72"/>
  </r>
  <r>
    <d v="2017-05-04T00:00:00"/>
    <x v="3"/>
    <x v="10"/>
    <x v="540"/>
    <x v="20"/>
    <x v="2"/>
    <x v="3"/>
    <s v="Xerox 23"/>
    <n v="32.4"/>
    <n v="5"/>
    <n v="15.55"/>
  </r>
  <r>
    <d v="2017-05-04T00:00:00"/>
    <x v="3"/>
    <x v="10"/>
    <x v="540"/>
    <x v="20"/>
    <x v="2"/>
    <x v="6"/>
    <s v="Tenex Personal Self-Stacking Standard File Box, Black/Gray"/>
    <n v="16.91"/>
    <n v="1"/>
    <n v="4.57"/>
  </r>
  <r>
    <d v="2017-05-04T00:00:00"/>
    <x v="3"/>
    <x v="10"/>
    <x v="61"/>
    <x v="18"/>
    <x v="2"/>
    <x v="9"/>
    <s v="DXL Angle-View Binders with Locking Rings by Samsill"/>
    <n v="2.31"/>
    <n v="1"/>
    <n v="-1.93"/>
  </r>
  <r>
    <d v="2017-05-04T00:00:00"/>
    <x v="3"/>
    <x v="10"/>
    <x v="517"/>
    <x v="13"/>
    <x v="2"/>
    <x v="9"/>
    <s v="Black Avery Memo-Size 3-Ring Binder, 5 1/2&quot; x 8 1/2&quot;"/>
    <n v="2.2000000000000002"/>
    <n v="2"/>
    <n v="-1.54"/>
  </r>
  <r>
    <d v="2017-05-04T00:00:00"/>
    <x v="3"/>
    <x v="10"/>
    <x v="517"/>
    <x v="13"/>
    <x v="2"/>
    <x v="9"/>
    <s v="Avery 3 1/2&quot; Diskette Storage Pages, 10/Pack"/>
    <n v="9.4"/>
    <n v="3"/>
    <n v="-7.52"/>
  </r>
  <r>
    <d v="2017-05-04T00:00:00"/>
    <x v="3"/>
    <x v="10"/>
    <x v="116"/>
    <x v="5"/>
    <x v="2"/>
    <x v="10"/>
    <s v="Acco 7-Outlet Masterpiece Power Center, Wihtout Fax/Phone Line Protection"/>
    <n v="243.16"/>
    <n v="2"/>
    <n v="72.95"/>
  </r>
  <r>
    <d v="2017-06-04T00:00:00"/>
    <x v="3"/>
    <x v="3"/>
    <x v="575"/>
    <x v="12"/>
    <x v="1"/>
    <x v="5"/>
    <s v="Telescoping Adjustable Floor Lamp"/>
    <n v="31.98"/>
    <n v="2"/>
    <n v="2"/>
  </r>
  <r>
    <d v="2017-06-04T00:00:00"/>
    <x v="3"/>
    <x v="3"/>
    <x v="575"/>
    <x v="12"/>
    <x v="0"/>
    <x v="2"/>
    <s v="Innergie mMini Combo Duo USB Travel Charging Kit"/>
    <n v="71.98"/>
    <n v="2"/>
    <n v="25.19"/>
  </r>
  <r>
    <d v="2017-06-04T00:00:00"/>
    <x v="3"/>
    <x v="3"/>
    <x v="134"/>
    <x v="34"/>
    <x v="2"/>
    <x v="3"/>
    <s v="Ampad Phone Message Book, Recycled, 400 Message Capacity, 5 Â¾Â” x 11Â”"/>
    <n v="12.48"/>
    <n v="2"/>
    <n v="5.62"/>
  </r>
  <r>
    <d v="2017-06-04T00:00:00"/>
    <x v="3"/>
    <x v="3"/>
    <x v="189"/>
    <x v="7"/>
    <x v="2"/>
    <x v="11"/>
    <s v="Newell 346"/>
    <n v="8.64"/>
    <n v="3"/>
    <n v="2.5099999999999998"/>
  </r>
  <r>
    <d v="2017-06-04T00:00:00"/>
    <x v="3"/>
    <x v="3"/>
    <x v="692"/>
    <x v="4"/>
    <x v="2"/>
    <x v="9"/>
    <s v="Presstex Flexible Ring Binders"/>
    <n v="6.37"/>
    <n v="7"/>
    <n v="-9.56"/>
  </r>
  <r>
    <d v="2017-06-04T00:00:00"/>
    <x v="3"/>
    <x v="3"/>
    <x v="202"/>
    <x v="9"/>
    <x v="2"/>
    <x v="9"/>
    <s v="GBC VeloBind Cover Sets"/>
    <n v="108.08"/>
    <n v="7"/>
    <n v="54.04"/>
  </r>
  <r>
    <d v="2017-06-04T00:00:00"/>
    <x v="3"/>
    <x v="3"/>
    <x v="202"/>
    <x v="9"/>
    <x v="2"/>
    <x v="9"/>
    <s v="Insertable Tab Indexes For Data Binders"/>
    <n v="9.5399999999999991"/>
    <n v="3"/>
    <n v="4.3899999999999997"/>
  </r>
  <r>
    <d v="2017-06-04T00:00:00"/>
    <x v="3"/>
    <x v="3"/>
    <x v="693"/>
    <x v="4"/>
    <x v="1"/>
    <x v="5"/>
    <s v="Nu-Dell Executive Frame"/>
    <n v="30.34"/>
    <n v="6"/>
    <n v="-17.440000000000001"/>
  </r>
  <r>
    <d v="2017-08-04T00:00:00"/>
    <x v="3"/>
    <x v="5"/>
    <x v="391"/>
    <x v="15"/>
    <x v="2"/>
    <x v="3"/>
    <s v="Hammermill CopyPlus Copy Paper (20Lb. and 84 Bright)"/>
    <n v="7.97"/>
    <n v="2"/>
    <n v="2.89"/>
  </r>
  <r>
    <d v="2017-08-04T00:00:00"/>
    <x v="3"/>
    <x v="5"/>
    <x v="391"/>
    <x v="15"/>
    <x v="2"/>
    <x v="13"/>
    <s v="Manila Recycled Extra-Heavyweight Clasp Envelopes, 6&quot; x 9&quot;"/>
    <n v="8.7799999999999994"/>
    <n v="1"/>
    <n v="3.18"/>
  </r>
  <r>
    <d v="2017-08-04T00:00:00"/>
    <x v="3"/>
    <x v="5"/>
    <x v="391"/>
    <x v="4"/>
    <x v="2"/>
    <x v="9"/>
    <s v="Avery Durable Poly Binders"/>
    <n v="3.32"/>
    <n v="3"/>
    <n v="-5.64"/>
  </r>
  <r>
    <d v="2017-09-04T00:00:00"/>
    <x v="3"/>
    <x v="6"/>
    <x v="341"/>
    <x v="4"/>
    <x v="2"/>
    <x v="11"/>
    <s v="Crayola Anti Dust Chalk, 12/Pack"/>
    <n v="10.19"/>
    <n v="7"/>
    <n v="3.19"/>
  </r>
  <r>
    <d v="2017-09-04T00:00:00"/>
    <x v="3"/>
    <x v="6"/>
    <x v="341"/>
    <x v="4"/>
    <x v="2"/>
    <x v="6"/>
    <s v="Acco Perma 3000 Stacking Storage Drawers"/>
    <n v="16.78"/>
    <n v="1"/>
    <n v="-0.21"/>
  </r>
  <r>
    <d v="2017-09-04T00:00:00"/>
    <x v="3"/>
    <x v="6"/>
    <x v="341"/>
    <x v="4"/>
    <x v="2"/>
    <x v="11"/>
    <s v="Sanford Colorific Eraseable Coloring Pencils, 12 Count"/>
    <n v="13.12"/>
    <n v="5"/>
    <n v="3.77"/>
  </r>
  <r>
    <d v="2017-09-04T00:00:00"/>
    <x v="3"/>
    <x v="6"/>
    <x v="124"/>
    <x v="2"/>
    <x v="0"/>
    <x v="0"/>
    <s v="Verbatim 25 GB 6x Blu-ray Single Layer Recordable Disc, 25/Pack"/>
    <n v="91.96"/>
    <n v="4"/>
    <n v="39.54"/>
  </r>
  <r>
    <d v="2017-09-04T00:00:00"/>
    <x v="3"/>
    <x v="6"/>
    <x v="126"/>
    <x v="5"/>
    <x v="1"/>
    <x v="7"/>
    <s v="Chromcraft Bull-Nose Wood Oval Conference Tables &amp; Bases"/>
    <n v="1322.35"/>
    <n v="3"/>
    <n v="-99.18"/>
  </r>
  <r>
    <d v="2017-09-04T00:00:00"/>
    <x v="3"/>
    <x v="6"/>
    <x v="684"/>
    <x v="5"/>
    <x v="2"/>
    <x v="3"/>
    <s v="Xerox 220"/>
    <n v="12.96"/>
    <n v="2"/>
    <n v="6.22"/>
  </r>
  <r>
    <d v="2017-09-04T00:00:00"/>
    <x v="3"/>
    <x v="6"/>
    <x v="684"/>
    <x v="5"/>
    <x v="0"/>
    <x v="2"/>
    <s v="invisibleSHIELD by ZAGG Smudge-Free Screen Protector"/>
    <n v="43.18"/>
    <n v="3"/>
    <n v="15.11"/>
  </r>
  <r>
    <d v="2017-09-04T00:00:00"/>
    <x v="3"/>
    <x v="6"/>
    <x v="648"/>
    <x v="3"/>
    <x v="1"/>
    <x v="16"/>
    <s v="Bush Birmingham Collection Bookcase, Dark Cherry"/>
    <n v="825.17"/>
    <n v="9"/>
    <n v="-117.88"/>
  </r>
  <r>
    <d v="2017-09-04T00:00:00"/>
    <x v="3"/>
    <x v="6"/>
    <x v="648"/>
    <x v="3"/>
    <x v="2"/>
    <x v="3"/>
    <s v="It's Hot Message Books with Stickers, 2 3/4&quot; x 5&quot;"/>
    <n v="17.760000000000002"/>
    <n v="3"/>
    <n v="5.55"/>
  </r>
  <r>
    <d v="2017-09-04T00:00:00"/>
    <x v="3"/>
    <x v="6"/>
    <x v="648"/>
    <x v="3"/>
    <x v="2"/>
    <x v="11"/>
    <s v="Sanford Colorific Colored Pencils, 12/Box"/>
    <n v="6.91"/>
    <n v="3"/>
    <n v="0.86"/>
  </r>
  <r>
    <d v="2017-09-04T00:00:00"/>
    <x v="3"/>
    <x v="6"/>
    <x v="148"/>
    <x v="18"/>
    <x v="2"/>
    <x v="11"/>
    <s v="DIXON Oriole Pencils"/>
    <n v="8.26"/>
    <n v="4"/>
    <n v="0.62"/>
  </r>
  <r>
    <d v="2017-09-04T00:00:00"/>
    <x v="3"/>
    <x v="6"/>
    <x v="148"/>
    <x v="18"/>
    <x v="2"/>
    <x v="9"/>
    <s v="GBC Recycled VeloBinder Covers"/>
    <n v="25.56"/>
    <n v="5"/>
    <n v="-20.45"/>
  </r>
  <r>
    <d v="2017-09-04T00:00:00"/>
    <x v="3"/>
    <x v="6"/>
    <x v="148"/>
    <x v="18"/>
    <x v="2"/>
    <x v="9"/>
    <s v="Wilson Jones Active Use Binders"/>
    <n v="4.37"/>
    <n v="2"/>
    <n v="-3.06"/>
  </r>
  <r>
    <d v="2017-09-04T00:00:00"/>
    <x v="3"/>
    <x v="6"/>
    <x v="148"/>
    <x v="18"/>
    <x v="2"/>
    <x v="3"/>
    <s v="Telephone Message Books with Fax/Mobile Section, 4 1/4&quot; x 6&quot;"/>
    <n v="11.52"/>
    <n v="4"/>
    <n v="3.74"/>
  </r>
  <r>
    <d v="2017-09-04T00:00:00"/>
    <x v="3"/>
    <x v="6"/>
    <x v="563"/>
    <x v="5"/>
    <x v="2"/>
    <x v="9"/>
    <s v="Ibico Hi-Tech Manual Binding System"/>
    <n v="487.98"/>
    <n v="2"/>
    <n v="152.5"/>
  </r>
  <r>
    <d v="2017-09-04T00:00:00"/>
    <x v="3"/>
    <x v="6"/>
    <x v="563"/>
    <x v="5"/>
    <x v="0"/>
    <x v="2"/>
    <s v="QVS USB Car Charger 2-Port 2.1Amp for iPod/iPhone/iPad/iPad 2/iPad 3"/>
    <n v="5.56"/>
    <n v="1"/>
    <n v="1.74"/>
  </r>
  <r>
    <d v="2017-09-04T00:00:00"/>
    <x v="3"/>
    <x v="6"/>
    <x v="563"/>
    <x v="5"/>
    <x v="2"/>
    <x v="6"/>
    <s v="Trav-L-File Heavy-Duty Shuttle II, Black"/>
    <n v="217.85"/>
    <n v="5"/>
    <n v="65.36"/>
  </r>
  <r>
    <d v="2017-09-04T00:00:00"/>
    <x v="3"/>
    <x v="6"/>
    <x v="476"/>
    <x v="13"/>
    <x v="0"/>
    <x v="0"/>
    <s v="Kingston Digital DataTraveler 8GB USB 2.0"/>
    <n v="19.04"/>
    <n v="4"/>
    <n v="-1.43"/>
  </r>
  <r>
    <d v="2017-09-04T00:00:00"/>
    <x v="3"/>
    <x v="6"/>
    <x v="121"/>
    <x v="5"/>
    <x v="2"/>
    <x v="6"/>
    <s v="Rogers Jumbo File, Granite"/>
    <n v="54.32"/>
    <n v="4"/>
    <n v="0.54"/>
  </r>
  <r>
    <d v="2017-09-04T00:00:00"/>
    <x v="3"/>
    <x v="6"/>
    <x v="291"/>
    <x v="5"/>
    <x v="2"/>
    <x v="9"/>
    <s v="Acco Suede Grain Vinyl Round Ring Binder"/>
    <n v="13.34"/>
    <n v="6"/>
    <n v="4.34"/>
  </r>
  <r>
    <d v="2017-09-04T00:00:00"/>
    <x v="3"/>
    <x v="6"/>
    <x v="291"/>
    <x v="5"/>
    <x v="1"/>
    <x v="7"/>
    <s v="Bush Cubix Conference Tables, Fully Assembled"/>
    <n v="1478.27"/>
    <n v="8"/>
    <n v="92.39"/>
  </r>
  <r>
    <d v="2017-09-04T00:00:00"/>
    <x v="3"/>
    <x v="6"/>
    <x v="637"/>
    <x v="41"/>
    <x v="2"/>
    <x v="4"/>
    <s v="Staples"/>
    <n v="14.82"/>
    <n v="6"/>
    <n v="6.97"/>
  </r>
  <r>
    <d v="2017-09-04T00:00:00"/>
    <x v="3"/>
    <x v="6"/>
    <x v="74"/>
    <x v="5"/>
    <x v="2"/>
    <x v="6"/>
    <s v="24 Capacity Maxi Data Binder Racks, Pearl"/>
    <n v="421.1"/>
    <n v="2"/>
    <n v="105.28"/>
  </r>
  <r>
    <d v="2017-09-04T00:00:00"/>
    <x v="3"/>
    <x v="6"/>
    <x v="442"/>
    <x v="11"/>
    <x v="1"/>
    <x v="1"/>
    <s v="Global Value Steno Chair, Gray"/>
    <n v="97.18"/>
    <n v="2"/>
    <n v="6.07"/>
  </r>
  <r>
    <d v="2017-09-04T00:00:00"/>
    <x v="3"/>
    <x v="6"/>
    <x v="442"/>
    <x v="11"/>
    <x v="2"/>
    <x v="3"/>
    <s v="Xerox 213"/>
    <n v="10.37"/>
    <n v="2"/>
    <n v="3.63"/>
  </r>
  <r>
    <d v="2017-09-04T00:00:00"/>
    <x v="3"/>
    <x v="6"/>
    <x v="60"/>
    <x v="4"/>
    <x v="2"/>
    <x v="11"/>
    <s v="Hunt PowerHouse Electric Pencil Sharpener, Blue"/>
    <n v="30.38"/>
    <n v="1"/>
    <n v="3.8"/>
  </r>
  <r>
    <d v="2017-09-04T00:00:00"/>
    <x v="3"/>
    <x v="6"/>
    <x v="523"/>
    <x v="5"/>
    <x v="2"/>
    <x v="9"/>
    <s v="Pressboard Hanging Data Binders for Unburst Sheets"/>
    <n v="11.81"/>
    <n v="3"/>
    <n v="4.13"/>
  </r>
  <r>
    <d v="2017-09-04T00:00:00"/>
    <x v="3"/>
    <x v="6"/>
    <x v="650"/>
    <x v="16"/>
    <x v="2"/>
    <x v="9"/>
    <s v="Avery Trapezoid Extra Heavy Duty 4&quot; Binders"/>
    <n v="88.07"/>
    <n v="7"/>
    <n v="-58.72"/>
  </r>
  <r>
    <d v="2017-10-04T00:00:00"/>
    <x v="3"/>
    <x v="7"/>
    <x v="489"/>
    <x v="24"/>
    <x v="1"/>
    <x v="5"/>
    <s v="24-Hour Round Wall Clock"/>
    <n v="19.98"/>
    <n v="1"/>
    <n v="8.59"/>
  </r>
  <r>
    <d v="2017-11-04T00:00:00"/>
    <x v="3"/>
    <x v="8"/>
    <x v="167"/>
    <x v="12"/>
    <x v="0"/>
    <x v="14"/>
    <s v="Cubify CubeX 3D Printer Triple Head Print"/>
    <n v="7999.98"/>
    <n v="4"/>
    <n v="-3839.99"/>
  </r>
  <r>
    <d v="2017-11-04T00:00:00"/>
    <x v="3"/>
    <x v="8"/>
    <x v="167"/>
    <x v="12"/>
    <x v="2"/>
    <x v="10"/>
    <s v="Eureka The Boss Plus 12-Amp Hard Box Upright Vacuum, Red"/>
    <n v="167.44"/>
    <n v="2"/>
    <n v="14.65"/>
  </r>
  <r>
    <d v="2017-11-04T00:00:00"/>
    <x v="3"/>
    <x v="8"/>
    <x v="392"/>
    <x v="26"/>
    <x v="2"/>
    <x v="3"/>
    <s v="Adams Telephone Message Books, 5 1/4Â” x 11Â”"/>
    <n v="9.66"/>
    <n v="2"/>
    <n v="3.26"/>
  </r>
  <r>
    <d v="2017-11-04T00:00:00"/>
    <x v="3"/>
    <x v="8"/>
    <x v="120"/>
    <x v="4"/>
    <x v="2"/>
    <x v="8"/>
    <s v="Alphabetical Labels for Top Tab Filing"/>
    <n v="23.68"/>
    <n v="2"/>
    <n v="8.8800000000000008"/>
  </r>
  <r>
    <d v="2017-11-04T00:00:00"/>
    <x v="3"/>
    <x v="8"/>
    <x v="590"/>
    <x v="12"/>
    <x v="1"/>
    <x v="7"/>
    <s v="Hon 5100 Series Wood Tables"/>
    <n v="523.76"/>
    <n v="3"/>
    <n v="-192.05"/>
  </r>
  <r>
    <d v="2017-11-04T00:00:00"/>
    <x v="3"/>
    <x v="8"/>
    <x v="590"/>
    <x v="12"/>
    <x v="0"/>
    <x v="2"/>
    <s v="Motorola Moto X"/>
    <n v="1359.96"/>
    <n v="5"/>
    <n v="119"/>
  </r>
  <r>
    <d v="2017-11-04T00:00:00"/>
    <x v="3"/>
    <x v="8"/>
    <x v="593"/>
    <x v="26"/>
    <x v="0"/>
    <x v="0"/>
    <s v="Logitech M510 Wireless Mouse"/>
    <n v="95.98"/>
    <n v="3"/>
    <n v="15.6"/>
  </r>
  <r>
    <d v="2017-11-04T00:00:00"/>
    <x v="3"/>
    <x v="8"/>
    <x v="593"/>
    <x v="26"/>
    <x v="0"/>
    <x v="2"/>
    <s v="iOttie XL Car Mount"/>
    <n v="143.93"/>
    <n v="9"/>
    <n v="-32.380000000000003"/>
  </r>
  <r>
    <d v="2017-11-04T00:00:00"/>
    <x v="3"/>
    <x v="8"/>
    <x v="593"/>
    <x v="26"/>
    <x v="2"/>
    <x v="9"/>
    <s v="Storex Dura Pro Binders"/>
    <n v="3.56"/>
    <n v="2"/>
    <n v="-2.97"/>
  </r>
  <r>
    <d v="2017-11-04T00:00:00"/>
    <x v="3"/>
    <x v="8"/>
    <x v="593"/>
    <x v="26"/>
    <x v="2"/>
    <x v="8"/>
    <s v="Avery 481"/>
    <n v="4.93"/>
    <n v="2"/>
    <n v="1.72"/>
  </r>
  <r>
    <d v="2017-11-04T00:00:00"/>
    <x v="3"/>
    <x v="8"/>
    <x v="430"/>
    <x v="4"/>
    <x v="2"/>
    <x v="9"/>
    <s v="GBC Standard Plastic Binding Systems' Combs"/>
    <n v="7.54"/>
    <n v="6"/>
    <n v="-13.19"/>
  </r>
  <r>
    <d v="2017-11-04T00:00:00"/>
    <x v="3"/>
    <x v="8"/>
    <x v="430"/>
    <x v="4"/>
    <x v="2"/>
    <x v="9"/>
    <s v="Self-Adhesive Ring Binder Labels"/>
    <n v="1.41"/>
    <n v="2"/>
    <n v="-2.3199999999999998"/>
  </r>
  <r>
    <d v="2017-11-04T00:00:00"/>
    <x v="3"/>
    <x v="8"/>
    <x v="430"/>
    <x v="4"/>
    <x v="2"/>
    <x v="9"/>
    <s v="Wilson Jones Impact Binders"/>
    <n v="4.1399999999999997"/>
    <n v="4"/>
    <n v="-6.42"/>
  </r>
  <r>
    <d v="2017-11-04T00:00:00"/>
    <x v="3"/>
    <x v="8"/>
    <x v="430"/>
    <x v="4"/>
    <x v="2"/>
    <x v="6"/>
    <s v="Rogers Deluxe File Chest"/>
    <n v="52.75"/>
    <n v="3"/>
    <n v="-12.53"/>
  </r>
  <r>
    <d v="2017-11-04T00:00:00"/>
    <x v="3"/>
    <x v="8"/>
    <x v="460"/>
    <x v="18"/>
    <x v="0"/>
    <x v="0"/>
    <s v="SanDisk Ultra 32 GB MicroSDHC Class 10 Memory Card"/>
    <n v="70.72"/>
    <n v="4"/>
    <n v="-6.19"/>
  </r>
  <r>
    <d v="2017-11-04T00:00:00"/>
    <x v="3"/>
    <x v="8"/>
    <x v="460"/>
    <x v="18"/>
    <x v="2"/>
    <x v="6"/>
    <s v="Carina 42&quot;Hx23 3/4&quot;W Media Storage Unit"/>
    <n v="194.35"/>
    <n v="3"/>
    <n v="-43.73"/>
  </r>
  <r>
    <d v="2017-11-04T00:00:00"/>
    <x v="3"/>
    <x v="8"/>
    <x v="425"/>
    <x v="9"/>
    <x v="2"/>
    <x v="11"/>
    <s v="Binney &amp; Smith inkTank Desk Highlighter, Chisel Tip, Yellow, 12/Box"/>
    <n v="4.3"/>
    <n v="2"/>
    <n v="1.42"/>
  </r>
  <r>
    <d v="2017-12-04T00:00:00"/>
    <x v="3"/>
    <x v="9"/>
    <x v="694"/>
    <x v="13"/>
    <x v="2"/>
    <x v="9"/>
    <s v="Storex Dura Pro Binders"/>
    <n v="5.35"/>
    <n v="3"/>
    <n v="-4.46"/>
  </r>
  <r>
    <d v="2017-12-04T00:00:00"/>
    <x v="3"/>
    <x v="9"/>
    <x v="638"/>
    <x v="13"/>
    <x v="1"/>
    <x v="1"/>
    <s v="Safco Chair Connectors, 6/Carton"/>
    <n v="188.55"/>
    <n v="7"/>
    <n v="-2.69"/>
  </r>
  <r>
    <d v="2017-12-04T00:00:00"/>
    <x v="3"/>
    <x v="9"/>
    <x v="389"/>
    <x v="13"/>
    <x v="1"/>
    <x v="1"/>
    <s v="Global Chrome Stack Chair"/>
    <n v="239.96"/>
    <n v="10"/>
    <n v="-10.28"/>
  </r>
  <r>
    <d v="2017-12-04T00:00:00"/>
    <x v="3"/>
    <x v="9"/>
    <x v="389"/>
    <x v="13"/>
    <x v="1"/>
    <x v="5"/>
    <s v="Hand-Finished Solid Wood Document Frame"/>
    <n v="54.77"/>
    <n v="2"/>
    <n v="6.85"/>
  </r>
  <r>
    <d v="2017-12-04T00:00:00"/>
    <x v="3"/>
    <x v="9"/>
    <x v="389"/>
    <x v="13"/>
    <x v="2"/>
    <x v="11"/>
    <s v="DIXON Ticonderoga Erasable Checking Pencils"/>
    <n v="13.39"/>
    <n v="3"/>
    <n v="3.18"/>
  </r>
  <r>
    <d v="2017-12-04T00:00:00"/>
    <x v="3"/>
    <x v="9"/>
    <x v="389"/>
    <x v="13"/>
    <x v="2"/>
    <x v="3"/>
    <s v="Xerox 1956"/>
    <n v="23.92"/>
    <n v="5"/>
    <n v="8.67"/>
  </r>
  <r>
    <d v="2017-12-04T00:00:00"/>
    <x v="3"/>
    <x v="9"/>
    <x v="389"/>
    <x v="13"/>
    <x v="0"/>
    <x v="0"/>
    <s v="Logitech G13 Programmable Gameboard with LCD Display"/>
    <n v="255.97"/>
    <n v="4"/>
    <n v="-28.8"/>
  </r>
  <r>
    <d v="2017-12-04T00:00:00"/>
    <x v="3"/>
    <x v="9"/>
    <x v="409"/>
    <x v="3"/>
    <x v="2"/>
    <x v="6"/>
    <s v="Advantus Rolling Drawer Organizers"/>
    <n v="61.57"/>
    <n v="2"/>
    <n v="4.62"/>
  </r>
  <r>
    <d v="2017-12-04T00:00:00"/>
    <x v="3"/>
    <x v="9"/>
    <x v="585"/>
    <x v="7"/>
    <x v="2"/>
    <x v="11"/>
    <s v="Newell 310"/>
    <n v="8.8000000000000007"/>
    <n v="5"/>
    <n v="2.5499999999999998"/>
  </r>
  <r>
    <d v="2017-12-04T00:00:00"/>
    <x v="3"/>
    <x v="9"/>
    <x v="585"/>
    <x v="7"/>
    <x v="0"/>
    <x v="0"/>
    <s v="First Data TMFD35 PIN Pad"/>
    <n v="142.80000000000001"/>
    <n v="1"/>
    <n v="29.99"/>
  </r>
  <r>
    <d v="2017-12-04T00:00:00"/>
    <x v="3"/>
    <x v="9"/>
    <x v="585"/>
    <x v="7"/>
    <x v="0"/>
    <x v="0"/>
    <s v="Logitech G430 Surround Sound Gaming Headset with Dolby 7.1 Technology"/>
    <n v="399.95"/>
    <n v="5"/>
    <n v="143.97999999999999"/>
  </r>
  <r>
    <d v="2017-12-04T00:00:00"/>
    <x v="3"/>
    <x v="9"/>
    <x v="212"/>
    <x v="26"/>
    <x v="0"/>
    <x v="14"/>
    <s v="Okidata C610n Printer"/>
    <n v="649"/>
    <n v="2"/>
    <n v="-272.58"/>
  </r>
  <r>
    <d v="2017-12-04T00:00:00"/>
    <x v="3"/>
    <x v="9"/>
    <x v="17"/>
    <x v="18"/>
    <x v="2"/>
    <x v="3"/>
    <s v="IBM Multi-Purpose Copy Paper, 8 1/2 x 11&quot;, Case"/>
    <n v="74.349999999999994"/>
    <n v="3"/>
    <n v="23.24"/>
  </r>
  <r>
    <d v="2017-12-04T00:00:00"/>
    <x v="3"/>
    <x v="9"/>
    <x v="183"/>
    <x v="5"/>
    <x v="2"/>
    <x v="3"/>
    <s v="Adams Telephone Message Book W/Dividers/Space For Phone Numbers, 5 1/4&quot;X8 1/2&quot;, 300/Messages"/>
    <n v="11.76"/>
    <n v="2"/>
    <n v="5.76"/>
  </r>
  <r>
    <d v="2017-12-04T00:00:00"/>
    <x v="3"/>
    <x v="9"/>
    <x v="442"/>
    <x v="8"/>
    <x v="1"/>
    <x v="5"/>
    <s v="Tensor &quot;Hersey Kiss&quot; Styled Floor Lamp"/>
    <n v="12.99"/>
    <n v="1"/>
    <n v="1.56"/>
  </r>
  <r>
    <d v="2017-12-04T00:00:00"/>
    <x v="3"/>
    <x v="9"/>
    <x v="442"/>
    <x v="8"/>
    <x v="1"/>
    <x v="1"/>
    <s v="Global Value Steno Chair, Gray"/>
    <n v="182.22"/>
    <n v="3"/>
    <n v="45.56"/>
  </r>
  <r>
    <d v="2017-12-04T00:00:00"/>
    <x v="3"/>
    <x v="9"/>
    <x v="442"/>
    <x v="8"/>
    <x v="1"/>
    <x v="1"/>
    <s v="Global Low Back Tilter Chair"/>
    <n v="302.94"/>
    <n v="3"/>
    <n v="18.18"/>
  </r>
  <r>
    <d v="2017-12-04T00:00:00"/>
    <x v="3"/>
    <x v="9"/>
    <x v="75"/>
    <x v="13"/>
    <x v="1"/>
    <x v="5"/>
    <s v="C-Line Cubicle Keepers Polyproplyene Holder With Velcro Backings"/>
    <n v="11.35"/>
    <n v="3"/>
    <n v="2.7"/>
  </r>
  <r>
    <d v="2017-02-05T00:00:00"/>
    <x v="3"/>
    <x v="0"/>
    <x v="695"/>
    <x v="4"/>
    <x v="2"/>
    <x v="9"/>
    <s v="Ibico Hi-Tech Manual Binding System"/>
    <n v="243.99"/>
    <n v="4"/>
    <n v="-426.99"/>
  </r>
  <r>
    <d v="2017-02-05T00:00:00"/>
    <x v="3"/>
    <x v="0"/>
    <x v="695"/>
    <x v="4"/>
    <x v="2"/>
    <x v="11"/>
    <s v="Staples in misc. colors"/>
    <n v="7.12"/>
    <n v="5"/>
    <n v="0.71"/>
  </r>
  <r>
    <d v="2017-02-05T00:00:00"/>
    <x v="3"/>
    <x v="0"/>
    <x v="262"/>
    <x v="5"/>
    <x v="2"/>
    <x v="10"/>
    <s v="Sanyo Counter Height Refrigerator with Crisper, 3.6 Cubic Foot, Stainless Steel/Black"/>
    <n v="1640.7"/>
    <n v="5"/>
    <n v="459.4"/>
  </r>
  <r>
    <d v="2017-02-05T00:00:00"/>
    <x v="3"/>
    <x v="0"/>
    <x v="262"/>
    <x v="5"/>
    <x v="0"/>
    <x v="2"/>
    <s v="Geemarc AmpliPOWER60"/>
    <n v="371.2"/>
    <n v="5"/>
    <n v="41.76"/>
  </r>
  <r>
    <d v="2017-03-05T00:00:00"/>
    <x v="3"/>
    <x v="1"/>
    <x v="291"/>
    <x v="0"/>
    <x v="2"/>
    <x v="8"/>
    <s v="Avery 515"/>
    <n v="25.06"/>
    <n v="2"/>
    <n v="11.78"/>
  </r>
  <r>
    <d v="2017-03-05T00:00:00"/>
    <x v="3"/>
    <x v="1"/>
    <x v="696"/>
    <x v="7"/>
    <x v="2"/>
    <x v="4"/>
    <s v="Advantus Map Pennant Flags and Round Head Tacks"/>
    <n v="7.9"/>
    <n v="2"/>
    <n v="2.5299999999999998"/>
  </r>
  <r>
    <d v="2017-03-05T00:00:00"/>
    <x v="3"/>
    <x v="1"/>
    <x v="696"/>
    <x v="7"/>
    <x v="2"/>
    <x v="6"/>
    <s v="Recycled Steel Personal File for Standard File Folders"/>
    <n v="221.16"/>
    <n v="4"/>
    <n v="57.5"/>
  </r>
  <r>
    <d v="2017-03-05T00:00:00"/>
    <x v="3"/>
    <x v="1"/>
    <x v="696"/>
    <x v="7"/>
    <x v="2"/>
    <x v="9"/>
    <s v="GBC ProClick Punch Binding System"/>
    <n v="127.96"/>
    <n v="2"/>
    <n v="62.7"/>
  </r>
  <r>
    <d v="2017-03-05T00:00:00"/>
    <x v="3"/>
    <x v="1"/>
    <x v="696"/>
    <x v="7"/>
    <x v="2"/>
    <x v="9"/>
    <s v="Avery Hole Reinforcements"/>
    <n v="18.690000000000001"/>
    <n v="3"/>
    <n v="9.16"/>
  </r>
  <r>
    <d v="2017-03-05T00:00:00"/>
    <x v="3"/>
    <x v="1"/>
    <x v="336"/>
    <x v="32"/>
    <x v="2"/>
    <x v="13"/>
    <s v="Laser &amp; Ink Jet Business Envelopes"/>
    <n v="42.68"/>
    <n v="4"/>
    <n v="19.63"/>
  </r>
  <r>
    <d v="2017-03-05T00:00:00"/>
    <x v="3"/>
    <x v="1"/>
    <x v="336"/>
    <x v="32"/>
    <x v="0"/>
    <x v="0"/>
    <s v="Logitech G700s Rechargeable Gaming Mouse"/>
    <n v="299.97000000000003"/>
    <n v="3"/>
    <n v="125.99"/>
  </r>
  <r>
    <d v="2017-03-05T00:00:00"/>
    <x v="3"/>
    <x v="1"/>
    <x v="336"/>
    <x v="32"/>
    <x v="2"/>
    <x v="10"/>
    <s v="Kensington 7 Outlet MasterPiece HOMEOFFICE Power Control Center"/>
    <n v="262.24"/>
    <n v="2"/>
    <n v="78.67"/>
  </r>
  <r>
    <d v="2017-03-05T00:00:00"/>
    <x v="3"/>
    <x v="1"/>
    <x v="336"/>
    <x v="32"/>
    <x v="2"/>
    <x v="9"/>
    <s v="Ibico Recycled Linen-Style Covers"/>
    <n v="234.36"/>
    <n v="6"/>
    <n v="112.49"/>
  </r>
  <r>
    <d v="2017-05-05T00:00:00"/>
    <x v="3"/>
    <x v="10"/>
    <x v="349"/>
    <x v="5"/>
    <x v="2"/>
    <x v="13"/>
    <s v="Peel &amp; Seel Recycled Catalog Envelopes, Brown"/>
    <n v="23.16"/>
    <n v="2"/>
    <n v="11.58"/>
  </r>
  <r>
    <d v="2017-05-05T00:00:00"/>
    <x v="3"/>
    <x v="10"/>
    <x v="218"/>
    <x v="15"/>
    <x v="2"/>
    <x v="13"/>
    <s v="Redi-Strip #10 Envelopes, 4 1/8 x 9 1/2"/>
    <n v="21.24"/>
    <n v="9"/>
    <n v="7.43"/>
  </r>
  <r>
    <d v="2017-05-05T00:00:00"/>
    <x v="3"/>
    <x v="10"/>
    <x v="218"/>
    <x v="15"/>
    <x v="2"/>
    <x v="9"/>
    <s v="Avery Durable Slant Ring Binders, No Labels"/>
    <n v="9.5500000000000007"/>
    <n v="8"/>
    <n v="-7.32"/>
  </r>
  <r>
    <d v="2017-05-05T00:00:00"/>
    <x v="3"/>
    <x v="10"/>
    <x v="218"/>
    <x v="15"/>
    <x v="1"/>
    <x v="16"/>
    <s v="Bestar Classic Bookcase"/>
    <n v="89.99"/>
    <n v="3"/>
    <n v="-152.97999999999999"/>
  </r>
  <r>
    <d v="2017-05-05T00:00:00"/>
    <x v="3"/>
    <x v="10"/>
    <x v="459"/>
    <x v="19"/>
    <x v="2"/>
    <x v="9"/>
    <s v="Ibico Covers for Plastic or Wire Binding Elements"/>
    <n v="34.5"/>
    <n v="3"/>
    <n v="15.53"/>
  </r>
  <r>
    <d v="2017-05-05T00:00:00"/>
    <x v="3"/>
    <x v="10"/>
    <x v="254"/>
    <x v="2"/>
    <x v="2"/>
    <x v="3"/>
    <s v="Xerox 1923"/>
    <n v="6.68"/>
    <n v="1"/>
    <n v="3.21"/>
  </r>
  <r>
    <d v="2017-06-05T00:00:00"/>
    <x v="3"/>
    <x v="3"/>
    <x v="443"/>
    <x v="4"/>
    <x v="0"/>
    <x v="2"/>
    <s v="LG G3"/>
    <n v="470.38"/>
    <n v="3"/>
    <n v="52.92"/>
  </r>
  <r>
    <d v="2017-06-05T00:00:00"/>
    <x v="3"/>
    <x v="3"/>
    <x v="433"/>
    <x v="11"/>
    <x v="2"/>
    <x v="3"/>
    <s v="Xerox 227"/>
    <n v="20.74"/>
    <n v="4"/>
    <n v="7.26"/>
  </r>
  <r>
    <d v="2017-07-05T00:00:00"/>
    <x v="3"/>
    <x v="4"/>
    <x v="697"/>
    <x v="4"/>
    <x v="1"/>
    <x v="5"/>
    <s v="Deflect-o RollaMat Studded, Beveled Mat for Medium Pile Carpeting"/>
    <n v="332.03"/>
    <n v="9"/>
    <n v="-348.63"/>
  </r>
  <r>
    <d v="2017-07-05T00:00:00"/>
    <x v="3"/>
    <x v="4"/>
    <x v="697"/>
    <x v="4"/>
    <x v="2"/>
    <x v="9"/>
    <s v="Cardinal HOLDit! Binder Insert Strips,Extra Strips"/>
    <n v="11.39"/>
    <n v="9"/>
    <n v="-17.66"/>
  </r>
  <r>
    <d v="2017-07-05T00:00:00"/>
    <x v="3"/>
    <x v="4"/>
    <x v="697"/>
    <x v="4"/>
    <x v="2"/>
    <x v="3"/>
    <s v="Xerox 1975"/>
    <n v="15.55"/>
    <n v="3"/>
    <n v="5.64"/>
  </r>
  <r>
    <d v="2017-07-05T00:00:00"/>
    <x v="3"/>
    <x v="4"/>
    <x v="697"/>
    <x v="4"/>
    <x v="2"/>
    <x v="3"/>
    <s v="Xerox 1966"/>
    <n v="31.1"/>
    <n v="6"/>
    <n v="11.28"/>
  </r>
  <r>
    <d v="2017-07-05T00:00:00"/>
    <x v="3"/>
    <x v="4"/>
    <x v="697"/>
    <x v="4"/>
    <x v="2"/>
    <x v="9"/>
    <s v="Tuf-Vin Binders"/>
    <n v="6.32"/>
    <n v="1"/>
    <n v="-10.42"/>
  </r>
  <r>
    <d v="2017-07-05T00:00:00"/>
    <x v="3"/>
    <x v="4"/>
    <x v="428"/>
    <x v="27"/>
    <x v="0"/>
    <x v="2"/>
    <s v="Anker 36W 4-Port USB Wall Charger Travel Power Adapter for iPhone 5s 5c 5"/>
    <n v="79.959999999999994"/>
    <n v="4"/>
    <n v="22.39"/>
  </r>
  <r>
    <d v="2017-08-05T00:00:00"/>
    <x v="3"/>
    <x v="5"/>
    <x v="364"/>
    <x v="17"/>
    <x v="2"/>
    <x v="3"/>
    <s v="Adams Phone Message Book, 200 Message Capacity, 8 1/16Â” x 11Â”"/>
    <n v="13.76"/>
    <n v="2"/>
    <n v="6.33"/>
  </r>
  <r>
    <d v="2017-08-05T00:00:00"/>
    <x v="3"/>
    <x v="5"/>
    <x v="48"/>
    <x v="4"/>
    <x v="2"/>
    <x v="6"/>
    <s v="Tennsco Lockers, Sand"/>
    <n v="151.06"/>
    <n v="9"/>
    <n v="7.55"/>
  </r>
  <r>
    <d v="2017-08-05T00:00:00"/>
    <x v="3"/>
    <x v="5"/>
    <x v="698"/>
    <x v="33"/>
    <x v="2"/>
    <x v="9"/>
    <s v="Premium Transparent Presentation Covers by GBC"/>
    <n v="125.88"/>
    <n v="6"/>
    <n v="60.42"/>
  </r>
  <r>
    <d v="2017-08-05T00:00:00"/>
    <x v="3"/>
    <x v="5"/>
    <x v="698"/>
    <x v="33"/>
    <x v="0"/>
    <x v="0"/>
    <s v="LogitechÂ MX Performance Wireless Mouse"/>
    <n v="79.78"/>
    <n v="2"/>
    <n v="29.52"/>
  </r>
  <r>
    <d v="2017-08-05T00:00:00"/>
    <x v="3"/>
    <x v="5"/>
    <x v="698"/>
    <x v="33"/>
    <x v="2"/>
    <x v="8"/>
    <s v="Avery 475"/>
    <n v="133.19999999999999"/>
    <n v="9"/>
    <n v="66.599999999999994"/>
  </r>
  <r>
    <d v="2017-09-05T00:00:00"/>
    <x v="3"/>
    <x v="6"/>
    <x v="351"/>
    <x v="1"/>
    <x v="2"/>
    <x v="11"/>
    <s v="Newell 333"/>
    <n v="2.78"/>
    <n v="1"/>
    <n v="0.72"/>
  </r>
  <r>
    <d v="2017-09-05T00:00:00"/>
    <x v="3"/>
    <x v="6"/>
    <x v="608"/>
    <x v="11"/>
    <x v="2"/>
    <x v="6"/>
    <s v="Gould Plastics 18-Pocket Panel Bin, 34w x 5-1/4d x 20-1/2h"/>
    <n v="147.18"/>
    <n v="2"/>
    <n v="-29.44"/>
  </r>
  <r>
    <d v="2017-09-05T00:00:00"/>
    <x v="3"/>
    <x v="6"/>
    <x v="539"/>
    <x v="26"/>
    <x v="0"/>
    <x v="0"/>
    <s v="MaxellÂ LTO Ultrium - 800 GB"/>
    <n v="89.57"/>
    <n v="4"/>
    <n v="-1.1200000000000001"/>
  </r>
  <r>
    <d v="2017-09-05T00:00:00"/>
    <x v="3"/>
    <x v="6"/>
    <x v="539"/>
    <x v="26"/>
    <x v="2"/>
    <x v="11"/>
    <s v="Model L Table or Wall-Mount Pencil Sharpener"/>
    <n v="71.959999999999994"/>
    <n v="5"/>
    <n v="7.2"/>
  </r>
  <r>
    <d v="2017-09-05T00:00:00"/>
    <x v="3"/>
    <x v="6"/>
    <x v="539"/>
    <x v="26"/>
    <x v="2"/>
    <x v="3"/>
    <s v="Xerox 220"/>
    <n v="15.55"/>
    <n v="3"/>
    <n v="5.44"/>
  </r>
  <r>
    <d v="2017-10-05T00:00:00"/>
    <x v="3"/>
    <x v="7"/>
    <x v="99"/>
    <x v="2"/>
    <x v="0"/>
    <x v="2"/>
    <s v="Motorola HK250 Universal Bluetooth Headset"/>
    <n v="160.93"/>
    <n v="7"/>
    <n v="3.22"/>
  </r>
  <r>
    <d v="2017-10-05T00:00:00"/>
    <x v="3"/>
    <x v="7"/>
    <x v="99"/>
    <x v="2"/>
    <x v="2"/>
    <x v="9"/>
    <s v="Tuf-Vin Binders"/>
    <n v="75.790000000000006"/>
    <n v="3"/>
    <n v="25.58"/>
  </r>
  <r>
    <d v="2017-10-05T00:00:00"/>
    <x v="3"/>
    <x v="7"/>
    <x v="427"/>
    <x v="5"/>
    <x v="2"/>
    <x v="9"/>
    <s v="Avery Framed View Binder, EZD Ring (Locking), Navy, 1 1/2&quot;"/>
    <n v="39.92"/>
    <n v="5"/>
    <n v="13.47"/>
  </r>
  <r>
    <d v="2017-10-05T00:00:00"/>
    <x v="3"/>
    <x v="7"/>
    <x v="427"/>
    <x v="5"/>
    <x v="2"/>
    <x v="3"/>
    <s v="Xerox 1951"/>
    <n v="61.96"/>
    <n v="2"/>
    <n v="27.88"/>
  </r>
  <r>
    <d v="2017-10-05T00:00:00"/>
    <x v="3"/>
    <x v="7"/>
    <x v="427"/>
    <x v="5"/>
    <x v="2"/>
    <x v="9"/>
    <s v="Avery Hole Reinforcements"/>
    <n v="19.940000000000001"/>
    <n v="4"/>
    <n v="7.23"/>
  </r>
  <r>
    <d v="2017-10-05T00:00:00"/>
    <x v="3"/>
    <x v="7"/>
    <x v="493"/>
    <x v="2"/>
    <x v="0"/>
    <x v="2"/>
    <s v="Samsung HM1900 Bluetooth Headset"/>
    <n v="87.8"/>
    <n v="4"/>
    <n v="43.9"/>
  </r>
  <r>
    <d v="2017-10-05T00:00:00"/>
    <x v="3"/>
    <x v="7"/>
    <x v="493"/>
    <x v="2"/>
    <x v="1"/>
    <x v="1"/>
    <s v="Global High-Back Leather Tilter, Burgundy"/>
    <n v="221.38"/>
    <n v="2"/>
    <n v="2.46"/>
  </r>
  <r>
    <d v="2017-10-05T00:00:00"/>
    <x v="3"/>
    <x v="7"/>
    <x v="493"/>
    <x v="2"/>
    <x v="0"/>
    <x v="14"/>
    <s v="3D Systems Cube Printer, 2nd Generation, Magenta"/>
    <n v="5199.96"/>
    <n v="4"/>
    <n v="1351.99"/>
  </r>
  <r>
    <d v="2017-10-05T00:00:00"/>
    <x v="3"/>
    <x v="7"/>
    <x v="79"/>
    <x v="15"/>
    <x v="0"/>
    <x v="0"/>
    <s v="LogitechÂ MX Performance Wireless Mouse"/>
    <n v="63.82"/>
    <n v="2"/>
    <n v="13.56"/>
  </r>
  <r>
    <d v="2017-10-05T00:00:00"/>
    <x v="3"/>
    <x v="7"/>
    <x v="397"/>
    <x v="5"/>
    <x v="1"/>
    <x v="1"/>
    <s v="Global Deluxe High-Back Office Chair in Storm"/>
    <n v="435.17"/>
    <n v="4"/>
    <n v="-59.84"/>
  </r>
  <r>
    <d v="2017-10-05T00:00:00"/>
    <x v="3"/>
    <x v="7"/>
    <x v="397"/>
    <x v="5"/>
    <x v="2"/>
    <x v="4"/>
    <s v="Staples"/>
    <n v="14.9"/>
    <n v="5"/>
    <n v="6.85"/>
  </r>
  <r>
    <d v="2017-10-05T00:00:00"/>
    <x v="3"/>
    <x v="7"/>
    <x v="397"/>
    <x v="5"/>
    <x v="2"/>
    <x v="10"/>
    <s v="Hoover Replacement Belts For Soft Guard &amp; Commercial Ltweight Upright Vacs, 2/Pk"/>
    <n v="15.8"/>
    <n v="4"/>
    <n v="4.1100000000000003"/>
  </r>
  <r>
    <d v="2017-10-05T00:00:00"/>
    <x v="3"/>
    <x v="7"/>
    <x v="397"/>
    <x v="5"/>
    <x v="1"/>
    <x v="5"/>
    <s v="DAX Clear Channel Poster Frame"/>
    <n v="72.900000000000006"/>
    <n v="5"/>
    <n v="26.97"/>
  </r>
  <r>
    <d v="2017-10-05T00:00:00"/>
    <x v="3"/>
    <x v="7"/>
    <x v="397"/>
    <x v="5"/>
    <x v="1"/>
    <x v="7"/>
    <s v="KI Adjustable-Height Table"/>
    <n v="206.35"/>
    <n v="3"/>
    <n v="5.16"/>
  </r>
  <r>
    <d v="2017-10-05T00:00:00"/>
    <x v="3"/>
    <x v="7"/>
    <x v="397"/>
    <x v="5"/>
    <x v="0"/>
    <x v="2"/>
    <s v="Square Credit Card Reader, 4 1/2&quot; x 4 1/2&quot; x 1&quot;, White"/>
    <n v="7.99"/>
    <n v="1"/>
    <n v="2.7"/>
  </r>
  <r>
    <d v="2017-11-05T00:00:00"/>
    <x v="3"/>
    <x v="8"/>
    <x v="618"/>
    <x v="23"/>
    <x v="2"/>
    <x v="9"/>
    <s v="Avery Durable Slant Ring Binders, No Labels"/>
    <n v="2.39"/>
    <n v="2"/>
    <n v="-1.83"/>
  </r>
  <r>
    <d v="2017-11-05T00:00:00"/>
    <x v="3"/>
    <x v="8"/>
    <x v="618"/>
    <x v="23"/>
    <x v="2"/>
    <x v="6"/>
    <s v="Trav-L-File Heavy-Duty Shuttle II, Black"/>
    <n v="243.99"/>
    <n v="7"/>
    <n v="30.5"/>
  </r>
  <r>
    <d v="2017-11-05T00:00:00"/>
    <x v="3"/>
    <x v="8"/>
    <x v="204"/>
    <x v="35"/>
    <x v="0"/>
    <x v="0"/>
    <s v="NETGEAR AC1750 Dual Band GigabitÂ Smart WiFi Router"/>
    <n v="159.99"/>
    <n v="1"/>
    <n v="54.4"/>
  </r>
  <r>
    <d v="2017-11-05T00:00:00"/>
    <x v="3"/>
    <x v="8"/>
    <x v="674"/>
    <x v="2"/>
    <x v="0"/>
    <x v="0"/>
    <s v="Enermax Aurora Lite Keyboard"/>
    <n v="390.75"/>
    <n v="5"/>
    <n v="171.93"/>
  </r>
  <r>
    <d v="2017-11-05T00:00:00"/>
    <x v="3"/>
    <x v="8"/>
    <x v="394"/>
    <x v="3"/>
    <x v="2"/>
    <x v="9"/>
    <s v="Avery Recycled Flexi-View Covers for Binding Systems"/>
    <n v="16.03"/>
    <n v="5"/>
    <n v="-25.65"/>
  </r>
  <r>
    <d v="2017-11-05T00:00:00"/>
    <x v="3"/>
    <x v="8"/>
    <x v="68"/>
    <x v="4"/>
    <x v="0"/>
    <x v="2"/>
    <s v="Nortel Meridian M3904 Professional Digital phone"/>
    <n v="492.77"/>
    <n v="4"/>
    <n v="55.44"/>
  </r>
  <r>
    <d v="2017-11-05T00:00:00"/>
    <x v="3"/>
    <x v="8"/>
    <x v="35"/>
    <x v="5"/>
    <x v="2"/>
    <x v="3"/>
    <s v="Xerox 1996"/>
    <n v="12.96"/>
    <n v="2"/>
    <n v="6.22"/>
  </r>
  <r>
    <d v="2017-11-05T00:00:00"/>
    <x v="3"/>
    <x v="8"/>
    <x v="699"/>
    <x v="2"/>
    <x v="2"/>
    <x v="9"/>
    <s v="GBC Prestige Therm-A-Bind Covers"/>
    <n v="164.69"/>
    <n v="6"/>
    <n v="55.58"/>
  </r>
  <r>
    <d v="2017-11-05T00:00:00"/>
    <x v="3"/>
    <x v="8"/>
    <x v="699"/>
    <x v="2"/>
    <x v="1"/>
    <x v="7"/>
    <s v="Balt Split Level Computer Training Table"/>
    <n v="166.5"/>
    <n v="2"/>
    <n v="-66.599999999999994"/>
  </r>
  <r>
    <d v="2017-11-05T00:00:00"/>
    <x v="3"/>
    <x v="8"/>
    <x v="699"/>
    <x v="2"/>
    <x v="2"/>
    <x v="3"/>
    <s v="Xerox 202"/>
    <n v="12.96"/>
    <n v="2"/>
    <n v="6.22"/>
  </r>
  <r>
    <d v="2017-11-05T00:00:00"/>
    <x v="3"/>
    <x v="8"/>
    <x v="699"/>
    <x v="2"/>
    <x v="2"/>
    <x v="3"/>
    <s v="Eaton Premium Continuous-Feed Paper, 25% Cotton, Letter Size, White, 1000 Shts/Box"/>
    <n v="110.96"/>
    <n v="2"/>
    <n v="53.26"/>
  </r>
  <r>
    <d v="2017-11-05T00:00:00"/>
    <x v="3"/>
    <x v="8"/>
    <x v="699"/>
    <x v="2"/>
    <x v="0"/>
    <x v="2"/>
    <s v="Anker Astro 15000mAh USB Portable Charger"/>
    <n v="99.98"/>
    <n v="2"/>
    <n v="4"/>
  </r>
  <r>
    <d v="2017-11-05T00:00:00"/>
    <x v="3"/>
    <x v="8"/>
    <x v="699"/>
    <x v="2"/>
    <x v="2"/>
    <x v="9"/>
    <s v="Avery Premier Heavy-Duty Binder with Round Locking Rings"/>
    <n v="11.42"/>
    <n v="1"/>
    <n v="3.71"/>
  </r>
  <r>
    <d v="2017-11-05T00:00:00"/>
    <x v="3"/>
    <x v="8"/>
    <x v="699"/>
    <x v="2"/>
    <x v="1"/>
    <x v="1"/>
    <s v="Harbour Creations 67200 Series Stacking Chairs"/>
    <n v="128.12"/>
    <n v="2"/>
    <n v="24.2"/>
  </r>
  <r>
    <d v="2017-11-05T00:00:00"/>
    <x v="3"/>
    <x v="8"/>
    <x v="699"/>
    <x v="2"/>
    <x v="1"/>
    <x v="5"/>
    <s v="Career Cubicle Clock, 8 1/4&quot;, Black"/>
    <n v="101.4"/>
    <n v="5"/>
    <n v="38.53"/>
  </r>
  <r>
    <d v="2017-11-05T00:00:00"/>
    <x v="3"/>
    <x v="8"/>
    <x v="522"/>
    <x v="33"/>
    <x v="2"/>
    <x v="3"/>
    <s v="Ampad Gold Fibre Wirebound Steno Books, 6&quot; x 9&quot;, Gregg Ruled"/>
    <n v="4.41"/>
    <n v="1"/>
    <n v="2.0299999999999998"/>
  </r>
  <r>
    <d v="2017-11-05T00:00:00"/>
    <x v="3"/>
    <x v="8"/>
    <x v="522"/>
    <x v="33"/>
    <x v="2"/>
    <x v="3"/>
    <s v="Easy-staple paper"/>
    <n v="167.94"/>
    <n v="3"/>
    <n v="82.29"/>
  </r>
  <r>
    <d v="2017-11-05T00:00:00"/>
    <x v="3"/>
    <x v="8"/>
    <x v="522"/>
    <x v="33"/>
    <x v="2"/>
    <x v="3"/>
    <s v="Strathmore Photo Mount Cards"/>
    <n v="67.8"/>
    <n v="10"/>
    <n v="31.19"/>
  </r>
  <r>
    <d v="2017-12-05T00:00:00"/>
    <x v="3"/>
    <x v="9"/>
    <x v="550"/>
    <x v="33"/>
    <x v="2"/>
    <x v="10"/>
    <s v="Kensington 6 Outlet Guardian Standard Surge Protector"/>
    <n v="61.44"/>
    <n v="3"/>
    <n v="16.59"/>
  </r>
  <r>
    <d v="2017-12-05T00:00:00"/>
    <x v="3"/>
    <x v="9"/>
    <x v="550"/>
    <x v="33"/>
    <x v="2"/>
    <x v="3"/>
    <s v="Southworth 100% RÃ©sumÃ© Paper, 24lb."/>
    <n v="38.9"/>
    <n v="5"/>
    <n v="17.510000000000002"/>
  </r>
  <r>
    <d v="2017-12-05T00:00:00"/>
    <x v="3"/>
    <x v="9"/>
    <x v="550"/>
    <x v="33"/>
    <x v="0"/>
    <x v="0"/>
    <s v="ImationÂ 16GB Mini TravelDrive USB 2.0Â Flash Drive"/>
    <n v="99.39"/>
    <n v="3"/>
    <n v="40.75"/>
  </r>
  <r>
    <d v="2017-12-05T00:00:00"/>
    <x v="3"/>
    <x v="9"/>
    <x v="422"/>
    <x v="5"/>
    <x v="2"/>
    <x v="3"/>
    <s v="Xerox 1960"/>
    <n v="92.94"/>
    <n v="3"/>
    <n v="41.82"/>
  </r>
  <r>
    <d v="2017-12-05T00:00:00"/>
    <x v="3"/>
    <x v="9"/>
    <x v="11"/>
    <x v="42"/>
    <x v="0"/>
    <x v="0"/>
    <s v="Logitech ClearChat Comfort/USB Headset H390"/>
    <n v="205.03"/>
    <n v="7"/>
    <n v="67.66"/>
  </r>
  <r>
    <d v="2017-12-05T00:00:00"/>
    <x v="3"/>
    <x v="9"/>
    <x v="24"/>
    <x v="2"/>
    <x v="1"/>
    <x v="5"/>
    <s v="Eldon Expressions Wood and Plastic Desk Accessories, Cherry Wood"/>
    <n v="20.94"/>
    <n v="3"/>
    <n v="6.07"/>
  </r>
  <r>
    <d v="2017-12-05T00:00:00"/>
    <x v="3"/>
    <x v="9"/>
    <x v="24"/>
    <x v="2"/>
    <x v="1"/>
    <x v="5"/>
    <s v="Seth Thomas 14&quot; Putty-Colored Wall Clock"/>
    <n v="58.68"/>
    <n v="2"/>
    <n v="18.190000000000001"/>
  </r>
  <r>
    <d v="2017-12-05T00:00:00"/>
    <x v="3"/>
    <x v="9"/>
    <x v="24"/>
    <x v="2"/>
    <x v="2"/>
    <x v="10"/>
    <s v="Eureka The Boss Cordless Rechargeable Stick Vac"/>
    <n v="254.9"/>
    <n v="5"/>
    <n v="68.819999999999993"/>
  </r>
  <r>
    <d v="2017-12-05T00:00:00"/>
    <x v="3"/>
    <x v="9"/>
    <x v="478"/>
    <x v="1"/>
    <x v="2"/>
    <x v="9"/>
    <s v="GBC Wire Binding Combs"/>
    <n v="24.82"/>
    <n v="3"/>
    <n v="8.3800000000000008"/>
  </r>
  <r>
    <d v="2017-12-05T00:00:00"/>
    <x v="3"/>
    <x v="9"/>
    <x v="478"/>
    <x v="1"/>
    <x v="2"/>
    <x v="9"/>
    <s v="Zipper Ring Binder Pockets"/>
    <n v="14.98"/>
    <n v="6"/>
    <n v="5.43"/>
  </r>
  <r>
    <d v="2017-12-05T00:00:00"/>
    <x v="3"/>
    <x v="9"/>
    <x v="208"/>
    <x v="2"/>
    <x v="1"/>
    <x v="5"/>
    <s v="Magnifier Swing Arm Lamp"/>
    <n v="41.96"/>
    <n v="2"/>
    <n v="10.91"/>
  </r>
  <r>
    <d v="2017-12-05T00:00:00"/>
    <x v="3"/>
    <x v="9"/>
    <x v="208"/>
    <x v="2"/>
    <x v="2"/>
    <x v="8"/>
    <s v="Self-Adhesive Removable Labels"/>
    <n v="9.4499999999999993"/>
    <n v="3"/>
    <n v="4.54"/>
  </r>
  <r>
    <d v="2017-12-05T00:00:00"/>
    <x v="3"/>
    <x v="9"/>
    <x v="700"/>
    <x v="1"/>
    <x v="2"/>
    <x v="9"/>
    <s v="GBC Premium Transparent Covers with Diagonal Lined Pattern"/>
    <n v="83.92"/>
    <n v="5"/>
    <n v="29.37"/>
  </r>
  <r>
    <d v="2017-12-05T00:00:00"/>
    <x v="3"/>
    <x v="9"/>
    <x v="700"/>
    <x v="1"/>
    <x v="1"/>
    <x v="5"/>
    <s v="Eldon Radial Chair Mat for Low to Medium Pile Carpets"/>
    <n v="199.9"/>
    <n v="5"/>
    <n v="39.979999999999997"/>
  </r>
  <r>
    <d v="2017-12-05T00:00:00"/>
    <x v="3"/>
    <x v="9"/>
    <x v="700"/>
    <x v="1"/>
    <x v="0"/>
    <x v="2"/>
    <s v="Cyber Acoustics AC-202b Speech Recognition Stereo Headset"/>
    <n v="31.18"/>
    <n v="3"/>
    <n v="-7.01"/>
  </r>
  <r>
    <d v="2017-12-05T00:00:00"/>
    <x v="3"/>
    <x v="9"/>
    <x v="700"/>
    <x v="1"/>
    <x v="2"/>
    <x v="9"/>
    <s v="GBC VeloBinder Manual Binding System"/>
    <n v="172.75"/>
    <n v="6"/>
    <n v="60.46"/>
  </r>
  <r>
    <d v="2017-12-05T00:00:00"/>
    <x v="3"/>
    <x v="9"/>
    <x v="700"/>
    <x v="1"/>
    <x v="2"/>
    <x v="9"/>
    <s v="Fellowes Black Plastic Comb Bindings"/>
    <n v="9.3000000000000007"/>
    <n v="2"/>
    <n v="3.02"/>
  </r>
  <r>
    <d v="2017-12-05T00:00:00"/>
    <x v="3"/>
    <x v="9"/>
    <x v="701"/>
    <x v="2"/>
    <x v="2"/>
    <x v="3"/>
    <s v="Telephone Message Books with Fax/Mobile Section, 4 1/4&quot; x 6&quot;"/>
    <n v="21.6"/>
    <n v="6"/>
    <n v="9.94"/>
  </r>
  <r>
    <d v="2017-12-05T00:00:00"/>
    <x v="3"/>
    <x v="9"/>
    <x v="701"/>
    <x v="2"/>
    <x v="2"/>
    <x v="8"/>
    <s v="Avery 52"/>
    <n v="11.07"/>
    <n v="3"/>
    <n v="5.2"/>
  </r>
  <r>
    <d v="2017-01-06T00:00:00"/>
    <x v="3"/>
    <x v="11"/>
    <x v="135"/>
    <x v="34"/>
    <x v="2"/>
    <x v="9"/>
    <s v="Wilson Jones Turn Tabs Binder Tool for Ring Binders"/>
    <n v="33.74"/>
    <n v="7"/>
    <n v="15.52"/>
  </r>
  <r>
    <d v="2017-02-06T00:00:00"/>
    <x v="3"/>
    <x v="0"/>
    <x v="578"/>
    <x v="20"/>
    <x v="1"/>
    <x v="16"/>
    <s v="Bush Andora Bookcase, Maple/Graphite Gray Finish"/>
    <n v="359.97"/>
    <n v="3"/>
    <n v="79.19"/>
  </r>
  <r>
    <d v="2017-02-06T00:00:00"/>
    <x v="3"/>
    <x v="0"/>
    <x v="531"/>
    <x v="2"/>
    <x v="1"/>
    <x v="16"/>
    <s v="Atlantic Metals Mobile 5-Shelf Bookcases, Custom Colors"/>
    <n v="240.78"/>
    <n v="1"/>
    <n v="30.1"/>
  </r>
  <r>
    <d v="2017-02-06T00:00:00"/>
    <x v="3"/>
    <x v="0"/>
    <x v="619"/>
    <x v="2"/>
    <x v="0"/>
    <x v="2"/>
    <s v="Grandstream GXP1160 VoIP phone"/>
    <n v="227.46"/>
    <n v="6"/>
    <n v="65.959999999999994"/>
  </r>
  <r>
    <d v="2017-02-06T00:00:00"/>
    <x v="3"/>
    <x v="0"/>
    <x v="619"/>
    <x v="2"/>
    <x v="2"/>
    <x v="9"/>
    <s v="Acco Recycled 2&quot; Capacity Laser Printer Hanging Data Binders"/>
    <n v="46.24"/>
    <n v="4"/>
    <n v="15.61"/>
  </r>
  <r>
    <d v="2017-02-06T00:00:00"/>
    <x v="3"/>
    <x v="0"/>
    <x v="495"/>
    <x v="5"/>
    <x v="2"/>
    <x v="3"/>
    <s v="Xerox 1947"/>
    <n v="29.9"/>
    <n v="5"/>
    <n v="13.46"/>
  </r>
  <r>
    <d v="2017-03-06T00:00:00"/>
    <x v="3"/>
    <x v="1"/>
    <x v="702"/>
    <x v="2"/>
    <x v="2"/>
    <x v="3"/>
    <s v="Xerox 1883"/>
    <n v="26.38"/>
    <n v="1"/>
    <n v="12.13"/>
  </r>
  <r>
    <d v="2017-03-06T00:00:00"/>
    <x v="3"/>
    <x v="1"/>
    <x v="702"/>
    <x v="2"/>
    <x v="1"/>
    <x v="5"/>
    <s v="Westinghouse Floor Lamp with Metal Mesh Shade, Black"/>
    <n v="71.97"/>
    <n v="3"/>
    <n v="16.55"/>
  </r>
  <r>
    <d v="2017-03-06T00:00:00"/>
    <x v="3"/>
    <x v="1"/>
    <x v="300"/>
    <x v="5"/>
    <x v="2"/>
    <x v="9"/>
    <s v="Economy Binders"/>
    <n v="14.98"/>
    <n v="9"/>
    <n v="5.43"/>
  </r>
  <r>
    <d v="2017-03-06T00:00:00"/>
    <x v="3"/>
    <x v="1"/>
    <x v="264"/>
    <x v="5"/>
    <x v="2"/>
    <x v="6"/>
    <s v="File Shuttle II and Handi-File, Black"/>
    <n v="67.78"/>
    <n v="2"/>
    <n v="16.95"/>
  </r>
  <r>
    <d v="2017-03-06T00:00:00"/>
    <x v="3"/>
    <x v="1"/>
    <x v="485"/>
    <x v="5"/>
    <x v="2"/>
    <x v="11"/>
    <s v="Fluorescent Highlighters by Dixon"/>
    <n v="23.88"/>
    <n v="6"/>
    <n v="8.1199999999999992"/>
  </r>
  <r>
    <d v="2017-03-06T00:00:00"/>
    <x v="3"/>
    <x v="1"/>
    <x v="485"/>
    <x v="5"/>
    <x v="2"/>
    <x v="8"/>
    <s v="Avery 49"/>
    <n v="11.52"/>
    <n v="4"/>
    <n v="5.64"/>
  </r>
  <r>
    <d v="2017-03-06T00:00:00"/>
    <x v="3"/>
    <x v="1"/>
    <x v="485"/>
    <x v="5"/>
    <x v="2"/>
    <x v="3"/>
    <s v="Xerox 1893"/>
    <n v="286.93"/>
    <n v="7"/>
    <n v="140.6"/>
  </r>
  <r>
    <d v="2017-03-06T00:00:00"/>
    <x v="3"/>
    <x v="1"/>
    <x v="485"/>
    <x v="5"/>
    <x v="0"/>
    <x v="2"/>
    <s v="Digium D40 VoIP phone"/>
    <n v="206.38"/>
    <n v="2"/>
    <n v="23.22"/>
  </r>
  <r>
    <d v="2017-03-06T00:00:00"/>
    <x v="3"/>
    <x v="1"/>
    <x v="515"/>
    <x v="4"/>
    <x v="2"/>
    <x v="8"/>
    <s v="Avery 511"/>
    <n v="4.93"/>
    <n v="2"/>
    <n v="1.72"/>
  </r>
  <r>
    <d v="2017-03-06T00:00:00"/>
    <x v="3"/>
    <x v="1"/>
    <x v="515"/>
    <x v="4"/>
    <x v="2"/>
    <x v="11"/>
    <s v="Newell 345"/>
    <n v="63.49"/>
    <n v="4"/>
    <n v="4.76"/>
  </r>
  <r>
    <d v="2017-04-06T00:00:00"/>
    <x v="3"/>
    <x v="2"/>
    <x v="562"/>
    <x v="43"/>
    <x v="2"/>
    <x v="3"/>
    <s v="Easy-staple paper"/>
    <n v="106.32"/>
    <n v="3"/>
    <n v="49.97"/>
  </r>
  <r>
    <d v="2017-04-06T00:00:00"/>
    <x v="3"/>
    <x v="2"/>
    <x v="303"/>
    <x v="26"/>
    <x v="2"/>
    <x v="9"/>
    <s v="3M Organizer Strips"/>
    <n v="8.1"/>
    <n v="5"/>
    <n v="-5.94"/>
  </r>
  <r>
    <d v="2017-05-06T00:00:00"/>
    <x v="3"/>
    <x v="10"/>
    <x v="562"/>
    <x v="3"/>
    <x v="2"/>
    <x v="11"/>
    <s v="Blackstonian Pencils"/>
    <n v="6.41"/>
    <n v="3"/>
    <n v="0.64"/>
  </r>
  <r>
    <d v="2017-05-06T00:00:00"/>
    <x v="3"/>
    <x v="10"/>
    <x v="562"/>
    <x v="3"/>
    <x v="0"/>
    <x v="0"/>
    <s v="ImationÂ Secure+ Hardware Encrypted USB 2.0Â Flash Drive; 16GB"/>
    <n v="408.74"/>
    <n v="7"/>
    <n v="76.64"/>
  </r>
  <r>
    <d v="2017-05-06T00:00:00"/>
    <x v="3"/>
    <x v="10"/>
    <x v="617"/>
    <x v="2"/>
    <x v="2"/>
    <x v="8"/>
    <s v="Avery 505"/>
    <n v="59.2"/>
    <n v="4"/>
    <n v="29.6"/>
  </r>
  <r>
    <d v="2017-05-06T00:00:00"/>
    <x v="3"/>
    <x v="10"/>
    <x v="141"/>
    <x v="20"/>
    <x v="2"/>
    <x v="11"/>
    <s v="Dixon Ticonderoga Core-Lock Colored Pencils"/>
    <n v="54.66"/>
    <n v="6"/>
    <n v="18.04"/>
  </r>
  <r>
    <d v="2017-05-06T00:00:00"/>
    <x v="3"/>
    <x v="10"/>
    <x v="289"/>
    <x v="4"/>
    <x v="2"/>
    <x v="9"/>
    <s v="Avery Durable Poly Binders"/>
    <n v="11.06"/>
    <n v="10"/>
    <n v="-18.8"/>
  </r>
  <r>
    <d v="2017-05-06T00:00:00"/>
    <x v="3"/>
    <x v="10"/>
    <x v="289"/>
    <x v="4"/>
    <x v="1"/>
    <x v="16"/>
    <s v="Sauder Mission Library with Doors, Fruitwood Finish"/>
    <n v="623.46"/>
    <n v="7"/>
    <n v="-119.19"/>
  </r>
  <r>
    <d v="2017-05-06T00:00:00"/>
    <x v="3"/>
    <x v="10"/>
    <x v="289"/>
    <x v="4"/>
    <x v="2"/>
    <x v="6"/>
    <s v="Fellowes Staxonsteel Drawer Files"/>
    <n v="772.68"/>
    <n v="5"/>
    <n v="-57.95"/>
  </r>
  <r>
    <d v="2017-05-06T00:00:00"/>
    <x v="3"/>
    <x v="10"/>
    <x v="123"/>
    <x v="12"/>
    <x v="2"/>
    <x v="9"/>
    <s v="Wilson Jones Century Plastic Molded Ring Binders"/>
    <n v="68.540000000000006"/>
    <n v="11"/>
    <n v="-52.55"/>
  </r>
  <r>
    <d v="2017-05-06T00:00:00"/>
    <x v="3"/>
    <x v="10"/>
    <x v="123"/>
    <x v="12"/>
    <x v="0"/>
    <x v="2"/>
    <s v="GE 30524EE4"/>
    <n v="627.16999999999996"/>
    <n v="4"/>
    <n v="70.56"/>
  </r>
  <r>
    <d v="2017-05-06T00:00:00"/>
    <x v="3"/>
    <x v="10"/>
    <x v="123"/>
    <x v="12"/>
    <x v="2"/>
    <x v="8"/>
    <s v="Avery 4027 File Folder Labels for Dot Matrix Printers, 5000 Labels per Box, White"/>
    <n v="122.12"/>
    <n v="5"/>
    <n v="39.69"/>
  </r>
  <r>
    <d v="2017-05-06T00:00:00"/>
    <x v="3"/>
    <x v="10"/>
    <x v="412"/>
    <x v="5"/>
    <x v="2"/>
    <x v="10"/>
    <s v="Eureka The Boss Cordless Rechargeable Stick Vac"/>
    <n v="152.94"/>
    <n v="3"/>
    <n v="41.29"/>
  </r>
  <r>
    <d v="2017-05-06T00:00:00"/>
    <x v="3"/>
    <x v="10"/>
    <x v="324"/>
    <x v="23"/>
    <x v="2"/>
    <x v="3"/>
    <s v="Xerox 1883"/>
    <n v="84.42"/>
    <n v="4"/>
    <n v="27.44"/>
  </r>
  <r>
    <d v="2017-05-06T00:00:00"/>
    <x v="3"/>
    <x v="10"/>
    <x v="330"/>
    <x v="3"/>
    <x v="0"/>
    <x v="0"/>
    <s v="Kensington Orbit Wireless Mobile Trackball for PC and Mac"/>
    <n v="191.97"/>
    <n v="4"/>
    <n v="28.8"/>
  </r>
  <r>
    <d v="2017-06-06T00:00:00"/>
    <x v="3"/>
    <x v="3"/>
    <x v="83"/>
    <x v="5"/>
    <x v="1"/>
    <x v="5"/>
    <s v="Eldon 300 Class Desk Accessories, Black"/>
    <n v="4.95"/>
    <n v="1"/>
    <n v="2.1800000000000002"/>
  </r>
  <r>
    <d v="2017-06-06T00:00:00"/>
    <x v="3"/>
    <x v="3"/>
    <x v="83"/>
    <x v="5"/>
    <x v="2"/>
    <x v="6"/>
    <s v="Sterilite Show Offs Storage Containers"/>
    <n v="26.4"/>
    <n v="5"/>
    <n v="0"/>
  </r>
  <r>
    <d v="2017-07-06T00:00:00"/>
    <x v="3"/>
    <x v="4"/>
    <x v="372"/>
    <x v="13"/>
    <x v="2"/>
    <x v="9"/>
    <s v="Pressboard Covers with Storage Hooks, 9 1/2&quot; x 11&quot;, Light Blue"/>
    <n v="2.95"/>
    <n v="2"/>
    <n v="-2.2599999999999998"/>
  </r>
  <r>
    <d v="2017-07-06T00:00:00"/>
    <x v="3"/>
    <x v="4"/>
    <x v="372"/>
    <x v="13"/>
    <x v="2"/>
    <x v="3"/>
    <s v="Wirebound Message Books, 5-1/2 x 4 Forms, 2 or 4 Forms per Page"/>
    <n v="16.059999999999999"/>
    <n v="3"/>
    <n v="5.82"/>
  </r>
  <r>
    <d v="2017-07-06T00:00:00"/>
    <x v="3"/>
    <x v="4"/>
    <x v="703"/>
    <x v="11"/>
    <x v="1"/>
    <x v="1"/>
    <s v="Global Comet Stacking Armless Chair"/>
    <n v="239.24"/>
    <n v="1"/>
    <n v="23.92"/>
  </r>
  <r>
    <d v="2017-07-06T00:00:00"/>
    <x v="3"/>
    <x v="4"/>
    <x v="58"/>
    <x v="5"/>
    <x v="1"/>
    <x v="1"/>
    <s v="Global Task Chair, Black"/>
    <n v="122.14"/>
    <n v="3"/>
    <n v="-13.74"/>
  </r>
  <r>
    <d v="2017-08-06T00:00:00"/>
    <x v="3"/>
    <x v="5"/>
    <x v="265"/>
    <x v="30"/>
    <x v="1"/>
    <x v="16"/>
    <s v="O'Sullivan 2-Shelf Heavy-Duty Bookcases"/>
    <n v="145.74"/>
    <n v="3"/>
    <n v="23.32"/>
  </r>
  <r>
    <d v="2017-08-06T00:00:00"/>
    <x v="3"/>
    <x v="5"/>
    <x v="265"/>
    <x v="30"/>
    <x v="1"/>
    <x v="5"/>
    <s v="Longer-Life Soft White Bulbs"/>
    <n v="15.4"/>
    <n v="5"/>
    <n v="7.39"/>
  </r>
  <r>
    <d v="2017-08-06T00:00:00"/>
    <x v="3"/>
    <x v="5"/>
    <x v="704"/>
    <x v="4"/>
    <x v="2"/>
    <x v="3"/>
    <s v="14-7/8 x 11 Blue Bar Computer Printout Paper"/>
    <n v="115.3"/>
    <n v="3"/>
    <n v="40.35"/>
  </r>
  <r>
    <d v="2017-08-06T00:00:00"/>
    <x v="3"/>
    <x v="5"/>
    <x v="273"/>
    <x v="41"/>
    <x v="0"/>
    <x v="2"/>
    <s v="Ativa D5772 2-Line 5.8GHz Digital Expandable Corded/Cordless Phone System with Answering &amp; Caller ID/Call Waiting, Black/Silver"/>
    <n v="824.95"/>
    <n v="5"/>
    <n v="247.49"/>
  </r>
  <r>
    <d v="2017-08-06T00:00:00"/>
    <x v="3"/>
    <x v="5"/>
    <x v="273"/>
    <x v="41"/>
    <x v="2"/>
    <x v="8"/>
    <s v="Avery 481"/>
    <n v="24.64"/>
    <n v="8"/>
    <n v="11.83"/>
  </r>
  <r>
    <d v="2017-08-06T00:00:00"/>
    <x v="3"/>
    <x v="5"/>
    <x v="273"/>
    <x v="41"/>
    <x v="2"/>
    <x v="11"/>
    <s v="Hunt PowerHouse Electric Pencil Sharpener, Blue"/>
    <n v="227.88"/>
    <n v="6"/>
    <n v="68.36"/>
  </r>
  <r>
    <d v="2017-08-06T00:00:00"/>
    <x v="3"/>
    <x v="5"/>
    <x v="61"/>
    <x v="2"/>
    <x v="2"/>
    <x v="15"/>
    <s v="Acme 10&quot; Easy Grip Assistive Scissors"/>
    <n v="70.12"/>
    <n v="4"/>
    <n v="21.04"/>
  </r>
  <r>
    <d v="2017-10-06T00:00:00"/>
    <x v="3"/>
    <x v="7"/>
    <x v="48"/>
    <x v="36"/>
    <x v="1"/>
    <x v="5"/>
    <s v="36X48 HARDFLOOR CHAIRMAT"/>
    <n v="41.96"/>
    <n v="2"/>
    <n v="2.94"/>
  </r>
  <r>
    <d v="2017-10-06T00:00:00"/>
    <x v="3"/>
    <x v="7"/>
    <x v="48"/>
    <x v="36"/>
    <x v="2"/>
    <x v="10"/>
    <s v="Conquest 14 Commercial Heavy-Duty Upright Vacuum, Collection System, Accessory Kit"/>
    <n v="227.84"/>
    <n v="4"/>
    <n v="66.069999999999993"/>
  </r>
  <r>
    <d v="2017-10-06T00:00:00"/>
    <x v="3"/>
    <x v="7"/>
    <x v="48"/>
    <x v="36"/>
    <x v="2"/>
    <x v="3"/>
    <s v="Computer Printout Paper with Letter-Trim Perforations"/>
    <n v="37.94"/>
    <n v="2"/>
    <n v="18.21"/>
  </r>
  <r>
    <d v="2017-10-06T00:00:00"/>
    <x v="3"/>
    <x v="7"/>
    <x v="705"/>
    <x v="2"/>
    <x v="0"/>
    <x v="0"/>
    <s v="Logitech G430 Surround Sound Gaming Headset with Dolby 7.1 Technology"/>
    <n v="319.95999999999998"/>
    <n v="4"/>
    <n v="115.19"/>
  </r>
  <r>
    <d v="2017-10-06T00:00:00"/>
    <x v="3"/>
    <x v="7"/>
    <x v="705"/>
    <x v="2"/>
    <x v="2"/>
    <x v="3"/>
    <s v="Adams Telephone Message Book W/Dividers/Space For Phone Numbers, 5 1/4&quot;X8 1/2&quot;, 200/Messages"/>
    <n v="17.04"/>
    <n v="3"/>
    <n v="7.67"/>
  </r>
  <r>
    <d v="2017-10-06T00:00:00"/>
    <x v="3"/>
    <x v="7"/>
    <x v="705"/>
    <x v="2"/>
    <x v="2"/>
    <x v="6"/>
    <s v="Space Solutions HD Industrial Steel Shelving."/>
    <n v="344.91"/>
    <n v="3"/>
    <n v="10.35"/>
  </r>
  <r>
    <d v="2017-10-06T00:00:00"/>
    <x v="3"/>
    <x v="7"/>
    <x v="706"/>
    <x v="2"/>
    <x v="2"/>
    <x v="3"/>
    <s v="Xerox 1893"/>
    <n v="40.99"/>
    <n v="1"/>
    <n v="20.09"/>
  </r>
  <r>
    <d v="2017-10-06T00:00:00"/>
    <x v="3"/>
    <x v="7"/>
    <x v="175"/>
    <x v="8"/>
    <x v="2"/>
    <x v="3"/>
    <s v="Xerox 1886"/>
    <n v="143.69999999999999"/>
    <n v="3"/>
    <n v="68.98"/>
  </r>
  <r>
    <d v="2017-10-06T00:00:00"/>
    <x v="3"/>
    <x v="7"/>
    <x v="175"/>
    <x v="8"/>
    <x v="2"/>
    <x v="3"/>
    <s v="Xerox 217"/>
    <n v="6.48"/>
    <n v="1"/>
    <n v="3.11"/>
  </r>
  <r>
    <d v="2017-10-06T00:00:00"/>
    <x v="3"/>
    <x v="7"/>
    <x v="282"/>
    <x v="3"/>
    <x v="2"/>
    <x v="6"/>
    <s v="Adjustable Depth Letter/Legal Cart"/>
    <n v="290.33999999999997"/>
    <n v="2"/>
    <n v="32.659999999999997"/>
  </r>
  <r>
    <d v="2017-10-06T00:00:00"/>
    <x v="3"/>
    <x v="7"/>
    <x v="282"/>
    <x v="3"/>
    <x v="2"/>
    <x v="11"/>
    <s v="Staples in misc. colors"/>
    <n v="19.149999999999999"/>
    <n v="2"/>
    <n v="1.2"/>
  </r>
  <r>
    <d v="2017-10-06T00:00:00"/>
    <x v="3"/>
    <x v="7"/>
    <x v="71"/>
    <x v="23"/>
    <x v="2"/>
    <x v="11"/>
    <s v="Avery Hi-Liter Smear-Safe Highlighters"/>
    <n v="9.34"/>
    <n v="2"/>
    <n v="1.87"/>
  </r>
  <r>
    <d v="2017-11-06T00:00:00"/>
    <x v="3"/>
    <x v="8"/>
    <x v="707"/>
    <x v="16"/>
    <x v="2"/>
    <x v="9"/>
    <s v="Flexible Leather- Look Classic Collection Ring Binder"/>
    <n v="5.68"/>
    <n v="1"/>
    <n v="-3.79"/>
  </r>
  <r>
    <d v="2017-11-06T00:00:00"/>
    <x v="3"/>
    <x v="8"/>
    <x v="188"/>
    <x v="8"/>
    <x v="2"/>
    <x v="6"/>
    <s v="Decoflex Hanging Personal Folder File"/>
    <n v="46.26"/>
    <n v="3"/>
    <n v="12.03"/>
  </r>
  <r>
    <d v="2017-11-06T00:00:00"/>
    <x v="3"/>
    <x v="8"/>
    <x v="708"/>
    <x v="17"/>
    <x v="2"/>
    <x v="3"/>
    <s v="Xerox 1987"/>
    <n v="5.78"/>
    <n v="1"/>
    <n v="2.83"/>
  </r>
  <r>
    <d v="2017-11-06T00:00:00"/>
    <x v="3"/>
    <x v="8"/>
    <x v="604"/>
    <x v="5"/>
    <x v="2"/>
    <x v="13"/>
    <s v="#10- 4 1/8&quot; x 9 1/2&quot; Security-Tint Envelopes"/>
    <n v="15.28"/>
    <n v="2"/>
    <n v="7.49"/>
  </r>
  <r>
    <d v="2017-11-06T00:00:00"/>
    <x v="3"/>
    <x v="8"/>
    <x v="604"/>
    <x v="5"/>
    <x v="1"/>
    <x v="5"/>
    <s v="Dax Clear Box Frame"/>
    <n v="8.73"/>
    <n v="1"/>
    <n v="2.97"/>
  </r>
  <r>
    <d v="2017-11-06T00:00:00"/>
    <x v="3"/>
    <x v="8"/>
    <x v="604"/>
    <x v="5"/>
    <x v="2"/>
    <x v="11"/>
    <s v="SANFORD Liquid Accent Tank-Style Highlighters"/>
    <n v="5.68"/>
    <n v="2"/>
    <n v="1.76"/>
  </r>
  <r>
    <d v="2017-11-06T00:00:00"/>
    <x v="3"/>
    <x v="8"/>
    <x v="286"/>
    <x v="12"/>
    <x v="2"/>
    <x v="10"/>
    <s v="1.7 Cubic Foot Compact &quot;Cube&quot; Office Refrigerators"/>
    <n v="499.58"/>
    <n v="3"/>
    <n v="43.71"/>
  </r>
  <r>
    <d v="2017-11-06T00:00:00"/>
    <x v="3"/>
    <x v="8"/>
    <x v="286"/>
    <x v="12"/>
    <x v="2"/>
    <x v="3"/>
    <s v="Xerox 220"/>
    <n v="31.1"/>
    <n v="6"/>
    <n v="10.89"/>
  </r>
  <r>
    <d v="2017-11-06T00:00:00"/>
    <x v="3"/>
    <x v="8"/>
    <x v="286"/>
    <x v="12"/>
    <x v="2"/>
    <x v="9"/>
    <s v="Avery Durable Poly Binders"/>
    <n v="13.27"/>
    <n v="8"/>
    <n v="-10.62"/>
  </r>
  <r>
    <d v="2017-11-06T00:00:00"/>
    <x v="3"/>
    <x v="8"/>
    <x v="286"/>
    <x v="12"/>
    <x v="1"/>
    <x v="5"/>
    <s v="Executive Impressions 12&quot; Wall Clock"/>
    <n v="28.27"/>
    <n v="2"/>
    <n v="6.36"/>
  </r>
  <r>
    <d v="2017-11-06T00:00:00"/>
    <x v="3"/>
    <x v="8"/>
    <x v="286"/>
    <x v="12"/>
    <x v="2"/>
    <x v="6"/>
    <s v="Carina Double Wide Media Storage Towers in Natural &amp; Black"/>
    <n v="259.14"/>
    <n v="4"/>
    <n v="-51.83"/>
  </r>
  <r>
    <d v="2017-11-06T00:00:00"/>
    <x v="3"/>
    <x v="8"/>
    <x v="418"/>
    <x v="7"/>
    <x v="2"/>
    <x v="11"/>
    <s v="Newell 339"/>
    <n v="13.9"/>
    <n v="5"/>
    <n v="3.61"/>
  </r>
  <r>
    <d v="2017-11-06T00:00:00"/>
    <x v="3"/>
    <x v="8"/>
    <x v="418"/>
    <x v="7"/>
    <x v="2"/>
    <x v="3"/>
    <s v="Easy-staple paper"/>
    <n v="26.38"/>
    <n v="1"/>
    <n v="12.13"/>
  </r>
  <r>
    <d v="2017-11-06T00:00:00"/>
    <x v="3"/>
    <x v="8"/>
    <x v="709"/>
    <x v="13"/>
    <x v="1"/>
    <x v="1"/>
    <s v="Global Wood Trimmed Manager's Task Chair, Khaki"/>
    <n v="127.37"/>
    <n v="2"/>
    <n v="-30.93"/>
  </r>
  <r>
    <d v="2017-11-06T00:00:00"/>
    <x v="3"/>
    <x v="8"/>
    <x v="709"/>
    <x v="13"/>
    <x v="2"/>
    <x v="3"/>
    <s v="Xerox 191"/>
    <n v="47.95"/>
    <n v="3"/>
    <n v="16.18"/>
  </r>
  <r>
    <d v="2017-11-06T00:00:00"/>
    <x v="3"/>
    <x v="8"/>
    <x v="430"/>
    <x v="5"/>
    <x v="2"/>
    <x v="3"/>
    <s v="Xerox 191"/>
    <n v="59.94"/>
    <n v="3"/>
    <n v="28.17"/>
  </r>
  <r>
    <d v="2017-11-06T00:00:00"/>
    <x v="3"/>
    <x v="8"/>
    <x v="430"/>
    <x v="5"/>
    <x v="2"/>
    <x v="3"/>
    <s v="Easy-staple paper"/>
    <n v="45.36"/>
    <n v="4"/>
    <n v="22.23"/>
  </r>
  <r>
    <d v="2017-11-06T00:00:00"/>
    <x v="3"/>
    <x v="8"/>
    <x v="430"/>
    <x v="5"/>
    <x v="2"/>
    <x v="3"/>
    <s v="Astroparche Fine Business Paper"/>
    <n v="26.4"/>
    <n v="5"/>
    <n v="12.67"/>
  </r>
  <r>
    <d v="2017-11-06T00:00:00"/>
    <x v="3"/>
    <x v="8"/>
    <x v="430"/>
    <x v="5"/>
    <x v="2"/>
    <x v="8"/>
    <s v="Avery 503"/>
    <n v="41.4"/>
    <n v="4"/>
    <n v="19.87"/>
  </r>
  <r>
    <d v="2017-11-06T00:00:00"/>
    <x v="3"/>
    <x v="8"/>
    <x v="430"/>
    <x v="5"/>
    <x v="0"/>
    <x v="0"/>
    <s v="Kingston Digital DataTraveler 32GB USB 2.0"/>
    <n v="16.95"/>
    <n v="1"/>
    <n v="1.02"/>
  </r>
  <r>
    <d v="2017-11-06T00:00:00"/>
    <x v="3"/>
    <x v="8"/>
    <x v="710"/>
    <x v="2"/>
    <x v="2"/>
    <x v="3"/>
    <s v="Xerox 1906"/>
    <n v="318.95999999999998"/>
    <n v="9"/>
    <n v="149.91"/>
  </r>
  <r>
    <d v="2017-11-06T00:00:00"/>
    <x v="3"/>
    <x v="8"/>
    <x v="522"/>
    <x v="1"/>
    <x v="1"/>
    <x v="7"/>
    <s v="Hon 5100 Series Wood Tables"/>
    <n v="2036.86"/>
    <n v="7"/>
    <n v="366.63"/>
  </r>
  <r>
    <d v="2017-11-06T00:00:00"/>
    <x v="3"/>
    <x v="8"/>
    <x v="522"/>
    <x v="1"/>
    <x v="1"/>
    <x v="1"/>
    <s v="Hon 2090 Â“Pillow SoftÂ” Series Mid Back Swivel/Tilt Chairs"/>
    <n v="449.57"/>
    <n v="2"/>
    <n v="-73.05"/>
  </r>
  <r>
    <d v="2017-11-06T00:00:00"/>
    <x v="3"/>
    <x v="8"/>
    <x v="522"/>
    <x v="1"/>
    <x v="0"/>
    <x v="0"/>
    <s v="SanDisk Cruzer 64 GB USB Flash Drive"/>
    <n v="108.96"/>
    <n v="3"/>
    <n v="32.69"/>
  </r>
  <r>
    <d v="2017-11-06T00:00:00"/>
    <x v="3"/>
    <x v="8"/>
    <x v="59"/>
    <x v="4"/>
    <x v="1"/>
    <x v="5"/>
    <s v="Linden 10&quot; Round Wall Clock, Black"/>
    <n v="30.56"/>
    <n v="5"/>
    <n v="-19.86"/>
  </r>
  <r>
    <d v="2017-11-06T00:00:00"/>
    <x v="3"/>
    <x v="8"/>
    <x v="596"/>
    <x v="4"/>
    <x v="2"/>
    <x v="9"/>
    <s v="Zipper Ring Binder Pockets"/>
    <n v="1.25"/>
    <n v="2"/>
    <n v="-1.93"/>
  </r>
  <r>
    <d v="2017-11-06T00:00:00"/>
    <x v="3"/>
    <x v="8"/>
    <x v="711"/>
    <x v="4"/>
    <x v="2"/>
    <x v="6"/>
    <s v="SimpliFile Personal File, Black Granite, 15w x 6-15/16d x 11-1/4h"/>
    <n v="18.16"/>
    <n v="2"/>
    <n v="1.82"/>
  </r>
  <r>
    <d v="2017-12-06T00:00:00"/>
    <x v="3"/>
    <x v="9"/>
    <x v="307"/>
    <x v="5"/>
    <x v="2"/>
    <x v="6"/>
    <s v="Staple magnet"/>
    <n v="10.68"/>
    <n v="1"/>
    <n v="2.88"/>
  </r>
  <r>
    <d v="2017-01-07T00:00:00"/>
    <x v="3"/>
    <x v="11"/>
    <x v="610"/>
    <x v="10"/>
    <x v="0"/>
    <x v="14"/>
    <s v="Lexmark MX611dhe Monochrome Laser Printer"/>
    <n v="3059.98"/>
    <n v="2"/>
    <n v="680"/>
  </r>
  <r>
    <d v="2017-01-07T00:00:00"/>
    <x v="3"/>
    <x v="11"/>
    <x v="712"/>
    <x v="11"/>
    <x v="2"/>
    <x v="9"/>
    <s v="Zipper Ring Binder Pockets"/>
    <n v="2.81"/>
    <n v="3"/>
    <n v="-1.97"/>
  </r>
  <r>
    <d v="2017-01-07T00:00:00"/>
    <x v="3"/>
    <x v="11"/>
    <x v="541"/>
    <x v="5"/>
    <x v="2"/>
    <x v="6"/>
    <s v="Eldon Fold 'N Roll Cart System"/>
    <n v="153.78"/>
    <n v="11"/>
    <n v="44.6"/>
  </r>
  <r>
    <d v="2017-01-07T00:00:00"/>
    <x v="3"/>
    <x v="11"/>
    <x v="541"/>
    <x v="5"/>
    <x v="2"/>
    <x v="6"/>
    <s v="Tennsco Commercial Shelving"/>
    <n v="61.02"/>
    <n v="3"/>
    <n v="0.61"/>
  </r>
  <r>
    <d v="2017-01-07T00:00:00"/>
    <x v="3"/>
    <x v="11"/>
    <x v="541"/>
    <x v="5"/>
    <x v="2"/>
    <x v="15"/>
    <s v="Acme Galleria Hot Forged Steel Scissors with Colored Handles"/>
    <n v="110.11"/>
    <n v="7"/>
    <n v="31.93"/>
  </r>
  <r>
    <d v="2017-01-07T00:00:00"/>
    <x v="3"/>
    <x v="11"/>
    <x v="541"/>
    <x v="5"/>
    <x v="2"/>
    <x v="4"/>
    <s v="Staples"/>
    <n v="7.89"/>
    <n v="1"/>
    <n v="3.55"/>
  </r>
  <r>
    <d v="2017-03-07T00:00:00"/>
    <x v="3"/>
    <x v="1"/>
    <x v="558"/>
    <x v="24"/>
    <x v="0"/>
    <x v="0"/>
    <s v="Logitech Desktop MK120 Mouse and keyboard Combo"/>
    <n v="49.08"/>
    <n v="3"/>
    <n v="4.91"/>
  </r>
  <r>
    <d v="2017-03-07T00:00:00"/>
    <x v="3"/>
    <x v="1"/>
    <x v="61"/>
    <x v="2"/>
    <x v="2"/>
    <x v="9"/>
    <s v="3M Organizer Strips"/>
    <n v="25.92"/>
    <n v="6"/>
    <n v="9.07"/>
  </r>
  <r>
    <d v="2017-03-07T00:00:00"/>
    <x v="3"/>
    <x v="1"/>
    <x v="61"/>
    <x v="2"/>
    <x v="2"/>
    <x v="8"/>
    <s v="Avery 4027 File Folder Labels for Dot Matrix Printers, 5000 Labels per Box, White"/>
    <n v="91.59"/>
    <n v="3"/>
    <n v="42.13"/>
  </r>
  <r>
    <d v="2017-04-07T00:00:00"/>
    <x v="3"/>
    <x v="2"/>
    <x v="351"/>
    <x v="11"/>
    <x v="1"/>
    <x v="7"/>
    <s v="Bush Advantage Collection Round Conference Table"/>
    <n v="233.86"/>
    <n v="2"/>
    <n v="-102.05"/>
  </r>
  <r>
    <d v="2017-04-07T00:00:00"/>
    <x v="3"/>
    <x v="2"/>
    <x v="351"/>
    <x v="11"/>
    <x v="1"/>
    <x v="7"/>
    <s v="Bretford Rectangular Conference Table Tops"/>
    <n v="620.61"/>
    <n v="3"/>
    <n v="-248.25"/>
  </r>
  <r>
    <d v="2017-04-07T00:00:00"/>
    <x v="3"/>
    <x v="2"/>
    <x v="351"/>
    <x v="11"/>
    <x v="2"/>
    <x v="9"/>
    <s v="GBC Instant Index System for Binding Systems"/>
    <n v="5.33"/>
    <n v="2"/>
    <n v="-3.55"/>
  </r>
  <r>
    <d v="2017-04-07T00:00:00"/>
    <x v="3"/>
    <x v="2"/>
    <x v="351"/>
    <x v="11"/>
    <x v="1"/>
    <x v="5"/>
    <s v="Tenex Contemporary Contur Chairmats for Low and Medium Pile Carpet, Computer, 39&quot; x 49&quot;"/>
    <n v="258.07"/>
    <n v="3"/>
    <n v="0"/>
  </r>
  <r>
    <d v="2017-04-07T00:00:00"/>
    <x v="3"/>
    <x v="2"/>
    <x v="351"/>
    <x v="11"/>
    <x v="0"/>
    <x v="0"/>
    <s v="LogitechÂ P710e Mobile Speakerphone"/>
    <n v="617.98"/>
    <n v="3"/>
    <n v="-7.72"/>
  </r>
  <r>
    <d v="2017-04-07T00:00:00"/>
    <x v="3"/>
    <x v="2"/>
    <x v="2"/>
    <x v="11"/>
    <x v="2"/>
    <x v="11"/>
    <s v="50 Colored Long Pencils"/>
    <n v="16.260000000000002"/>
    <n v="2"/>
    <n v="1.22"/>
  </r>
  <r>
    <d v="2017-04-07T00:00:00"/>
    <x v="3"/>
    <x v="2"/>
    <x v="2"/>
    <x v="11"/>
    <x v="0"/>
    <x v="2"/>
    <s v="AT&amp;T 1080 Corded phone"/>
    <n v="219.18"/>
    <n v="2"/>
    <n v="19.18"/>
  </r>
  <r>
    <d v="2017-05-07T00:00:00"/>
    <x v="3"/>
    <x v="10"/>
    <x v="363"/>
    <x v="10"/>
    <x v="1"/>
    <x v="1"/>
    <s v="Hon 4070 Series Pagoda Armless Upholstered Stacking Chairs"/>
    <n v="1458.65"/>
    <n v="5"/>
    <n v="423.01"/>
  </r>
  <r>
    <d v="2017-05-07T00:00:00"/>
    <x v="3"/>
    <x v="10"/>
    <x v="363"/>
    <x v="10"/>
    <x v="1"/>
    <x v="1"/>
    <s v="SAFCO Optional Arm Kit for Workspace Cribbage Stacking Chair"/>
    <n v="26.64"/>
    <n v="1"/>
    <n v="7.46"/>
  </r>
  <r>
    <d v="2017-05-07T00:00:00"/>
    <x v="3"/>
    <x v="10"/>
    <x v="363"/>
    <x v="10"/>
    <x v="1"/>
    <x v="1"/>
    <s v="Safco Contoured Stacking Chairs"/>
    <n v="476.8"/>
    <n v="2"/>
    <n v="119.2"/>
  </r>
  <r>
    <d v="2017-05-07T00:00:00"/>
    <x v="3"/>
    <x v="10"/>
    <x v="363"/>
    <x v="10"/>
    <x v="2"/>
    <x v="10"/>
    <s v="Belkin Premiere Surge Master II 8-outlet surge protector"/>
    <n v="87.44"/>
    <n v="2"/>
    <n v="18.46"/>
  </r>
  <r>
    <d v="2017-05-07T00:00:00"/>
    <x v="3"/>
    <x v="10"/>
    <x v="522"/>
    <x v="5"/>
    <x v="0"/>
    <x v="0"/>
    <s v="Logitech G600 MMO Gaming Mouse"/>
    <n v="79.989999999999995"/>
    <n v="1"/>
    <n v="28.8"/>
  </r>
  <r>
    <d v="2017-05-07T00:00:00"/>
    <x v="3"/>
    <x v="10"/>
    <x v="208"/>
    <x v="5"/>
    <x v="0"/>
    <x v="2"/>
    <s v="Blue Parrot B250XT Professional Grade Wireless BluetoothÂ HeadsetÂ with"/>
    <n v="419.94"/>
    <n v="7"/>
    <n v="52.49"/>
  </r>
  <r>
    <d v="2017-07-07T00:00:00"/>
    <x v="3"/>
    <x v="4"/>
    <x v="384"/>
    <x v="2"/>
    <x v="2"/>
    <x v="9"/>
    <s v="Wilson Jones Active Use Binders"/>
    <n v="17.47"/>
    <n v="3"/>
    <n v="6.33"/>
  </r>
  <r>
    <d v="2017-07-07T00:00:00"/>
    <x v="3"/>
    <x v="4"/>
    <x v="353"/>
    <x v="40"/>
    <x v="0"/>
    <x v="0"/>
    <s v="Hypercom P1300 Pinpad"/>
    <n v="252"/>
    <n v="4"/>
    <n v="93.24"/>
  </r>
  <r>
    <d v="2017-07-07T00:00:00"/>
    <x v="3"/>
    <x v="4"/>
    <x v="154"/>
    <x v="13"/>
    <x v="1"/>
    <x v="16"/>
    <s v="O'Sullivan 3-Shelf Heavy-Duty Bookcases"/>
    <n v="87.21"/>
    <n v="3"/>
    <n v="-45.35"/>
  </r>
  <r>
    <d v="2017-07-07T00:00:00"/>
    <x v="3"/>
    <x v="4"/>
    <x v="154"/>
    <x v="13"/>
    <x v="2"/>
    <x v="3"/>
    <s v="Xerox 216"/>
    <n v="15.55"/>
    <n v="3"/>
    <n v="5.44"/>
  </r>
  <r>
    <d v="2017-07-07T00:00:00"/>
    <x v="3"/>
    <x v="4"/>
    <x v="154"/>
    <x v="13"/>
    <x v="0"/>
    <x v="2"/>
    <s v="Apple iPhone 5S"/>
    <n v="683.99"/>
    <n v="2"/>
    <n v="-114"/>
  </r>
  <r>
    <d v="2017-07-07T00:00:00"/>
    <x v="3"/>
    <x v="4"/>
    <x v="154"/>
    <x v="13"/>
    <x v="2"/>
    <x v="6"/>
    <s v="Plastic Stacking Crates &amp; Casters"/>
    <n v="13.39"/>
    <n v="3"/>
    <n v="1"/>
  </r>
  <r>
    <d v="2017-07-07T00:00:00"/>
    <x v="3"/>
    <x v="4"/>
    <x v="154"/>
    <x v="13"/>
    <x v="0"/>
    <x v="0"/>
    <s v="AmazonBasics 3-Button USB Wired Mouse"/>
    <n v="16.78"/>
    <n v="3"/>
    <n v="4.82"/>
  </r>
  <r>
    <d v="2017-07-07T00:00:00"/>
    <x v="3"/>
    <x v="4"/>
    <x v="154"/>
    <x v="13"/>
    <x v="0"/>
    <x v="0"/>
    <s v="Plantronics CS510 - Over-the-Head monaural Wireless Headset System"/>
    <n v="527.91999999999996"/>
    <n v="2"/>
    <n v="85.79"/>
  </r>
  <r>
    <d v="2017-07-07T00:00:00"/>
    <x v="3"/>
    <x v="4"/>
    <x v="93"/>
    <x v="5"/>
    <x v="2"/>
    <x v="4"/>
    <s v="Brites Rubber Bands, 1 1/2 oz. Box"/>
    <n v="5.94"/>
    <n v="3"/>
    <n v="0.12"/>
  </r>
  <r>
    <d v="2017-08-07T00:00:00"/>
    <x v="3"/>
    <x v="5"/>
    <x v="470"/>
    <x v="12"/>
    <x v="0"/>
    <x v="0"/>
    <s v="Logitech G700s Rechargeable Gaming Mouse"/>
    <n v="79.989999999999995"/>
    <n v="1"/>
    <n v="22"/>
  </r>
  <r>
    <d v="2017-08-07T00:00:00"/>
    <x v="3"/>
    <x v="5"/>
    <x v="713"/>
    <x v="2"/>
    <x v="2"/>
    <x v="11"/>
    <s v="Quartet Omega Colored Chalk, 12/Pack"/>
    <n v="11.68"/>
    <n v="2"/>
    <n v="5.49"/>
  </r>
  <r>
    <d v="2017-08-07T00:00:00"/>
    <x v="3"/>
    <x v="5"/>
    <x v="713"/>
    <x v="2"/>
    <x v="2"/>
    <x v="11"/>
    <s v="Staples in misc. colors"/>
    <n v="104.8"/>
    <n v="10"/>
    <n v="26.2"/>
  </r>
  <r>
    <d v="2017-08-07T00:00:00"/>
    <x v="3"/>
    <x v="5"/>
    <x v="271"/>
    <x v="5"/>
    <x v="0"/>
    <x v="2"/>
    <s v="GE DSL Phone Line Filter"/>
    <n v="159.96"/>
    <n v="5"/>
    <n v="18"/>
  </r>
  <r>
    <d v="2017-08-07T00:00:00"/>
    <x v="3"/>
    <x v="5"/>
    <x v="271"/>
    <x v="5"/>
    <x v="2"/>
    <x v="9"/>
    <s v="Avery Printable Repositionable Plastic Tabs"/>
    <n v="13.76"/>
    <n v="2"/>
    <n v="4.6399999999999997"/>
  </r>
  <r>
    <d v="2017-08-07T00:00:00"/>
    <x v="3"/>
    <x v="5"/>
    <x v="532"/>
    <x v="7"/>
    <x v="0"/>
    <x v="0"/>
    <s v="Memorex Micro Travel Drive 16 GB"/>
    <n v="63.96"/>
    <n v="4"/>
    <n v="19.829999999999998"/>
  </r>
  <r>
    <d v="2017-08-07T00:00:00"/>
    <x v="3"/>
    <x v="5"/>
    <x v="66"/>
    <x v="5"/>
    <x v="2"/>
    <x v="3"/>
    <s v="Xerox 1891"/>
    <n v="244.55"/>
    <n v="5"/>
    <n v="114.94"/>
  </r>
  <r>
    <d v="2017-08-07T00:00:00"/>
    <x v="3"/>
    <x v="5"/>
    <x v="268"/>
    <x v="4"/>
    <x v="0"/>
    <x v="0"/>
    <s v="Logitech K350 2.4Ghz Wireless Keyboard"/>
    <n v="119.45"/>
    <n v="3"/>
    <n v="-13.44"/>
  </r>
  <r>
    <d v="2017-08-07T00:00:00"/>
    <x v="3"/>
    <x v="5"/>
    <x v="268"/>
    <x v="4"/>
    <x v="2"/>
    <x v="6"/>
    <s v="Safco Industrial Shelving"/>
    <n v="118.16"/>
    <n v="2"/>
    <n v="-25.11"/>
  </r>
  <r>
    <d v="2017-08-07T00:00:00"/>
    <x v="3"/>
    <x v="5"/>
    <x v="606"/>
    <x v="5"/>
    <x v="0"/>
    <x v="2"/>
    <s v="Polycom VoiceStation 500 ConferenceÂ phone"/>
    <n v="707.88"/>
    <n v="3"/>
    <n v="44.24"/>
  </r>
  <r>
    <d v="2017-08-07T00:00:00"/>
    <x v="3"/>
    <x v="5"/>
    <x v="606"/>
    <x v="5"/>
    <x v="2"/>
    <x v="9"/>
    <s v="Cardinal Holdit Business Card Pockets"/>
    <n v="11.95"/>
    <n v="3"/>
    <n v="4.18"/>
  </r>
  <r>
    <d v="2017-08-07T00:00:00"/>
    <x v="3"/>
    <x v="5"/>
    <x v="606"/>
    <x v="5"/>
    <x v="2"/>
    <x v="9"/>
    <s v="Mead 1st Gear 2&quot; Zipper Binder, Asst. Colors"/>
    <n v="31.13"/>
    <n v="3"/>
    <n v="11.67"/>
  </r>
  <r>
    <d v="2017-08-07T00:00:00"/>
    <x v="3"/>
    <x v="5"/>
    <x v="606"/>
    <x v="5"/>
    <x v="0"/>
    <x v="0"/>
    <s v="Sony Micro Vault Click 4 GB USB 2.0 Flash Drive"/>
    <n v="55.76"/>
    <n v="4"/>
    <n v="7.81"/>
  </r>
  <r>
    <d v="2017-08-07T00:00:00"/>
    <x v="3"/>
    <x v="5"/>
    <x v="606"/>
    <x v="5"/>
    <x v="2"/>
    <x v="3"/>
    <s v="Xerox 1881"/>
    <n v="24.56"/>
    <n v="2"/>
    <n v="11.54"/>
  </r>
  <r>
    <d v="2017-08-07T00:00:00"/>
    <x v="3"/>
    <x v="5"/>
    <x v="606"/>
    <x v="5"/>
    <x v="1"/>
    <x v="5"/>
    <s v="Howard Miller 13-3/4&quot; Diameter Brushed Chrome Round Wall Clock"/>
    <n v="51.75"/>
    <n v="1"/>
    <n v="15.53"/>
  </r>
  <r>
    <d v="2017-08-07T00:00:00"/>
    <x v="3"/>
    <x v="5"/>
    <x v="606"/>
    <x v="5"/>
    <x v="1"/>
    <x v="1"/>
    <s v="Global Enterprise Series Seating Low-Back Swivel/Tilt Chairs"/>
    <n v="207.18"/>
    <n v="1"/>
    <n v="25.9"/>
  </r>
  <r>
    <d v="2017-08-07T00:00:00"/>
    <x v="3"/>
    <x v="5"/>
    <x v="606"/>
    <x v="5"/>
    <x v="2"/>
    <x v="10"/>
    <s v="3.6 Cubic Foot Counter Height Office Refrigerator"/>
    <n v="1473.1"/>
    <n v="5"/>
    <n v="412.47"/>
  </r>
  <r>
    <d v="2017-09-07T00:00:00"/>
    <x v="3"/>
    <x v="6"/>
    <x v="577"/>
    <x v="5"/>
    <x v="1"/>
    <x v="5"/>
    <s v="Tenex Chairmats For Use With Carpeted Floors"/>
    <n v="47.94"/>
    <n v="3"/>
    <n v="2.4"/>
  </r>
  <r>
    <d v="2017-09-07T00:00:00"/>
    <x v="3"/>
    <x v="6"/>
    <x v="128"/>
    <x v="16"/>
    <x v="2"/>
    <x v="6"/>
    <s v="Hanging Personal Folder File"/>
    <n v="37.68"/>
    <n v="3"/>
    <n v="2.36"/>
  </r>
  <r>
    <d v="2017-09-07T00:00:00"/>
    <x v="3"/>
    <x v="6"/>
    <x v="128"/>
    <x v="16"/>
    <x v="0"/>
    <x v="0"/>
    <s v="Logitech Wireless Marathon Mouse M705"/>
    <n v="279.94"/>
    <n v="7"/>
    <n v="80.48"/>
  </r>
  <r>
    <d v="2017-09-07T00:00:00"/>
    <x v="3"/>
    <x v="6"/>
    <x v="221"/>
    <x v="2"/>
    <x v="2"/>
    <x v="6"/>
    <s v="Advantus 10-Drawer Portable Organizer, Chrome Metal Frame, Smoke Drawers"/>
    <n v="478.08"/>
    <n v="8"/>
    <n v="133.86000000000001"/>
  </r>
  <r>
    <d v="2017-09-07T00:00:00"/>
    <x v="3"/>
    <x v="6"/>
    <x v="247"/>
    <x v="3"/>
    <x v="2"/>
    <x v="3"/>
    <s v="Easy-staple paper"/>
    <n v="73.010000000000005"/>
    <n v="9"/>
    <n v="26.47"/>
  </r>
  <r>
    <d v="2017-09-07T00:00:00"/>
    <x v="3"/>
    <x v="6"/>
    <x v="502"/>
    <x v="22"/>
    <x v="2"/>
    <x v="9"/>
    <s v="GBC DocuBind 300 Electric Binding Machine"/>
    <n v="1577.94"/>
    <n v="3"/>
    <n v="757.41"/>
  </r>
  <r>
    <d v="2017-09-07T00:00:00"/>
    <x v="3"/>
    <x v="6"/>
    <x v="287"/>
    <x v="23"/>
    <x v="2"/>
    <x v="9"/>
    <s v="Wilson Jones Leather-Like Binders with DublLock Round Rings"/>
    <n v="7.86"/>
    <n v="3"/>
    <n v="-6.02"/>
  </r>
  <r>
    <d v="2017-09-07T00:00:00"/>
    <x v="3"/>
    <x v="6"/>
    <x v="695"/>
    <x v="13"/>
    <x v="2"/>
    <x v="8"/>
    <s v="Avery 519"/>
    <n v="29.24"/>
    <n v="5"/>
    <n v="9.8699999999999992"/>
  </r>
  <r>
    <d v="2017-09-07T00:00:00"/>
    <x v="3"/>
    <x v="6"/>
    <x v="695"/>
    <x v="13"/>
    <x v="2"/>
    <x v="3"/>
    <s v="Eureka Recycled Copy Paper 8 1/2&quot; x 11&quot;, Ream"/>
    <n v="15.55"/>
    <n v="3"/>
    <n v="5.44"/>
  </r>
  <r>
    <d v="2017-09-07T00:00:00"/>
    <x v="3"/>
    <x v="6"/>
    <x v="695"/>
    <x v="13"/>
    <x v="2"/>
    <x v="13"/>
    <s v="Poly String Tie Envelopes"/>
    <n v="4.9000000000000004"/>
    <n v="3"/>
    <n v="1.65"/>
  </r>
  <r>
    <d v="2017-09-07T00:00:00"/>
    <x v="3"/>
    <x v="6"/>
    <x v="431"/>
    <x v="0"/>
    <x v="0"/>
    <x v="0"/>
    <s v="Rosewill 107 Normal Keys USB Wired Standard Keyboard"/>
    <n v="13.48"/>
    <n v="1"/>
    <n v="1.89"/>
  </r>
  <r>
    <d v="2017-09-07T00:00:00"/>
    <x v="3"/>
    <x v="6"/>
    <x v="49"/>
    <x v="21"/>
    <x v="1"/>
    <x v="5"/>
    <s v="DAX Copper Panel Document Frame, 5 x 7 Size"/>
    <n v="25.16"/>
    <n v="2"/>
    <n v="10.57"/>
  </r>
  <r>
    <d v="2017-09-07T00:00:00"/>
    <x v="3"/>
    <x v="6"/>
    <x v="49"/>
    <x v="21"/>
    <x v="0"/>
    <x v="2"/>
    <s v="Motorla HX550 Universal Bluetooth Headset"/>
    <n v="126.56"/>
    <n v="4"/>
    <n v="47.46"/>
  </r>
  <r>
    <d v="2017-09-07T00:00:00"/>
    <x v="3"/>
    <x v="6"/>
    <x v="84"/>
    <x v="5"/>
    <x v="1"/>
    <x v="5"/>
    <s v="C-Line Magnetic Cubicle Keepers, Clear Polypropylene"/>
    <n v="19.760000000000002"/>
    <n v="4"/>
    <n v="8.3000000000000007"/>
  </r>
  <r>
    <d v="2017-09-07T00:00:00"/>
    <x v="3"/>
    <x v="6"/>
    <x v="466"/>
    <x v="22"/>
    <x v="0"/>
    <x v="0"/>
    <s v="Maxell 4.7GB DVD-R"/>
    <n v="113.52"/>
    <n v="4"/>
    <n v="46.54"/>
  </r>
  <r>
    <d v="2017-09-07T00:00:00"/>
    <x v="3"/>
    <x v="6"/>
    <x v="466"/>
    <x v="22"/>
    <x v="1"/>
    <x v="5"/>
    <s v="DataProducts Ampli Magnifier Task Lamp, Black,"/>
    <n v="135.30000000000001"/>
    <n v="5"/>
    <n v="37.880000000000003"/>
  </r>
  <r>
    <d v="2017-09-07T00:00:00"/>
    <x v="3"/>
    <x v="6"/>
    <x v="313"/>
    <x v="5"/>
    <x v="1"/>
    <x v="1"/>
    <s v="Global Low Back Tilter Chair"/>
    <n v="161.57"/>
    <n v="2"/>
    <n v="-28.27"/>
  </r>
  <r>
    <d v="2017-09-07T00:00:00"/>
    <x v="3"/>
    <x v="6"/>
    <x v="251"/>
    <x v="26"/>
    <x v="2"/>
    <x v="10"/>
    <s v="Eureka The Boss Cordless Rechargeable Stick Vac"/>
    <n v="81.569999999999993"/>
    <n v="2"/>
    <n v="7.14"/>
  </r>
  <r>
    <d v="2017-09-07T00:00:00"/>
    <x v="3"/>
    <x v="6"/>
    <x v="551"/>
    <x v="1"/>
    <x v="1"/>
    <x v="5"/>
    <s v="DAX Two-Tone Silver Metal Document Frame"/>
    <n v="80.959999999999994"/>
    <n v="4"/>
    <n v="34.81"/>
  </r>
  <r>
    <d v="2017-09-07T00:00:00"/>
    <x v="3"/>
    <x v="6"/>
    <x v="551"/>
    <x v="1"/>
    <x v="0"/>
    <x v="2"/>
    <s v="Konftel 250 ConferenceÂ phoneÂ - Charcoal black"/>
    <n v="455.71"/>
    <n v="2"/>
    <n v="34.18"/>
  </r>
  <r>
    <d v="2017-09-07T00:00:00"/>
    <x v="3"/>
    <x v="6"/>
    <x v="551"/>
    <x v="1"/>
    <x v="2"/>
    <x v="11"/>
    <s v="Boston 1799 Powerhouse Electric Pencil Sharpener"/>
    <n v="25.98"/>
    <n v="1"/>
    <n v="7.27"/>
  </r>
  <r>
    <d v="2017-09-07T00:00:00"/>
    <x v="3"/>
    <x v="6"/>
    <x v="362"/>
    <x v="40"/>
    <x v="2"/>
    <x v="3"/>
    <s v="Avoid Verbal Orders Carbonless Minifold Book"/>
    <n v="16.899999999999999"/>
    <n v="5"/>
    <n v="7.77"/>
  </r>
  <r>
    <d v="2017-09-07T00:00:00"/>
    <x v="3"/>
    <x v="6"/>
    <x v="362"/>
    <x v="40"/>
    <x v="2"/>
    <x v="3"/>
    <s v="Xerox 191"/>
    <n v="39.96"/>
    <n v="2"/>
    <n v="18.78"/>
  </r>
  <r>
    <d v="2017-10-07T00:00:00"/>
    <x v="3"/>
    <x v="7"/>
    <x v="627"/>
    <x v="5"/>
    <x v="1"/>
    <x v="16"/>
    <s v="O'Sullivan Manor Hill 2-Door Library in Brianna Oak"/>
    <n v="307.67"/>
    <n v="2"/>
    <n v="-14.48"/>
  </r>
  <r>
    <d v="2017-10-07T00:00:00"/>
    <x v="3"/>
    <x v="7"/>
    <x v="369"/>
    <x v="5"/>
    <x v="0"/>
    <x v="0"/>
    <s v="Logitech G19 Programmable Gaming Keyboard"/>
    <n v="1115.9100000000001"/>
    <n v="9"/>
    <n v="200.86"/>
  </r>
  <r>
    <d v="2017-10-07T00:00:00"/>
    <x v="3"/>
    <x v="7"/>
    <x v="369"/>
    <x v="5"/>
    <x v="0"/>
    <x v="2"/>
    <s v="Motorola HK250 Universal Bluetooth Headset"/>
    <n v="128.74"/>
    <n v="7"/>
    <n v="-28.97"/>
  </r>
  <r>
    <d v="2017-10-07T00:00:00"/>
    <x v="3"/>
    <x v="7"/>
    <x v="369"/>
    <x v="5"/>
    <x v="0"/>
    <x v="2"/>
    <s v="Square Credit Card Reader, 4 1/2&quot; x 4 1/2&quot; x 1&quot;, White"/>
    <n v="79.92"/>
    <n v="10"/>
    <n v="26.97"/>
  </r>
  <r>
    <d v="2017-10-07T00:00:00"/>
    <x v="3"/>
    <x v="7"/>
    <x v="287"/>
    <x v="12"/>
    <x v="2"/>
    <x v="6"/>
    <s v="Adjustable Depth Letter/Legal Cart"/>
    <n v="580.66999999999996"/>
    <n v="4"/>
    <n v="65.33"/>
  </r>
  <r>
    <d v="2017-10-07T00:00:00"/>
    <x v="3"/>
    <x v="7"/>
    <x v="287"/>
    <x v="12"/>
    <x v="2"/>
    <x v="4"/>
    <s v="Staples"/>
    <n v="18.940000000000001"/>
    <n v="3"/>
    <n v="5.92"/>
  </r>
  <r>
    <d v="2017-10-07T00:00:00"/>
    <x v="3"/>
    <x v="7"/>
    <x v="287"/>
    <x v="12"/>
    <x v="0"/>
    <x v="2"/>
    <s v="Toshiba IPT2010-SD IPÂ Telephone"/>
    <n v="222.38"/>
    <n v="2"/>
    <n v="16.68"/>
  </r>
  <r>
    <d v="2017-10-07T00:00:00"/>
    <x v="3"/>
    <x v="7"/>
    <x v="287"/>
    <x v="12"/>
    <x v="2"/>
    <x v="9"/>
    <s v="Performers Binder/Pad Holder, Black"/>
    <n v="50.45"/>
    <n v="6"/>
    <n v="-33.64"/>
  </r>
  <r>
    <d v="2017-10-07T00:00:00"/>
    <x v="3"/>
    <x v="7"/>
    <x v="287"/>
    <x v="12"/>
    <x v="1"/>
    <x v="7"/>
    <s v="KI Adjustable-Height Table"/>
    <n v="154.76"/>
    <n v="3"/>
    <n v="-36.11"/>
  </r>
  <r>
    <d v="2017-10-07T00:00:00"/>
    <x v="3"/>
    <x v="7"/>
    <x v="33"/>
    <x v="4"/>
    <x v="2"/>
    <x v="9"/>
    <s v="Storex DuraTech Recycled Plastic Frosted Binders"/>
    <n v="4.24"/>
    <n v="5"/>
    <n v="-6.36"/>
  </r>
  <r>
    <d v="2017-10-07T00:00:00"/>
    <x v="3"/>
    <x v="7"/>
    <x v="579"/>
    <x v="10"/>
    <x v="2"/>
    <x v="6"/>
    <s v="SAFCO Mobile Desk Side File, Wire Frame"/>
    <n v="85.52"/>
    <n v="2"/>
    <n v="22.24"/>
  </r>
  <r>
    <d v="2017-11-07T00:00:00"/>
    <x v="3"/>
    <x v="8"/>
    <x v="100"/>
    <x v="5"/>
    <x v="0"/>
    <x v="0"/>
    <s v="Anker Ultra-Slim Mini Bluetooth 3.0 Wireless Keyboard"/>
    <n v="59.97"/>
    <n v="3"/>
    <n v="13.79"/>
  </r>
  <r>
    <d v="2017-11-07T00:00:00"/>
    <x v="3"/>
    <x v="8"/>
    <x v="100"/>
    <x v="5"/>
    <x v="0"/>
    <x v="2"/>
    <s v="Plantronics CS 50-USB -Â headsetÂ - Convertible, Monaural"/>
    <n v="761.54"/>
    <n v="7"/>
    <n v="66.64"/>
  </r>
  <r>
    <d v="2017-11-07T00:00:00"/>
    <x v="3"/>
    <x v="8"/>
    <x v="170"/>
    <x v="13"/>
    <x v="0"/>
    <x v="2"/>
    <s v="Jabra Supreme Plus Driver EditionÂ Headset"/>
    <n v="359.97"/>
    <n v="5"/>
    <n v="-71.989999999999995"/>
  </r>
  <r>
    <d v="2017-11-07T00:00:00"/>
    <x v="3"/>
    <x v="8"/>
    <x v="170"/>
    <x v="13"/>
    <x v="1"/>
    <x v="7"/>
    <s v="Bevis Rectangular Conference Tables"/>
    <n v="350.35"/>
    <n v="4"/>
    <n v="-140.13999999999999"/>
  </r>
  <r>
    <d v="2017-11-07T00:00:00"/>
    <x v="3"/>
    <x v="8"/>
    <x v="682"/>
    <x v="5"/>
    <x v="2"/>
    <x v="9"/>
    <s v="Avery Self-Adhesive Photo Pockets for Polaroid Photos"/>
    <n v="21.79"/>
    <n v="4"/>
    <n v="7.63"/>
  </r>
  <r>
    <d v="2017-11-07T00:00:00"/>
    <x v="3"/>
    <x v="8"/>
    <x v="682"/>
    <x v="5"/>
    <x v="0"/>
    <x v="0"/>
    <s v="Plantronics Audio 995 Wireless Stereo Headset"/>
    <n v="439.8"/>
    <n v="4"/>
    <n v="145.13"/>
  </r>
  <r>
    <d v="2017-11-07T00:00:00"/>
    <x v="3"/>
    <x v="8"/>
    <x v="291"/>
    <x v="37"/>
    <x v="2"/>
    <x v="10"/>
    <s v="Holmes Odor Grabber"/>
    <n v="100.94"/>
    <n v="7"/>
    <n v="33.31"/>
  </r>
  <r>
    <d v="2017-11-07T00:00:00"/>
    <x v="3"/>
    <x v="8"/>
    <x v="201"/>
    <x v="2"/>
    <x v="0"/>
    <x v="0"/>
    <s v="Maxell CD-R Discs"/>
    <n v="7.88"/>
    <n v="4"/>
    <n v="2.52"/>
  </r>
  <r>
    <d v="2017-11-07T00:00:00"/>
    <x v="3"/>
    <x v="8"/>
    <x v="65"/>
    <x v="24"/>
    <x v="1"/>
    <x v="1"/>
    <s v="Global Highback Leather Tilter in Burgundy"/>
    <n v="272.97000000000003"/>
    <n v="3"/>
    <n v="43.68"/>
  </r>
  <r>
    <d v="2017-11-07T00:00:00"/>
    <x v="3"/>
    <x v="8"/>
    <x v="643"/>
    <x v="28"/>
    <x v="2"/>
    <x v="9"/>
    <s v="Storex DuraTech Recycled Plastic Frosted Binders"/>
    <n v="38.159999999999997"/>
    <n v="9"/>
    <n v="19.079999999999998"/>
  </r>
  <r>
    <d v="2017-12-07T00:00:00"/>
    <x v="3"/>
    <x v="9"/>
    <x v="201"/>
    <x v="5"/>
    <x v="0"/>
    <x v="2"/>
    <s v="Cisco SPA301"/>
    <n v="374.38"/>
    <n v="3"/>
    <n v="46.8"/>
  </r>
  <r>
    <d v="2017-12-07T00:00:00"/>
    <x v="3"/>
    <x v="9"/>
    <x v="385"/>
    <x v="4"/>
    <x v="2"/>
    <x v="4"/>
    <s v="Binder Clips by OIC"/>
    <n v="3.55"/>
    <n v="3"/>
    <n v="1.24"/>
  </r>
  <r>
    <d v="2017-12-07T00:00:00"/>
    <x v="3"/>
    <x v="9"/>
    <x v="385"/>
    <x v="4"/>
    <x v="2"/>
    <x v="3"/>
    <s v="Xerox 1995"/>
    <n v="15.55"/>
    <n v="3"/>
    <n v="5.44"/>
  </r>
  <r>
    <d v="2017-12-07T00:00:00"/>
    <x v="3"/>
    <x v="9"/>
    <x v="61"/>
    <x v="18"/>
    <x v="0"/>
    <x v="0"/>
    <s v="Logitech G602 Wireless Gaming Mouse"/>
    <n v="127.98"/>
    <n v="2"/>
    <n v="25.6"/>
  </r>
  <r>
    <d v="2017-12-07T00:00:00"/>
    <x v="3"/>
    <x v="9"/>
    <x v="627"/>
    <x v="20"/>
    <x v="1"/>
    <x v="5"/>
    <s v="DAX Wood Document Frame."/>
    <n v="82.38"/>
    <n v="6"/>
    <n v="25.54"/>
  </r>
  <r>
    <d v="2017-12-07T00:00:00"/>
    <x v="3"/>
    <x v="9"/>
    <x v="460"/>
    <x v="3"/>
    <x v="2"/>
    <x v="9"/>
    <s v="Ibico EPK-21 Electric Binding System"/>
    <n v="1889.99"/>
    <n v="5"/>
    <n v="-2929.48"/>
  </r>
  <r>
    <d v="2017-12-07T00:00:00"/>
    <x v="3"/>
    <x v="9"/>
    <x v="234"/>
    <x v="32"/>
    <x v="2"/>
    <x v="10"/>
    <s v="Eureka The Boss Lite 10-Amp Upright Vacuum, Blue"/>
    <n v="320.64"/>
    <n v="4"/>
    <n v="89.78"/>
  </r>
  <r>
    <d v="2017-12-07T00:00:00"/>
    <x v="3"/>
    <x v="9"/>
    <x v="234"/>
    <x v="32"/>
    <x v="0"/>
    <x v="0"/>
    <s v="Memorex Micro Travel Drive 8 GB"/>
    <n v="52"/>
    <n v="4"/>
    <n v="23.4"/>
  </r>
  <r>
    <d v="2017-12-07T00:00:00"/>
    <x v="3"/>
    <x v="9"/>
    <x v="96"/>
    <x v="5"/>
    <x v="2"/>
    <x v="3"/>
    <s v="REDIFORM Incoming/Outgoing Call Register, 11&quot; X 8 1/2&quot;, 100 Messages"/>
    <n v="50.04"/>
    <n v="6"/>
    <n v="25.02"/>
  </r>
  <r>
    <d v="2017-01-08T00:00:00"/>
    <x v="3"/>
    <x v="11"/>
    <x v="140"/>
    <x v="1"/>
    <x v="1"/>
    <x v="7"/>
    <s v="Balt Solid Wood Round Tables"/>
    <n v="892.98"/>
    <n v="2"/>
    <n v="80.37"/>
  </r>
  <r>
    <d v="2017-03-08T00:00:00"/>
    <x v="3"/>
    <x v="1"/>
    <x v="708"/>
    <x v="19"/>
    <x v="2"/>
    <x v="10"/>
    <s v="Belkin 8 Outlet SurgeMaster II Gold Surge Protector with Phone Protection"/>
    <n v="647.84"/>
    <n v="8"/>
    <n v="168.44"/>
  </r>
  <r>
    <d v="2017-03-08T00:00:00"/>
    <x v="3"/>
    <x v="1"/>
    <x v="708"/>
    <x v="19"/>
    <x v="2"/>
    <x v="8"/>
    <s v="Avery Address/Shipping Labels for Typewriters, 4&quot; x 2&quot;"/>
    <n v="20.7"/>
    <n v="2"/>
    <n v="9.94"/>
  </r>
  <r>
    <d v="2017-03-08T00:00:00"/>
    <x v="3"/>
    <x v="1"/>
    <x v="444"/>
    <x v="5"/>
    <x v="2"/>
    <x v="9"/>
    <s v="Green Canvas Binder for 8-1/2&quot; x 14&quot; Sheets"/>
    <n v="171.2"/>
    <n v="5"/>
    <n v="64.2"/>
  </r>
  <r>
    <d v="2017-03-08T00:00:00"/>
    <x v="3"/>
    <x v="1"/>
    <x v="444"/>
    <x v="5"/>
    <x v="2"/>
    <x v="11"/>
    <s v="Newell 323"/>
    <n v="3.36"/>
    <n v="2"/>
    <n v="0.87"/>
  </r>
  <r>
    <d v="2017-04-08T00:00:00"/>
    <x v="3"/>
    <x v="2"/>
    <x v="94"/>
    <x v="19"/>
    <x v="1"/>
    <x v="5"/>
    <s v="Eldon Expressions Punched Metal &amp; Wood Desk Accessories, Black &amp; Cherry"/>
    <n v="56.28"/>
    <n v="6"/>
    <n v="15.76"/>
  </r>
  <r>
    <d v="2017-04-08T00:00:00"/>
    <x v="3"/>
    <x v="2"/>
    <x v="94"/>
    <x v="19"/>
    <x v="2"/>
    <x v="9"/>
    <s v="GBC DocuBind TL300 Electric Binding System"/>
    <n v="2690.97"/>
    <n v="3"/>
    <n v="1264.76"/>
  </r>
  <r>
    <d v="2017-04-08T00:00:00"/>
    <x v="3"/>
    <x v="2"/>
    <x v="622"/>
    <x v="8"/>
    <x v="2"/>
    <x v="6"/>
    <s v="Tennsco 16-Compartment Lockers with Coat Rack"/>
    <n v="2591.56"/>
    <n v="4"/>
    <n v="621.97"/>
  </r>
  <r>
    <d v="2017-04-08T00:00:00"/>
    <x v="3"/>
    <x v="2"/>
    <x v="622"/>
    <x v="8"/>
    <x v="2"/>
    <x v="10"/>
    <s v="Black &amp; Decker Filter for Double Action Dustbuster Cordless Vac BLDV7210"/>
    <n v="41.95"/>
    <n v="5"/>
    <n v="10.49"/>
  </r>
  <r>
    <d v="2017-04-08T00:00:00"/>
    <x v="3"/>
    <x v="2"/>
    <x v="659"/>
    <x v="5"/>
    <x v="2"/>
    <x v="3"/>
    <s v="Xerox 1891"/>
    <n v="244.55"/>
    <n v="5"/>
    <n v="114.94"/>
  </r>
  <r>
    <d v="2017-04-08T00:00:00"/>
    <x v="3"/>
    <x v="2"/>
    <x v="659"/>
    <x v="5"/>
    <x v="2"/>
    <x v="3"/>
    <s v="Xerox 1942"/>
    <n v="195.76"/>
    <n v="4"/>
    <n v="97.88"/>
  </r>
  <r>
    <d v="2017-04-08T00:00:00"/>
    <x v="3"/>
    <x v="2"/>
    <x v="39"/>
    <x v="10"/>
    <x v="1"/>
    <x v="5"/>
    <s v="3M Polarizing Task Lamp with Clamp Arm, Light Gray"/>
    <n v="273.95999999999998"/>
    <n v="2"/>
    <n v="71.23"/>
  </r>
  <r>
    <d v="2017-04-08T00:00:00"/>
    <x v="3"/>
    <x v="2"/>
    <x v="39"/>
    <x v="10"/>
    <x v="1"/>
    <x v="5"/>
    <s v="Luxo Professional Combination Clamp-On Lamps"/>
    <n v="306.89999999999998"/>
    <n v="3"/>
    <n v="79.790000000000006"/>
  </r>
  <r>
    <d v="2017-05-08T00:00:00"/>
    <x v="3"/>
    <x v="10"/>
    <x v="148"/>
    <x v="18"/>
    <x v="1"/>
    <x v="1"/>
    <s v="Global Chrome Stack Chair"/>
    <n v="47.99"/>
    <n v="2"/>
    <n v="-2.06"/>
  </r>
  <r>
    <d v="2017-05-08T00:00:00"/>
    <x v="3"/>
    <x v="10"/>
    <x v="601"/>
    <x v="5"/>
    <x v="0"/>
    <x v="12"/>
    <s v="Canon Imageclass D680 Copier / Fax"/>
    <n v="3359.95"/>
    <n v="6"/>
    <n v="1049.99"/>
  </r>
  <r>
    <d v="2017-05-08T00:00:00"/>
    <x v="3"/>
    <x v="10"/>
    <x v="685"/>
    <x v="13"/>
    <x v="1"/>
    <x v="1"/>
    <s v="Global Armless Task Chair, Royal Blue"/>
    <n v="128.06"/>
    <n v="3"/>
    <n v="-23.78"/>
  </r>
  <r>
    <d v="2017-05-08T00:00:00"/>
    <x v="3"/>
    <x v="10"/>
    <x v="274"/>
    <x v="5"/>
    <x v="2"/>
    <x v="10"/>
    <s v="Fellowes Mighty 8 Compact Surge Protector"/>
    <n v="81.08"/>
    <n v="4"/>
    <n v="22.7"/>
  </r>
  <r>
    <d v="2017-05-08T00:00:00"/>
    <x v="3"/>
    <x v="10"/>
    <x v="211"/>
    <x v="4"/>
    <x v="2"/>
    <x v="3"/>
    <s v="Xerox 1997"/>
    <n v="41.47"/>
    <n v="8"/>
    <n v="14.52"/>
  </r>
  <r>
    <d v="2017-06-08T00:00:00"/>
    <x v="3"/>
    <x v="3"/>
    <x v="12"/>
    <x v="4"/>
    <x v="2"/>
    <x v="10"/>
    <s v="Eureka Disposable Bags for Sanitaire Vibra Groomer I Upright Vac"/>
    <n v="1.62"/>
    <n v="2"/>
    <n v="-4.47"/>
  </r>
  <r>
    <d v="2017-06-08T00:00:00"/>
    <x v="3"/>
    <x v="3"/>
    <x v="121"/>
    <x v="4"/>
    <x v="2"/>
    <x v="15"/>
    <s v="Acme Tagit Stainless Steel Antibacterial Scissors"/>
    <n v="23.76"/>
    <n v="3"/>
    <n v="2.08"/>
  </r>
  <r>
    <d v="2017-06-08T00:00:00"/>
    <x v="3"/>
    <x v="3"/>
    <x v="121"/>
    <x v="4"/>
    <x v="2"/>
    <x v="3"/>
    <s v="Easy-staple paper"/>
    <n v="85.06"/>
    <n v="3"/>
    <n v="28.71"/>
  </r>
  <r>
    <d v="2017-06-08T00:00:00"/>
    <x v="3"/>
    <x v="3"/>
    <x v="121"/>
    <x v="4"/>
    <x v="0"/>
    <x v="2"/>
    <s v="ClearOne Communications CHAT 70 OCÂ Speaker Phone"/>
    <n v="381.58"/>
    <n v="3"/>
    <n v="28.62"/>
  </r>
  <r>
    <d v="2017-06-08T00:00:00"/>
    <x v="3"/>
    <x v="3"/>
    <x v="285"/>
    <x v="25"/>
    <x v="2"/>
    <x v="9"/>
    <s v="Wilson Jones Impact Binders"/>
    <n v="10.36"/>
    <n v="2"/>
    <n v="5.08"/>
  </r>
  <r>
    <d v="2017-06-08T00:00:00"/>
    <x v="3"/>
    <x v="3"/>
    <x v="304"/>
    <x v="3"/>
    <x v="2"/>
    <x v="9"/>
    <s v="GBC Twin Loop Wire Binding Elements, 9/16&quot; Spine, Black"/>
    <n v="12.18"/>
    <n v="4"/>
    <n v="-18.87"/>
  </r>
  <r>
    <d v="2017-06-08T00:00:00"/>
    <x v="3"/>
    <x v="3"/>
    <x v="714"/>
    <x v="5"/>
    <x v="1"/>
    <x v="16"/>
    <s v="Riverside Palais Royal Lawyers Bookcase, Royale Cherry Finish"/>
    <n v="1497.67"/>
    <n v="2"/>
    <n v="140.96"/>
  </r>
  <r>
    <d v="2017-06-08T00:00:00"/>
    <x v="3"/>
    <x v="3"/>
    <x v="714"/>
    <x v="5"/>
    <x v="0"/>
    <x v="2"/>
    <s v="Shocksock Galaxy S4 Armband"/>
    <n v="17.52"/>
    <n v="2"/>
    <n v="-3.5"/>
  </r>
  <r>
    <d v="2017-06-08T00:00:00"/>
    <x v="3"/>
    <x v="3"/>
    <x v="237"/>
    <x v="23"/>
    <x v="0"/>
    <x v="0"/>
    <s v="Memorex Micro Travel Drive 16 GB"/>
    <n v="89.54"/>
    <n v="7"/>
    <n v="12.31"/>
  </r>
  <r>
    <d v="2017-06-08T00:00:00"/>
    <x v="3"/>
    <x v="3"/>
    <x v="237"/>
    <x v="23"/>
    <x v="2"/>
    <x v="6"/>
    <s v="Rogers Deluxe File Chest"/>
    <n v="35.17"/>
    <n v="2"/>
    <n v="-8.35"/>
  </r>
  <r>
    <d v="2017-06-08T00:00:00"/>
    <x v="3"/>
    <x v="3"/>
    <x v="237"/>
    <x v="23"/>
    <x v="2"/>
    <x v="9"/>
    <s v="GBC VeloBinder Electric Binding Machine"/>
    <n v="72.59"/>
    <n v="2"/>
    <n v="-48.39"/>
  </r>
  <r>
    <d v="2017-07-08T00:00:00"/>
    <x v="3"/>
    <x v="4"/>
    <x v="715"/>
    <x v="6"/>
    <x v="2"/>
    <x v="11"/>
    <s v="Binney &amp; Smith inkTank Erasable Desk Highlighter, Chisel Tip, Yellow, 12/Box"/>
    <n v="7.56"/>
    <n v="3"/>
    <n v="3.1"/>
  </r>
  <r>
    <d v="2017-07-08T00:00:00"/>
    <x v="3"/>
    <x v="4"/>
    <x v="715"/>
    <x v="6"/>
    <x v="2"/>
    <x v="3"/>
    <s v="Easy-staple paper"/>
    <n v="24.56"/>
    <n v="2"/>
    <n v="11.54"/>
  </r>
  <r>
    <d v="2017-07-08T00:00:00"/>
    <x v="3"/>
    <x v="4"/>
    <x v="715"/>
    <x v="6"/>
    <x v="2"/>
    <x v="11"/>
    <s v="BIC Brite Liner Highlighters, Chisel Tip"/>
    <n v="12.96"/>
    <n v="2"/>
    <n v="4.1500000000000004"/>
  </r>
  <r>
    <d v="2017-07-08T00:00:00"/>
    <x v="3"/>
    <x v="4"/>
    <x v="120"/>
    <x v="5"/>
    <x v="1"/>
    <x v="5"/>
    <s v="Deflect-o SuperTray Unbreakable Stackable Tray, Letter, Black"/>
    <n v="145.9"/>
    <n v="5"/>
    <n v="62.74"/>
  </r>
  <r>
    <d v="2017-07-08T00:00:00"/>
    <x v="3"/>
    <x v="4"/>
    <x v="716"/>
    <x v="1"/>
    <x v="1"/>
    <x v="5"/>
    <s v="GE 48&quot; Fluorescent Tube, Cool White Energy Saver, 34 Watts, 30/Box"/>
    <n v="198.46"/>
    <n v="2"/>
    <n v="99.23"/>
  </r>
  <r>
    <d v="2017-07-08T00:00:00"/>
    <x v="3"/>
    <x v="4"/>
    <x v="716"/>
    <x v="1"/>
    <x v="2"/>
    <x v="8"/>
    <s v="Dot Matrix Printer Tape Reel Labels, White, 5000/Box"/>
    <n v="786.48"/>
    <n v="8"/>
    <n v="385.38"/>
  </r>
  <r>
    <d v="2017-07-08T00:00:00"/>
    <x v="3"/>
    <x v="4"/>
    <x v="716"/>
    <x v="1"/>
    <x v="2"/>
    <x v="9"/>
    <s v="GBC White Gloss Covers, Plain Front"/>
    <n v="23.17"/>
    <n v="2"/>
    <n v="7.82"/>
  </r>
  <r>
    <d v="2017-07-08T00:00:00"/>
    <x v="3"/>
    <x v="4"/>
    <x v="716"/>
    <x v="1"/>
    <x v="0"/>
    <x v="0"/>
    <s v="Micro Innovations USB RF Wireless Keyboard with Mouse"/>
    <n v="50"/>
    <n v="2"/>
    <n v="10.5"/>
  </r>
  <r>
    <d v="2017-07-08T00:00:00"/>
    <x v="3"/>
    <x v="4"/>
    <x v="216"/>
    <x v="5"/>
    <x v="2"/>
    <x v="8"/>
    <s v="Avery 485"/>
    <n v="75.180000000000007"/>
    <n v="6"/>
    <n v="35.33"/>
  </r>
  <r>
    <d v="2017-07-08T00:00:00"/>
    <x v="3"/>
    <x v="4"/>
    <x v="3"/>
    <x v="1"/>
    <x v="1"/>
    <x v="5"/>
    <s v="Master Big Foot Doorstop, Beige"/>
    <n v="15.84"/>
    <n v="3"/>
    <n v="4.91"/>
  </r>
  <r>
    <d v="2017-07-08T00:00:00"/>
    <x v="3"/>
    <x v="4"/>
    <x v="3"/>
    <x v="1"/>
    <x v="2"/>
    <x v="9"/>
    <s v="GBC VeloBinder Manual Binding System"/>
    <n v="86.38"/>
    <n v="3"/>
    <n v="30.23"/>
  </r>
  <r>
    <d v="2017-07-08T00:00:00"/>
    <x v="3"/>
    <x v="4"/>
    <x v="3"/>
    <x v="1"/>
    <x v="2"/>
    <x v="11"/>
    <s v="Zebra Zazzle Fluorescent Highlighters"/>
    <n v="18.239999999999998"/>
    <n v="3"/>
    <n v="6.2"/>
  </r>
  <r>
    <d v="2017-07-08T00:00:00"/>
    <x v="3"/>
    <x v="4"/>
    <x v="3"/>
    <x v="1"/>
    <x v="2"/>
    <x v="11"/>
    <s v="Crayola Colored Pencils"/>
    <n v="13.12"/>
    <n v="4"/>
    <n v="4.33"/>
  </r>
  <r>
    <d v="2017-07-08T00:00:00"/>
    <x v="3"/>
    <x v="4"/>
    <x v="586"/>
    <x v="37"/>
    <x v="1"/>
    <x v="5"/>
    <s v="36X48 HARDFLOOR CHAIRMAT"/>
    <n v="83.92"/>
    <n v="4"/>
    <n v="5.87"/>
  </r>
  <r>
    <d v="2017-07-08T00:00:00"/>
    <x v="3"/>
    <x v="4"/>
    <x v="586"/>
    <x v="37"/>
    <x v="0"/>
    <x v="0"/>
    <s v="Maxell 4.7GB DVD-R"/>
    <n v="141.9"/>
    <n v="5"/>
    <n v="58.18"/>
  </r>
  <r>
    <d v="2017-07-08T00:00:00"/>
    <x v="3"/>
    <x v="4"/>
    <x v="586"/>
    <x v="37"/>
    <x v="1"/>
    <x v="5"/>
    <s v="Tensor Track Tree Floor Lamp"/>
    <n v="39.979999999999997"/>
    <n v="2"/>
    <n v="9.1999999999999993"/>
  </r>
  <r>
    <d v="2017-07-08T00:00:00"/>
    <x v="3"/>
    <x v="4"/>
    <x v="586"/>
    <x v="37"/>
    <x v="2"/>
    <x v="11"/>
    <s v="Newell 325"/>
    <n v="28.91"/>
    <n v="7"/>
    <n v="8.67"/>
  </r>
  <r>
    <d v="2017-07-08T00:00:00"/>
    <x v="3"/>
    <x v="4"/>
    <x v="586"/>
    <x v="37"/>
    <x v="2"/>
    <x v="11"/>
    <s v="Hunt Boston Vacuum Mount KS Pencil Sharpener"/>
    <n v="174.95"/>
    <n v="5"/>
    <n v="45.49"/>
  </r>
  <r>
    <d v="2017-07-08T00:00:00"/>
    <x v="3"/>
    <x v="4"/>
    <x v="85"/>
    <x v="1"/>
    <x v="2"/>
    <x v="3"/>
    <s v="Easy-staple paper"/>
    <n v="52.76"/>
    <n v="2"/>
    <n v="24.27"/>
  </r>
  <r>
    <d v="2017-09-08T00:00:00"/>
    <x v="3"/>
    <x v="6"/>
    <x v="274"/>
    <x v="3"/>
    <x v="1"/>
    <x v="7"/>
    <s v="BoxOffice By Design Rectangular and Half-Moon Meeting Room Tables"/>
    <n v="765.63"/>
    <n v="7"/>
    <n v="-566.55999999999995"/>
  </r>
  <r>
    <d v="2017-09-08T00:00:00"/>
    <x v="3"/>
    <x v="6"/>
    <x v="512"/>
    <x v="13"/>
    <x v="0"/>
    <x v="2"/>
    <s v="Aastra 6757i CT Wireless VoIP phone"/>
    <n v="258.52999999999997"/>
    <n v="2"/>
    <n v="-47.4"/>
  </r>
  <r>
    <d v="2017-09-08T00:00:00"/>
    <x v="3"/>
    <x v="6"/>
    <x v="289"/>
    <x v="18"/>
    <x v="0"/>
    <x v="0"/>
    <s v="ImationÂ SwivelÂ Flash DriveÂ USBÂ flash driveÂ - 8 GB"/>
    <n v="9.1"/>
    <n v="1"/>
    <n v="1.71"/>
  </r>
  <r>
    <d v="2017-09-08T00:00:00"/>
    <x v="3"/>
    <x v="6"/>
    <x v="180"/>
    <x v="18"/>
    <x v="0"/>
    <x v="0"/>
    <s v="Memorex Micro Travel Drive 32 GB"/>
    <n v="116.83"/>
    <n v="4"/>
    <n v="33.590000000000003"/>
  </r>
  <r>
    <d v="2017-09-08T00:00:00"/>
    <x v="3"/>
    <x v="6"/>
    <x v="481"/>
    <x v="4"/>
    <x v="0"/>
    <x v="0"/>
    <s v="Memorex Froggy Flash Drive 8 GB"/>
    <n v="85.2"/>
    <n v="6"/>
    <n v="20.239999999999998"/>
  </r>
  <r>
    <d v="2017-09-08T00:00:00"/>
    <x v="3"/>
    <x v="6"/>
    <x v="535"/>
    <x v="4"/>
    <x v="2"/>
    <x v="9"/>
    <s v="Premier Elliptical Ring Binder, Black"/>
    <n v="42.62"/>
    <n v="7"/>
    <n v="-68.19"/>
  </r>
  <r>
    <d v="2017-09-08T00:00:00"/>
    <x v="3"/>
    <x v="6"/>
    <x v="535"/>
    <x v="4"/>
    <x v="0"/>
    <x v="12"/>
    <s v="Canon PC-428 Personal Copier"/>
    <n v="319.98"/>
    <n v="2"/>
    <n v="107.99"/>
  </r>
  <r>
    <d v="2017-09-08T00:00:00"/>
    <x v="3"/>
    <x v="6"/>
    <x v="535"/>
    <x v="4"/>
    <x v="2"/>
    <x v="4"/>
    <s v="Vinyl Coated Wire Paper Clips in Organizer Box, 800/Box"/>
    <n v="45.92"/>
    <n v="5"/>
    <n v="15.5"/>
  </r>
  <r>
    <d v="2017-09-08T00:00:00"/>
    <x v="3"/>
    <x v="6"/>
    <x v="535"/>
    <x v="4"/>
    <x v="1"/>
    <x v="5"/>
    <s v="DAX Black Cherry Wood-Tone Poster Frame"/>
    <n v="21.18"/>
    <n v="2"/>
    <n v="-11.65"/>
  </r>
  <r>
    <d v="2017-09-08T00:00:00"/>
    <x v="3"/>
    <x v="6"/>
    <x v="535"/>
    <x v="4"/>
    <x v="2"/>
    <x v="3"/>
    <s v="Xerox 205"/>
    <n v="20.74"/>
    <n v="4"/>
    <n v="7.26"/>
  </r>
  <r>
    <d v="2017-09-08T00:00:00"/>
    <x v="3"/>
    <x v="6"/>
    <x v="535"/>
    <x v="4"/>
    <x v="1"/>
    <x v="1"/>
    <s v="Global Armless Task Chair, Royal Blue"/>
    <n v="213.43"/>
    <n v="5"/>
    <n v="-39.64"/>
  </r>
  <r>
    <d v="2017-09-08T00:00:00"/>
    <x v="3"/>
    <x v="6"/>
    <x v="485"/>
    <x v="11"/>
    <x v="2"/>
    <x v="6"/>
    <s v="Decoflex Hanging Personal Folder File, Blue"/>
    <n v="61.68"/>
    <n v="5"/>
    <n v="5.4"/>
  </r>
  <r>
    <d v="2017-09-08T00:00:00"/>
    <x v="3"/>
    <x v="6"/>
    <x v="485"/>
    <x v="11"/>
    <x v="0"/>
    <x v="2"/>
    <s v="Samsung Rugby III"/>
    <n v="158.38"/>
    <n v="3"/>
    <n v="13.86"/>
  </r>
  <r>
    <d v="2017-09-08T00:00:00"/>
    <x v="3"/>
    <x v="6"/>
    <x v="436"/>
    <x v="2"/>
    <x v="2"/>
    <x v="6"/>
    <s v="Adjustable Personal File Tote"/>
    <n v="65.12"/>
    <n v="4"/>
    <n v="16.93"/>
  </r>
  <r>
    <d v="2017-10-08T00:00:00"/>
    <x v="3"/>
    <x v="7"/>
    <x v="183"/>
    <x v="5"/>
    <x v="0"/>
    <x v="2"/>
    <s v="Digium D40 VoIP phone"/>
    <n v="103.19"/>
    <n v="1"/>
    <n v="11.61"/>
  </r>
  <r>
    <d v="2017-10-08T00:00:00"/>
    <x v="3"/>
    <x v="7"/>
    <x v="183"/>
    <x v="5"/>
    <x v="0"/>
    <x v="0"/>
    <s v="KeyTronicÂ E03601U1 -Â KeyboardÂ - Beige"/>
    <n v="36"/>
    <n v="2"/>
    <n v="6.48"/>
  </r>
  <r>
    <d v="2017-10-08T00:00:00"/>
    <x v="3"/>
    <x v="7"/>
    <x v="183"/>
    <x v="5"/>
    <x v="0"/>
    <x v="0"/>
    <s v="LogitechÂ Illuminated - Keyboard"/>
    <n v="239.96"/>
    <n v="4"/>
    <n v="115.18"/>
  </r>
  <r>
    <d v="2017-10-08T00:00:00"/>
    <x v="3"/>
    <x v="7"/>
    <x v="183"/>
    <x v="5"/>
    <x v="2"/>
    <x v="6"/>
    <s v="Tennsco Commercial Shelving"/>
    <n v="40.68"/>
    <n v="2"/>
    <n v="0.41"/>
  </r>
  <r>
    <d v="2017-10-08T00:00:00"/>
    <x v="3"/>
    <x v="7"/>
    <x v="311"/>
    <x v="40"/>
    <x v="2"/>
    <x v="6"/>
    <s v="SAFCO Mobile Desk Side File, Wire Frame"/>
    <n v="42.76"/>
    <n v="1"/>
    <n v="11.12"/>
  </r>
  <r>
    <d v="2017-10-08T00:00:00"/>
    <x v="3"/>
    <x v="7"/>
    <x v="554"/>
    <x v="2"/>
    <x v="1"/>
    <x v="1"/>
    <s v="Office Star - Ergonomically Designed Knee Chair"/>
    <n v="145.76"/>
    <n v="2"/>
    <n v="3.24"/>
  </r>
  <r>
    <d v="2017-11-08T00:00:00"/>
    <x v="3"/>
    <x v="8"/>
    <x v="671"/>
    <x v="2"/>
    <x v="2"/>
    <x v="11"/>
    <s v="Panasonic KP-310 Heavy-Duty Electric Pencil Sharpener"/>
    <n v="109.9"/>
    <n v="5"/>
    <n v="32.97"/>
  </r>
  <r>
    <d v="2017-11-08T00:00:00"/>
    <x v="3"/>
    <x v="8"/>
    <x v="296"/>
    <x v="24"/>
    <x v="1"/>
    <x v="5"/>
    <s v="Howard Miller Distant Time Traveler Alarm Clock"/>
    <n v="274.2"/>
    <n v="10"/>
    <n v="112.42"/>
  </r>
  <r>
    <d v="2017-12-08T00:00:00"/>
    <x v="3"/>
    <x v="9"/>
    <x v="145"/>
    <x v="5"/>
    <x v="0"/>
    <x v="0"/>
    <s v="Sony 64GB Class 10 Micro SDHC R40 Memory Card"/>
    <n v="179.95"/>
    <n v="5"/>
    <n v="37.79"/>
  </r>
  <r>
    <d v="2017-12-08T00:00:00"/>
    <x v="3"/>
    <x v="9"/>
    <x v="145"/>
    <x v="5"/>
    <x v="0"/>
    <x v="12"/>
    <s v="Sharp AL-1530CS Digital Copier"/>
    <n v="1199.98"/>
    <n v="3"/>
    <n v="434.99"/>
  </r>
  <r>
    <d v="2017-12-08T00:00:00"/>
    <x v="3"/>
    <x v="9"/>
    <x v="145"/>
    <x v="5"/>
    <x v="2"/>
    <x v="3"/>
    <s v="Wirebound Message Book, 4 per Page"/>
    <n v="27.15"/>
    <n v="5"/>
    <n v="13.3"/>
  </r>
  <r>
    <d v="2017-12-08T00:00:00"/>
    <x v="3"/>
    <x v="9"/>
    <x v="145"/>
    <x v="5"/>
    <x v="1"/>
    <x v="7"/>
    <s v="Bevis Round Conference Table Top, X-Base"/>
    <n v="1004.02"/>
    <n v="7"/>
    <n v="-112.95"/>
  </r>
  <r>
    <d v="2017-12-08T00:00:00"/>
    <x v="3"/>
    <x v="9"/>
    <x v="145"/>
    <x v="5"/>
    <x v="2"/>
    <x v="3"/>
    <s v="Wirebound Service Call Books, 5 1/2&quot; x 4&quot;"/>
    <n v="9.68"/>
    <n v="1"/>
    <n v="4.6500000000000004"/>
  </r>
  <r>
    <d v="2017-12-08T00:00:00"/>
    <x v="3"/>
    <x v="9"/>
    <x v="145"/>
    <x v="5"/>
    <x v="2"/>
    <x v="8"/>
    <s v="Self-Adhesive Removable Labels"/>
    <n v="28.35"/>
    <n v="9"/>
    <n v="13.61"/>
  </r>
  <r>
    <d v="2017-12-08T00:00:00"/>
    <x v="3"/>
    <x v="9"/>
    <x v="145"/>
    <x v="5"/>
    <x v="2"/>
    <x v="3"/>
    <s v="Xerox 1908"/>
    <n v="55.98"/>
    <n v="1"/>
    <n v="27.43"/>
  </r>
  <r>
    <d v="2017-12-08T00:00:00"/>
    <x v="3"/>
    <x v="9"/>
    <x v="145"/>
    <x v="5"/>
    <x v="1"/>
    <x v="16"/>
    <s v="O'Sullivan 4-Shelf Bookcase in Odessa Pine"/>
    <n v="1336.83"/>
    <n v="13"/>
    <n v="31.45"/>
  </r>
  <r>
    <d v="2017-12-08T00:00:00"/>
    <x v="3"/>
    <x v="9"/>
    <x v="145"/>
    <x v="5"/>
    <x v="1"/>
    <x v="1"/>
    <s v="Novimex High-Tech Fabric Mesh Task Chair"/>
    <n v="113.57"/>
    <n v="2"/>
    <n v="-18.45"/>
  </r>
  <r>
    <d v="2017-12-08T00:00:00"/>
    <x v="3"/>
    <x v="9"/>
    <x v="159"/>
    <x v="2"/>
    <x v="1"/>
    <x v="5"/>
    <s v="C-Line Cubicle Keepers Polyproplyene Holder w/Velcro Back, 8-1/2x11, 25/Bx"/>
    <n v="109.48"/>
    <n v="2"/>
    <n v="33.94"/>
  </r>
  <r>
    <d v="2017-12-08T00:00:00"/>
    <x v="3"/>
    <x v="9"/>
    <x v="159"/>
    <x v="2"/>
    <x v="2"/>
    <x v="6"/>
    <s v="Safco Industrial Wire Shelving System"/>
    <n v="272.94"/>
    <n v="3"/>
    <n v="0"/>
  </r>
  <r>
    <d v="2017-12-08T00:00:00"/>
    <x v="3"/>
    <x v="9"/>
    <x v="159"/>
    <x v="2"/>
    <x v="2"/>
    <x v="3"/>
    <s v="Xerox 1996"/>
    <n v="19.440000000000001"/>
    <n v="3"/>
    <n v="9.33"/>
  </r>
  <r>
    <d v="2017-12-08T00:00:00"/>
    <x v="3"/>
    <x v="9"/>
    <x v="159"/>
    <x v="2"/>
    <x v="2"/>
    <x v="6"/>
    <s v="Iris Project Case"/>
    <n v="31.92"/>
    <n v="4"/>
    <n v="8.3000000000000007"/>
  </r>
  <r>
    <d v="2017-12-08T00:00:00"/>
    <x v="3"/>
    <x v="9"/>
    <x v="178"/>
    <x v="5"/>
    <x v="2"/>
    <x v="6"/>
    <s v="Akro-Mils 12-Gallon Tote"/>
    <n v="29.79"/>
    <n v="3"/>
    <n v="8.64"/>
  </r>
  <r>
    <d v="2017-12-08T00:00:00"/>
    <x v="3"/>
    <x v="9"/>
    <x v="178"/>
    <x v="5"/>
    <x v="1"/>
    <x v="5"/>
    <s v="Tenex Traditional Chairmats for Hard Floors, Average Lip, 36&quot; x 48&quot;"/>
    <n v="128.9"/>
    <n v="2"/>
    <n v="15.47"/>
  </r>
  <r>
    <d v="2017-12-08T00:00:00"/>
    <x v="3"/>
    <x v="9"/>
    <x v="178"/>
    <x v="5"/>
    <x v="2"/>
    <x v="3"/>
    <s v="Xerox 1968"/>
    <n v="60.12"/>
    <n v="9"/>
    <n v="28.86"/>
  </r>
  <r>
    <d v="2017-12-08T00:00:00"/>
    <x v="3"/>
    <x v="9"/>
    <x v="378"/>
    <x v="5"/>
    <x v="2"/>
    <x v="10"/>
    <s v="Belkin 8-Outlet Premiere SurgeMaster II Surge Protectors"/>
    <n v="69.48"/>
    <n v="1"/>
    <n v="20.84"/>
  </r>
  <r>
    <d v="2017-12-08T00:00:00"/>
    <x v="3"/>
    <x v="9"/>
    <x v="94"/>
    <x v="5"/>
    <x v="2"/>
    <x v="3"/>
    <s v="Standard Line Â“While You Were OutÂ” Hardbound Telephone Message Book"/>
    <n v="87.92"/>
    <n v="4"/>
    <n v="40.44"/>
  </r>
  <r>
    <d v="2017-12-08T00:00:00"/>
    <x v="3"/>
    <x v="9"/>
    <x v="94"/>
    <x v="5"/>
    <x v="2"/>
    <x v="9"/>
    <s v="Performers Binder/Pad Holder, Black"/>
    <n v="22.42"/>
    <n v="1"/>
    <n v="8.41"/>
  </r>
  <r>
    <d v="2017-12-08T00:00:00"/>
    <x v="3"/>
    <x v="9"/>
    <x v="94"/>
    <x v="5"/>
    <x v="2"/>
    <x v="9"/>
    <s v="Vinyl Sectional Post Binders"/>
    <n v="90.48"/>
    <n v="3"/>
    <n v="33.93"/>
  </r>
  <r>
    <d v="2017-12-08T00:00:00"/>
    <x v="3"/>
    <x v="9"/>
    <x v="94"/>
    <x v="5"/>
    <x v="2"/>
    <x v="6"/>
    <s v="SAFCO Mobile Desk Side File, Wire Frame"/>
    <n v="42.76"/>
    <n v="1"/>
    <n v="11.12"/>
  </r>
  <r>
    <d v="2017-12-08T00:00:00"/>
    <x v="3"/>
    <x v="9"/>
    <x v="249"/>
    <x v="0"/>
    <x v="0"/>
    <x v="0"/>
    <s v="Logitech G105 Gaming Keyboard"/>
    <n v="178.11"/>
    <n v="3"/>
    <n v="32.06"/>
  </r>
  <r>
    <d v="2017-12-08T00:00:00"/>
    <x v="3"/>
    <x v="9"/>
    <x v="249"/>
    <x v="0"/>
    <x v="2"/>
    <x v="10"/>
    <s v="Hoover WindTunnel Plus Canister Vacuum"/>
    <n v="1089.75"/>
    <n v="3"/>
    <n v="305.13"/>
  </r>
  <r>
    <d v="2017-12-08T00:00:00"/>
    <x v="3"/>
    <x v="9"/>
    <x v="249"/>
    <x v="0"/>
    <x v="2"/>
    <x v="8"/>
    <s v="Avery 4027 File Folder Labels for Dot Matrix Printers, 5000 Labels per Box, White"/>
    <n v="61.06"/>
    <n v="2"/>
    <n v="28.09"/>
  </r>
  <r>
    <d v="2017-12-08T00:00:00"/>
    <x v="3"/>
    <x v="9"/>
    <x v="249"/>
    <x v="0"/>
    <x v="1"/>
    <x v="16"/>
    <s v="Sauder Camden County Collection Libraries, Planked Cherry Finish"/>
    <n v="459.92"/>
    <n v="4"/>
    <n v="41.39"/>
  </r>
  <r>
    <d v="2017-12-08T00:00:00"/>
    <x v="3"/>
    <x v="9"/>
    <x v="249"/>
    <x v="0"/>
    <x v="2"/>
    <x v="3"/>
    <s v="Adams Phone Message Book, 200 Message Capacity, 8 1/16Â” x 11Â”"/>
    <n v="27.52"/>
    <n v="4"/>
    <n v="12.66"/>
  </r>
  <r>
    <d v="2017-12-08T00:00:00"/>
    <x v="3"/>
    <x v="9"/>
    <x v="235"/>
    <x v="40"/>
    <x v="2"/>
    <x v="6"/>
    <s v="Recycled Data-Pak for Archival Bound Computer Printouts, 12-1/2 x 12-1/2 x 16"/>
    <n v="592.74"/>
    <n v="6"/>
    <n v="160.04"/>
  </r>
  <r>
    <d v="2017-12-08T00:00:00"/>
    <x v="3"/>
    <x v="9"/>
    <x v="359"/>
    <x v="13"/>
    <x v="1"/>
    <x v="1"/>
    <s v="Global Deluxe Steno Chair"/>
    <n v="215.54"/>
    <n v="4"/>
    <n v="-58.5"/>
  </r>
  <r>
    <d v="2017-12-08T00:00:00"/>
    <x v="3"/>
    <x v="9"/>
    <x v="467"/>
    <x v="13"/>
    <x v="2"/>
    <x v="11"/>
    <s v="BIC Brite Liner Highlighters"/>
    <n v="13.25"/>
    <n v="4"/>
    <n v="3.64"/>
  </r>
  <r>
    <d v="2017-12-08T00:00:00"/>
    <x v="3"/>
    <x v="9"/>
    <x v="467"/>
    <x v="13"/>
    <x v="0"/>
    <x v="2"/>
    <s v="iHome FM Clock Radio with Lightning Dock"/>
    <n v="83.99"/>
    <n v="2"/>
    <n v="-21"/>
  </r>
  <r>
    <d v="2017-01-09T00:00:00"/>
    <x v="3"/>
    <x v="11"/>
    <x v="86"/>
    <x v="13"/>
    <x v="2"/>
    <x v="9"/>
    <s v="Ibico Hi-Tech Manual Binding System"/>
    <n v="274.49"/>
    <n v="3"/>
    <n v="-228.74"/>
  </r>
  <r>
    <d v="2017-02-09T00:00:00"/>
    <x v="3"/>
    <x v="0"/>
    <x v="717"/>
    <x v="4"/>
    <x v="2"/>
    <x v="9"/>
    <s v="GBC ProClick 150 Presentation Binding System"/>
    <n v="252.78"/>
    <n v="4"/>
    <n v="-417.09"/>
  </r>
  <r>
    <d v="2017-02-09T00:00:00"/>
    <x v="3"/>
    <x v="0"/>
    <x v="717"/>
    <x v="4"/>
    <x v="0"/>
    <x v="0"/>
    <s v="Razer Kraken PRO Over Ear PC and Music Headset"/>
    <n v="127.98"/>
    <n v="2"/>
    <n v="16"/>
  </r>
  <r>
    <d v="2017-02-09T00:00:00"/>
    <x v="3"/>
    <x v="0"/>
    <x v="717"/>
    <x v="4"/>
    <x v="1"/>
    <x v="5"/>
    <s v="Stacking Trays by OIC"/>
    <n v="3.98"/>
    <n v="2"/>
    <n v="-2.69"/>
  </r>
  <r>
    <d v="2017-02-09T00:00:00"/>
    <x v="3"/>
    <x v="0"/>
    <x v="717"/>
    <x v="4"/>
    <x v="2"/>
    <x v="10"/>
    <s v="Belkin F9S820V06 8 Outlet Surge"/>
    <n v="12.99"/>
    <n v="2"/>
    <n v="-32.479999999999997"/>
  </r>
  <r>
    <d v="2017-02-09T00:00:00"/>
    <x v="3"/>
    <x v="0"/>
    <x v="113"/>
    <x v="5"/>
    <x v="1"/>
    <x v="5"/>
    <s v="Master Big Foot Doorstop, Beige"/>
    <n v="21.12"/>
    <n v="4"/>
    <n v="6.55"/>
  </r>
  <r>
    <d v="2017-02-09T00:00:00"/>
    <x v="3"/>
    <x v="0"/>
    <x v="168"/>
    <x v="5"/>
    <x v="2"/>
    <x v="6"/>
    <s v="Sensible Storage WireTech Storage Systems"/>
    <n v="354.9"/>
    <n v="5"/>
    <n v="17.75"/>
  </r>
  <r>
    <d v="2017-03-09T00:00:00"/>
    <x v="3"/>
    <x v="1"/>
    <x v="575"/>
    <x v="5"/>
    <x v="0"/>
    <x v="0"/>
    <s v="Logitech Wireless Headset h800"/>
    <n v="199.98"/>
    <n v="2"/>
    <n v="69.989999999999995"/>
  </r>
  <r>
    <d v="2017-03-09T00:00:00"/>
    <x v="3"/>
    <x v="1"/>
    <x v="345"/>
    <x v="5"/>
    <x v="0"/>
    <x v="12"/>
    <s v="Hewlett Packard 310 Color Digital Copier"/>
    <n v="479.98"/>
    <n v="2"/>
    <n v="60"/>
  </r>
  <r>
    <d v="2017-03-09T00:00:00"/>
    <x v="3"/>
    <x v="1"/>
    <x v="345"/>
    <x v="5"/>
    <x v="2"/>
    <x v="9"/>
    <s v="DXL Angle-View Binders with Locking Rings by Samsill"/>
    <n v="30.84"/>
    <n v="5"/>
    <n v="9.64"/>
  </r>
  <r>
    <d v="2017-04-09T00:00:00"/>
    <x v="3"/>
    <x v="2"/>
    <x v="718"/>
    <x v="2"/>
    <x v="2"/>
    <x v="8"/>
    <s v="Color-Coded Legal Exhibit Labels"/>
    <n v="9.82"/>
    <n v="2"/>
    <n v="4.8099999999999996"/>
  </r>
  <r>
    <d v="2017-04-09T00:00:00"/>
    <x v="3"/>
    <x v="2"/>
    <x v="718"/>
    <x v="2"/>
    <x v="2"/>
    <x v="11"/>
    <s v="Bulldog Vacuum Base Pencil Sharpener"/>
    <n v="35.97"/>
    <n v="3"/>
    <n v="9.7100000000000009"/>
  </r>
  <r>
    <d v="2017-04-09T00:00:00"/>
    <x v="3"/>
    <x v="2"/>
    <x v="718"/>
    <x v="2"/>
    <x v="2"/>
    <x v="3"/>
    <s v="Xerox 212"/>
    <n v="12.96"/>
    <n v="2"/>
    <n v="6.22"/>
  </r>
  <r>
    <d v="2017-04-09T00:00:00"/>
    <x v="3"/>
    <x v="2"/>
    <x v="718"/>
    <x v="2"/>
    <x v="2"/>
    <x v="3"/>
    <s v="Computer Printout Paper with Letter-Trim Fine Perforations"/>
    <n v="191.6"/>
    <n v="4"/>
    <n v="91.97"/>
  </r>
  <r>
    <d v="2017-04-09T00:00:00"/>
    <x v="3"/>
    <x v="2"/>
    <x v="718"/>
    <x v="2"/>
    <x v="2"/>
    <x v="8"/>
    <s v="Avery File Folder Labels"/>
    <n v="8.64"/>
    <n v="3"/>
    <n v="4.2300000000000004"/>
  </r>
  <r>
    <d v="2017-04-09T00:00:00"/>
    <x v="3"/>
    <x v="2"/>
    <x v="718"/>
    <x v="2"/>
    <x v="2"/>
    <x v="6"/>
    <s v="Office Impressions Heavy Duty Welded Shelving &amp; Multimedia Storage Drawers"/>
    <n v="501.81"/>
    <n v="3"/>
    <n v="0"/>
  </r>
  <r>
    <d v="2017-04-09T00:00:00"/>
    <x v="3"/>
    <x v="2"/>
    <x v="678"/>
    <x v="11"/>
    <x v="2"/>
    <x v="8"/>
    <s v="Avery 48"/>
    <n v="15.12"/>
    <n v="3"/>
    <n v="4.91"/>
  </r>
  <r>
    <d v="2017-04-09T00:00:00"/>
    <x v="3"/>
    <x v="2"/>
    <x v="678"/>
    <x v="11"/>
    <x v="2"/>
    <x v="9"/>
    <s v="Avery Arch Ring Binders"/>
    <n v="17.43"/>
    <n v="1"/>
    <n v="-13.36"/>
  </r>
  <r>
    <d v="2017-04-09T00:00:00"/>
    <x v="3"/>
    <x v="2"/>
    <x v="678"/>
    <x v="11"/>
    <x v="2"/>
    <x v="3"/>
    <s v="Xerox 1915"/>
    <n v="251.64"/>
    <n v="3"/>
    <n v="88.07"/>
  </r>
  <r>
    <d v="2017-04-09T00:00:00"/>
    <x v="3"/>
    <x v="2"/>
    <x v="284"/>
    <x v="10"/>
    <x v="2"/>
    <x v="9"/>
    <s v="GBC Recycled Regency Composition Covers"/>
    <n v="478.24"/>
    <n v="8"/>
    <n v="219.99"/>
  </r>
  <r>
    <d v="2017-04-09T00:00:00"/>
    <x v="3"/>
    <x v="2"/>
    <x v="343"/>
    <x v="13"/>
    <x v="2"/>
    <x v="9"/>
    <s v="Tuf-Vin Binders"/>
    <n v="37.9"/>
    <n v="4"/>
    <n v="-29.05"/>
  </r>
  <r>
    <d v="2017-04-09T00:00:00"/>
    <x v="3"/>
    <x v="2"/>
    <x v="343"/>
    <x v="13"/>
    <x v="2"/>
    <x v="3"/>
    <s v="Xerox 1893"/>
    <n v="65.58"/>
    <n v="2"/>
    <n v="23.77"/>
  </r>
  <r>
    <d v="2017-05-09T00:00:00"/>
    <x v="3"/>
    <x v="10"/>
    <x v="34"/>
    <x v="12"/>
    <x v="2"/>
    <x v="13"/>
    <s v="Tyvek  Top-Opening Peel &amp; Seel Envelopes, Plain White"/>
    <n v="65.23"/>
    <n v="3"/>
    <n v="22.02"/>
  </r>
  <r>
    <d v="2017-05-09T00:00:00"/>
    <x v="3"/>
    <x v="10"/>
    <x v="34"/>
    <x v="12"/>
    <x v="1"/>
    <x v="1"/>
    <s v="Harbour Creations Steel Folding Chair"/>
    <n v="207"/>
    <n v="3"/>
    <n v="25.88"/>
  </r>
  <r>
    <d v="2017-05-09T00:00:00"/>
    <x v="3"/>
    <x v="10"/>
    <x v="524"/>
    <x v="1"/>
    <x v="2"/>
    <x v="9"/>
    <s v="GBC Velobind Prepunched Cover Sets, Regency Series"/>
    <n v="147.91999999999999"/>
    <n v="5"/>
    <n v="46.23"/>
  </r>
  <r>
    <d v="2017-05-09T00:00:00"/>
    <x v="3"/>
    <x v="10"/>
    <x v="524"/>
    <x v="1"/>
    <x v="2"/>
    <x v="6"/>
    <s v="Home/Office Personal File Carts"/>
    <n v="104.28"/>
    <n v="3"/>
    <n v="26.07"/>
  </r>
  <r>
    <d v="2017-05-09T00:00:00"/>
    <x v="3"/>
    <x v="10"/>
    <x v="524"/>
    <x v="1"/>
    <x v="1"/>
    <x v="7"/>
    <s v="Riverside Furniture Oval Coffee Table, Oval End Table, End Table with Drawer"/>
    <n v="286.85000000000002"/>
    <n v="1"/>
    <n v="63.11"/>
  </r>
  <r>
    <d v="2017-05-09T00:00:00"/>
    <x v="3"/>
    <x v="10"/>
    <x v="524"/>
    <x v="1"/>
    <x v="2"/>
    <x v="6"/>
    <s v="Rogers Profile Extra Capacity Storage Tub"/>
    <n v="66.959999999999994"/>
    <n v="4"/>
    <n v="2.68"/>
  </r>
  <r>
    <d v="2017-05-09T00:00:00"/>
    <x v="3"/>
    <x v="10"/>
    <x v="524"/>
    <x v="1"/>
    <x v="0"/>
    <x v="0"/>
    <s v="Razer Kraken 7.1 Surround Sound Over Ear USB Gaming Headset"/>
    <n v="199.98"/>
    <n v="2"/>
    <n v="87.99"/>
  </r>
  <r>
    <d v="2017-06-09T00:00:00"/>
    <x v="3"/>
    <x v="3"/>
    <x v="680"/>
    <x v="3"/>
    <x v="1"/>
    <x v="5"/>
    <s v="12-1/2 Diameter Round Wall Clock"/>
    <n v="23.98"/>
    <n v="3"/>
    <n v="-14.39"/>
  </r>
  <r>
    <d v="2017-06-09T00:00:00"/>
    <x v="3"/>
    <x v="3"/>
    <x v="680"/>
    <x v="3"/>
    <x v="1"/>
    <x v="7"/>
    <s v="Chromcraft Bull-Nose Wood Round Conference Table Top, Wood Base"/>
    <n v="108.93"/>
    <n v="1"/>
    <n v="-71.89"/>
  </r>
  <r>
    <d v="2017-06-09T00:00:00"/>
    <x v="3"/>
    <x v="3"/>
    <x v="680"/>
    <x v="3"/>
    <x v="2"/>
    <x v="3"/>
    <s v="Adams Telephone Message Book W/Dividers/Space For Phone Numbers, 5 1/4&quot;X8 1/2&quot;, 200/Messages"/>
    <n v="36.35"/>
    <n v="8"/>
    <n v="11.36"/>
  </r>
  <r>
    <d v="2017-06-09T00:00:00"/>
    <x v="3"/>
    <x v="3"/>
    <x v="343"/>
    <x v="4"/>
    <x v="2"/>
    <x v="6"/>
    <s v="Standard Rollaway File with Lock"/>
    <n v="720.76"/>
    <n v="5"/>
    <n v="54.06"/>
  </r>
  <r>
    <d v="2017-06-09T00:00:00"/>
    <x v="3"/>
    <x v="3"/>
    <x v="431"/>
    <x v="20"/>
    <x v="2"/>
    <x v="3"/>
    <s v="Easy-staple paper"/>
    <n v="49.12"/>
    <n v="4"/>
    <n v="23.09"/>
  </r>
  <r>
    <d v="2017-07-09T00:00:00"/>
    <x v="3"/>
    <x v="4"/>
    <x v="715"/>
    <x v="16"/>
    <x v="2"/>
    <x v="9"/>
    <s v="Wilson Jones Easy Flow II Sheet Lifters"/>
    <n v="1.08"/>
    <n v="2"/>
    <n v="-0.79"/>
  </r>
  <r>
    <d v="2017-07-09T00:00:00"/>
    <x v="3"/>
    <x v="4"/>
    <x v="433"/>
    <x v="3"/>
    <x v="2"/>
    <x v="11"/>
    <s v="Quartet Alpha White Chalk, 12/Pack"/>
    <n v="8.84"/>
    <n v="5"/>
    <n v="2.98"/>
  </r>
  <r>
    <d v="2017-07-09T00:00:00"/>
    <x v="3"/>
    <x v="4"/>
    <x v="433"/>
    <x v="3"/>
    <x v="2"/>
    <x v="10"/>
    <s v="Belkin F9S820V06 8 Outlet Surge"/>
    <n v="58.46"/>
    <n v="9"/>
    <n v="-146.16"/>
  </r>
  <r>
    <d v="2017-07-09T00:00:00"/>
    <x v="3"/>
    <x v="4"/>
    <x v="370"/>
    <x v="3"/>
    <x v="2"/>
    <x v="6"/>
    <s v="Recycled Steel Personal File for Hanging File Folders"/>
    <n v="228.92"/>
    <n v="5"/>
    <n v="14.31"/>
  </r>
  <r>
    <d v="2017-07-09T00:00:00"/>
    <x v="3"/>
    <x v="4"/>
    <x v="719"/>
    <x v="33"/>
    <x v="1"/>
    <x v="5"/>
    <s v="Eldon Antistatic Chair Mats for Low to Medium Pile Carpets"/>
    <n v="526.45000000000005"/>
    <n v="5"/>
    <n v="31.59"/>
  </r>
  <r>
    <d v="2017-07-09T00:00:00"/>
    <x v="3"/>
    <x v="4"/>
    <x v="541"/>
    <x v="25"/>
    <x v="2"/>
    <x v="3"/>
    <s v="Xerox 1914"/>
    <n v="274.8"/>
    <n v="5"/>
    <n v="134.65"/>
  </r>
  <r>
    <d v="2017-07-09T00:00:00"/>
    <x v="3"/>
    <x v="4"/>
    <x v="541"/>
    <x v="25"/>
    <x v="2"/>
    <x v="6"/>
    <s v="Tennsco Industrial Shelving"/>
    <n v="195.64"/>
    <n v="4"/>
    <n v="3.91"/>
  </r>
  <r>
    <d v="2017-07-09T00:00:00"/>
    <x v="3"/>
    <x v="4"/>
    <x v="541"/>
    <x v="25"/>
    <x v="0"/>
    <x v="2"/>
    <s v="Digium D40 VoIP phone"/>
    <n v="257.98"/>
    <n v="2"/>
    <n v="74.81"/>
  </r>
  <r>
    <d v="2017-07-09T00:00:00"/>
    <x v="3"/>
    <x v="4"/>
    <x v="541"/>
    <x v="25"/>
    <x v="2"/>
    <x v="11"/>
    <s v="Prismacolor Color Pencil Set"/>
    <n v="119.04"/>
    <n v="6"/>
    <n v="48.81"/>
  </r>
  <r>
    <d v="2017-09-09T00:00:00"/>
    <x v="3"/>
    <x v="6"/>
    <x v="221"/>
    <x v="13"/>
    <x v="1"/>
    <x v="1"/>
    <s v="Global Low Back Tilter Chair"/>
    <n v="141.37"/>
    <n v="2"/>
    <n v="-48.47"/>
  </r>
  <r>
    <d v="2017-09-09T00:00:00"/>
    <x v="3"/>
    <x v="6"/>
    <x v="221"/>
    <x v="13"/>
    <x v="2"/>
    <x v="9"/>
    <s v="Wilson Jones Standard D-Ring Binders"/>
    <n v="3.04"/>
    <n v="2"/>
    <n v="-2.33"/>
  </r>
  <r>
    <d v="2017-09-09T00:00:00"/>
    <x v="3"/>
    <x v="6"/>
    <x v="221"/>
    <x v="13"/>
    <x v="2"/>
    <x v="9"/>
    <s v="GBC Prepunched Paper, 19-Hole, for Binding Systems, 24-lb"/>
    <n v="4.5"/>
    <n v="1"/>
    <n v="-3.6"/>
  </r>
  <r>
    <d v="2017-09-09T00:00:00"/>
    <x v="3"/>
    <x v="6"/>
    <x v="221"/>
    <x v="13"/>
    <x v="2"/>
    <x v="11"/>
    <s v="Quartet Omega Colored Chalk, 12/Pack"/>
    <n v="4.67"/>
    <n v="1"/>
    <n v="1.58"/>
  </r>
  <r>
    <d v="2017-09-09T00:00:00"/>
    <x v="3"/>
    <x v="6"/>
    <x v="221"/>
    <x v="13"/>
    <x v="0"/>
    <x v="0"/>
    <s v="Microsoft Sculpt Comfort Mouse"/>
    <n v="95.88"/>
    <n v="3"/>
    <n v="28.76"/>
  </r>
  <r>
    <d v="2017-09-09T00:00:00"/>
    <x v="3"/>
    <x v="6"/>
    <x v="221"/>
    <x v="13"/>
    <x v="1"/>
    <x v="5"/>
    <s v="Eldon Expressions Punched Metal &amp; Wood Desk Accessories, Pewter &amp; Cherry"/>
    <n v="17.02"/>
    <n v="2"/>
    <n v="1.7"/>
  </r>
  <r>
    <d v="2017-09-09T00:00:00"/>
    <x v="3"/>
    <x v="6"/>
    <x v="221"/>
    <x v="13"/>
    <x v="0"/>
    <x v="0"/>
    <s v="Plantronics S12 Corded Telephone Headset System"/>
    <n v="258.7"/>
    <n v="3"/>
    <n v="64.67"/>
  </r>
  <r>
    <d v="2017-09-09T00:00:00"/>
    <x v="3"/>
    <x v="6"/>
    <x v="221"/>
    <x v="13"/>
    <x v="0"/>
    <x v="2"/>
    <s v="Samsung Galaxy Note 2"/>
    <n v="1931.96"/>
    <n v="7"/>
    <n v="-386.39"/>
  </r>
  <r>
    <d v="2017-09-09T00:00:00"/>
    <x v="3"/>
    <x v="6"/>
    <x v="193"/>
    <x v="29"/>
    <x v="2"/>
    <x v="6"/>
    <s v="Fellowes Officeware Wire Shelving"/>
    <n v="628.80999999999995"/>
    <n v="7"/>
    <n v="12.58"/>
  </r>
  <r>
    <d v="2017-09-09T00:00:00"/>
    <x v="3"/>
    <x v="6"/>
    <x v="193"/>
    <x v="29"/>
    <x v="2"/>
    <x v="6"/>
    <s v="X-Rack File for Hanging Folders"/>
    <n v="56.45"/>
    <n v="5"/>
    <n v="14.68"/>
  </r>
  <r>
    <d v="2017-09-09T00:00:00"/>
    <x v="3"/>
    <x v="6"/>
    <x v="388"/>
    <x v="26"/>
    <x v="2"/>
    <x v="15"/>
    <s v="Staple remover"/>
    <n v="8.83"/>
    <n v="3"/>
    <n v="-1.99"/>
  </r>
  <r>
    <d v="2017-09-09T00:00:00"/>
    <x v="3"/>
    <x v="6"/>
    <x v="388"/>
    <x v="26"/>
    <x v="2"/>
    <x v="3"/>
    <s v="Xerox 1888"/>
    <n v="177.54"/>
    <n v="4"/>
    <n v="62.14"/>
  </r>
  <r>
    <d v="2017-09-09T00:00:00"/>
    <x v="3"/>
    <x v="6"/>
    <x v="388"/>
    <x v="26"/>
    <x v="2"/>
    <x v="6"/>
    <s v="Fellowes Super Stor/Drawer Files"/>
    <n v="258.48"/>
    <n v="2"/>
    <n v="-3.23"/>
  </r>
  <r>
    <d v="2017-09-09T00:00:00"/>
    <x v="3"/>
    <x v="6"/>
    <x v="388"/>
    <x v="26"/>
    <x v="1"/>
    <x v="5"/>
    <s v="Eldon Wave Desk Accessories"/>
    <n v="14.14"/>
    <n v="3"/>
    <n v="4.24"/>
  </r>
  <r>
    <d v="2017-09-09T00:00:00"/>
    <x v="3"/>
    <x v="6"/>
    <x v="621"/>
    <x v="10"/>
    <x v="2"/>
    <x v="13"/>
    <s v="#10- 4 1/8&quot; x 9 1/2&quot; Recycled Envelopes"/>
    <n v="17.48"/>
    <n v="2"/>
    <n v="8.2200000000000006"/>
  </r>
  <r>
    <d v="2017-09-09T00:00:00"/>
    <x v="3"/>
    <x v="6"/>
    <x v="254"/>
    <x v="23"/>
    <x v="2"/>
    <x v="3"/>
    <s v="Unpadded Memo Slips"/>
    <n v="6.37"/>
    <n v="2"/>
    <n v="2.39"/>
  </r>
  <r>
    <d v="2017-09-09T00:00:00"/>
    <x v="3"/>
    <x v="6"/>
    <x v="59"/>
    <x v="5"/>
    <x v="2"/>
    <x v="11"/>
    <s v="Newell 35"/>
    <n v="6.56"/>
    <n v="2"/>
    <n v="1.9"/>
  </r>
  <r>
    <d v="2017-09-09T00:00:00"/>
    <x v="3"/>
    <x v="6"/>
    <x v="59"/>
    <x v="5"/>
    <x v="1"/>
    <x v="1"/>
    <s v="Novimex Fabric Task Chair"/>
    <n v="243.92"/>
    <n v="5"/>
    <n v="-15.25"/>
  </r>
  <r>
    <d v="2017-09-09T00:00:00"/>
    <x v="3"/>
    <x v="6"/>
    <x v="59"/>
    <x v="5"/>
    <x v="2"/>
    <x v="3"/>
    <s v="Astroparche Fine Business Paper"/>
    <n v="47.52"/>
    <n v="9"/>
    <n v="22.81"/>
  </r>
  <r>
    <d v="2017-09-09T00:00:00"/>
    <x v="3"/>
    <x v="6"/>
    <x v="333"/>
    <x v="5"/>
    <x v="2"/>
    <x v="6"/>
    <s v="Fellowes Bases and Tops For Staxonsteel/High-Stak Systems"/>
    <n v="99.87"/>
    <n v="3"/>
    <n v="23.97"/>
  </r>
  <r>
    <d v="2017-09-09T00:00:00"/>
    <x v="3"/>
    <x v="6"/>
    <x v="720"/>
    <x v="4"/>
    <x v="2"/>
    <x v="8"/>
    <s v="Avery 511"/>
    <n v="9.86"/>
    <n v="4"/>
    <n v="3.45"/>
  </r>
  <r>
    <d v="2017-09-09T00:00:00"/>
    <x v="3"/>
    <x v="6"/>
    <x v="246"/>
    <x v="18"/>
    <x v="2"/>
    <x v="11"/>
    <s v="BIC Brite Liner Highlighters, Chisel Tip"/>
    <n v="25.92"/>
    <n v="5"/>
    <n v="3.89"/>
  </r>
  <r>
    <d v="2017-09-09T00:00:00"/>
    <x v="3"/>
    <x v="6"/>
    <x v="246"/>
    <x v="18"/>
    <x v="1"/>
    <x v="5"/>
    <s v="Deflect-o EconoMat Studded, No Bevel Mat for Low Pile Carpeting"/>
    <n v="66.11"/>
    <n v="2"/>
    <n v="-9.09"/>
  </r>
  <r>
    <d v="2017-09-09T00:00:00"/>
    <x v="3"/>
    <x v="6"/>
    <x v="34"/>
    <x v="5"/>
    <x v="0"/>
    <x v="0"/>
    <s v="Microsoft Wireless Mobile Mouse 4000"/>
    <n v="159.96"/>
    <n v="4"/>
    <n v="51.19"/>
  </r>
  <r>
    <d v="2017-09-09T00:00:00"/>
    <x v="3"/>
    <x v="6"/>
    <x v="428"/>
    <x v="16"/>
    <x v="2"/>
    <x v="3"/>
    <s v="Xerox 1930"/>
    <n v="31.1"/>
    <n v="6"/>
    <n v="11.28"/>
  </r>
  <r>
    <d v="2017-09-09T00:00:00"/>
    <x v="3"/>
    <x v="6"/>
    <x v="428"/>
    <x v="16"/>
    <x v="2"/>
    <x v="10"/>
    <s v="Belkin 7-Outlet SurgeMaster Home Series"/>
    <n v="11.18"/>
    <n v="1"/>
    <n v="0.84"/>
  </r>
  <r>
    <d v="2017-09-09T00:00:00"/>
    <x v="3"/>
    <x v="6"/>
    <x v="115"/>
    <x v="18"/>
    <x v="2"/>
    <x v="8"/>
    <s v="Avery 501"/>
    <n v="17.71"/>
    <n v="6"/>
    <n v="5.98"/>
  </r>
  <r>
    <d v="2017-09-09T00:00:00"/>
    <x v="3"/>
    <x v="6"/>
    <x v="115"/>
    <x v="18"/>
    <x v="2"/>
    <x v="9"/>
    <s v="3M Organizer Strips"/>
    <n v="4.8600000000000003"/>
    <n v="3"/>
    <n v="-3.56"/>
  </r>
  <r>
    <d v="2017-09-09T00:00:00"/>
    <x v="3"/>
    <x v="6"/>
    <x v="115"/>
    <x v="18"/>
    <x v="2"/>
    <x v="9"/>
    <s v="Acco Data Flex Cable Posts For Top &amp; Bottom Load Binders, 6&quot; Capacity"/>
    <n v="6.26"/>
    <n v="2"/>
    <n v="-5.22"/>
  </r>
  <r>
    <d v="2017-10-09T00:00:00"/>
    <x v="3"/>
    <x v="7"/>
    <x v="501"/>
    <x v="12"/>
    <x v="2"/>
    <x v="3"/>
    <s v="Avoid Verbal Orders Carbonless Minifold Book"/>
    <n v="10.82"/>
    <n v="4"/>
    <n v="3.52"/>
  </r>
  <r>
    <d v="2017-10-09T00:00:00"/>
    <x v="3"/>
    <x v="7"/>
    <x v="182"/>
    <x v="3"/>
    <x v="1"/>
    <x v="7"/>
    <s v="Bevis Oval Conference Table, Walnut"/>
    <n v="652.45000000000005"/>
    <n v="5"/>
    <n v="-430.62"/>
  </r>
  <r>
    <d v="2017-10-09T00:00:00"/>
    <x v="3"/>
    <x v="7"/>
    <x v="182"/>
    <x v="3"/>
    <x v="1"/>
    <x v="7"/>
    <s v="Hon 61000 Series Interactive Training Tables"/>
    <n v="66.650000000000006"/>
    <n v="3"/>
    <n v="-42.65"/>
  </r>
  <r>
    <d v="2017-10-09T00:00:00"/>
    <x v="3"/>
    <x v="7"/>
    <x v="122"/>
    <x v="18"/>
    <x v="1"/>
    <x v="5"/>
    <s v="Nu-Dell Leatherette Frames"/>
    <n v="45.89"/>
    <n v="4"/>
    <n v="9.18"/>
  </r>
  <r>
    <d v="2017-10-09T00:00:00"/>
    <x v="3"/>
    <x v="7"/>
    <x v="711"/>
    <x v="2"/>
    <x v="2"/>
    <x v="9"/>
    <s v="Pressboard Data Binders by Wilson Jones"/>
    <n v="12.82"/>
    <n v="3"/>
    <n v="4.33"/>
  </r>
  <r>
    <d v="2017-10-09T00:00:00"/>
    <x v="3"/>
    <x v="7"/>
    <x v="711"/>
    <x v="2"/>
    <x v="1"/>
    <x v="16"/>
    <s v="O'Sullivan Elevations Bookcase, Cherry Finish"/>
    <n v="314.35000000000002"/>
    <n v="3"/>
    <n v="-15.72"/>
  </r>
  <r>
    <d v="2017-10-09T00:00:00"/>
    <x v="3"/>
    <x v="7"/>
    <x v="711"/>
    <x v="2"/>
    <x v="2"/>
    <x v="3"/>
    <s v="TOPS 4 x 6 Fluorescent Color Memo Sheets, 500 Sheets per Pack"/>
    <n v="18.98"/>
    <n v="2"/>
    <n v="8.92"/>
  </r>
  <r>
    <d v="2017-10-09T00:00:00"/>
    <x v="3"/>
    <x v="7"/>
    <x v="711"/>
    <x v="2"/>
    <x v="2"/>
    <x v="9"/>
    <s v="Durable Pressboard Binders"/>
    <n v="18.239999999999998"/>
    <n v="6"/>
    <n v="6.16"/>
  </r>
  <r>
    <d v="2017-10-09T00:00:00"/>
    <x v="3"/>
    <x v="7"/>
    <x v="213"/>
    <x v="4"/>
    <x v="2"/>
    <x v="11"/>
    <s v="Bulldog Vacuum Base Pencil Sharpener"/>
    <n v="67.14"/>
    <n v="7"/>
    <n v="5.88"/>
  </r>
  <r>
    <d v="2017-10-09T00:00:00"/>
    <x v="3"/>
    <x v="7"/>
    <x v="213"/>
    <x v="4"/>
    <x v="1"/>
    <x v="1"/>
    <s v="Hon Every-Day Chair Series Swivel Task Chairs"/>
    <n v="254.06"/>
    <n v="3"/>
    <n v="-32.659999999999997"/>
  </r>
  <r>
    <d v="2017-10-09T00:00:00"/>
    <x v="3"/>
    <x v="7"/>
    <x v="175"/>
    <x v="5"/>
    <x v="2"/>
    <x v="3"/>
    <s v="Wirebound Message Books, 2 7/8&quot; x 5&quot;, 3 Forms per Page"/>
    <n v="35.200000000000003"/>
    <n v="5"/>
    <n v="16.54"/>
  </r>
  <r>
    <d v="2017-11-09T00:00:00"/>
    <x v="3"/>
    <x v="8"/>
    <x v="434"/>
    <x v="2"/>
    <x v="1"/>
    <x v="5"/>
    <s v="9-3/4 Diameter Round Wall Clock"/>
    <n v="96.53"/>
    <n v="7"/>
    <n v="40.54"/>
  </r>
  <r>
    <d v="2017-11-09T00:00:00"/>
    <x v="3"/>
    <x v="8"/>
    <x v="321"/>
    <x v="5"/>
    <x v="1"/>
    <x v="1"/>
    <s v="Global Leather Task Chair, Black"/>
    <n v="215.98"/>
    <n v="3"/>
    <n v="-2.7"/>
  </r>
  <r>
    <d v="2017-11-09T00:00:00"/>
    <x v="3"/>
    <x v="8"/>
    <x v="641"/>
    <x v="5"/>
    <x v="2"/>
    <x v="6"/>
    <s v="Safco Wire Cube Shelving System, For Use as 4 or 5 14&quot; Cubes, Black"/>
    <n v="63.56"/>
    <n v="2"/>
    <n v="3.18"/>
  </r>
  <r>
    <d v="2017-11-09T00:00:00"/>
    <x v="3"/>
    <x v="8"/>
    <x v="641"/>
    <x v="5"/>
    <x v="0"/>
    <x v="0"/>
    <s v="Razer Kraken 7.1 Surround Sound Over Ear USB Gaming Headset"/>
    <n v="99.99"/>
    <n v="1"/>
    <n v="44"/>
  </r>
  <r>
    <d v="2017-11-09T00:00:00"/>
    <x v="3"/>
    <x v="8"/>
    <x v="239"/>
    <x v="24"/>
    <x v="2"/>
    <x v="9"/>
    <s v="Wilson Jones Turn Tabs Binder Tool for Ring Binders"/>
    <n v="9.64"/>
    <n v="2"/>
    <n v="4.43"/>
  </r>
  <r>
    <d v="2017-11-09T00:00:00"/>
    <x v="3"/>
    <x v="8"/>
    <x v="239"/>
    <x v="24"/>
    <x v="0"/>
    <x v="0"/>
    <s v="MaxellÂ iVDR EX 500GB Cartridge"/>
    <n v="826.62"/>
    <n v="3"/>
    <n v="355.45"/>
  </r>
  <r>
    <d v="2017-11-09T00:00:00"/>
    <x v="3"/>
    <x v="8"/>
    <x v="239"/>
    <x v="24"/>
    <x v="2"/>
    <x v="6"/>
    <s v="Adjustable Depth Letter/Legal Cart"/>
    <n v="1633.14"/>
    <n v="9"/>
    <n v="473.61"/>
  </r>
  <r>
    <d v="2017-11-09T00:00:00"/>
    <x v="3"/>
    <x v="8"/>
    <x v="239"/>
    <x v="24"/>
    <x v="2"/>
    <x v="6"/>
    <s v="Adjustable Depth Letter/Legal Cart"/>
    <n v="544.38"/>
    <n v="3"/>
    <n v="157.87"/>
  </r>
  <r>
    <d v="2017-11-09T00:00:00"/>
    <x v="3"/>
    <x v="8"/>
    <x v="527"/>
    <x v="5"/>
    <x v="1"/>
    <x v="5"/>
    <s v="Eldon Wave Desk Accessories"/>
    <n v="47.12"/>
    <n v="8"/>
    <n v="20.73"/>
  </r>
  <r>
    <d v="2017-11-09T00:00:00"/>
    <x v="3"/>
    <x v="8"/>
    <x v="491"/>
    <x v="5"/>
    <x v="1"/>
    <x v="1"/>
    <s v="Lifetime Advantage Folding Chairs, 4/Carton"/>
    <n v="523.39"/>
    <n v="3"/>
    <n v="52.34"/>
  </r>
  <r>
    <d v="2017-11-09T00:00:00"/>
    <x v="3"/>
    <x v="8"/>
    <x v="611"/>
    <x v="11"/>
    <x v="0"/>
    <x v="0"/>
    <s v="Logitech G602 Wireless Gaming Mouse"/>
    <n v="191.98"/>
    <n v="3"/>
    <n v="38.4"/>
  </r>
  <r>
    <d v="2017-11-09T00:00:00"/>
    <x v="3"/>
    <x v="8"/>
    <x v="611"/>
    <x v="11"/>
    <x v="0"/>
    <x v="2"/>
    <s v="Motorola L703CM"/>
    <n v="499.17"/>
    <n v="4"/>
    <n v="31.2"/>
  </r>
  <r>
    <d v="2017-12-09T00:00:00"/>
    <x v="3"/>
    <x v="9"/>
    <x v="475"/>
    <x v="4"/>
    <x v="2"/>
    <x v="9"/>
    <s v="Economy Binders"/>
    <n v="1.25"/>
    <n v="3"/>
    <n v="-1.93"/>
  </r>
  <r>
    <d v="2017-12-09T00:00:00"/>
    <x v="3"/>
    <x v="9"/>
    <x v="475"/>
    <x v="4"/>
    <x v="1"/>
    <x v="5"/>
    <s v="6&quot; Cubicle Wall Clock, Black"/>
    <n v="9.7100000000000009"/>
    <n v="3"/>
    <n v="-5.82"/>
  </r>
  <r>
    <d v="2017-12-09T00:00:00"/>
    <x v="3"/>
    <x v="9"/>
    <x v="475"/>
    <x v="4"/>
    <x v="2"/>
    <x v="6"/>
    <s v="SimpliFile Personal File, Black Granite, 15w x 6-15/16d x 11-1/4h"/>
    <n v="27.24"/>
    <n v="3"/>
    <n v="2.72"/>
  </r>
  <r>
    <d v="2017-12-09T00:00:00"/>
    <x v="3"/>
    <x v="9"/>
    <x v="507"/>
    <x v="5"/>
    <x v="0"/>
    <x v="2"/>
    <s v="Nortel Business Series Terminal T7208 Digital phone"/>
    <n v="444.77"/>
    <n v="4"/>
    <n v="44.48"/>
  </r>
  <r>
    <d v="2017-12-09T00:00:00"/>
    <x v="3"/>
    <x v="9"/>
    <x v="542"/>
    <x v="18"/>
    <x v="2"/>
    <x v="6"/>
    <s v="Safco Commercial Shelving"/>
    <n v="37.21"/>
    <n v="1"/>
    <n v="-7.44"/>
  </r>
  <r>
    <d v="2017-12-09T00:00:00"/>
    <x v="3"/>
    <x v="9"/>
    <x v="542"/>
    <x v="18"/>
    <x v="2"/>
    <x v="13"/>
    <s v="Recycled Interoffice Envelopes with String and Button Closure, 10 x 13"/>
    <n v="57.58"/>
    <n v="3"/>
    <n v="21.59"/>
  </r>
  <r>
    <d v="2017-12-09T00:00:00"/>
    <x v="3"/>
    <x v="9"/>
    <x v="428"/>
    <x v="10"/>
    <x v="1"/>
    <x v="1"/>
    <s v="Global Executive Mid-Back Manager's Chair"/>
    <n v="872.94"/>
    <n v="3"/>
    <n v="226.96"/>
  </r>
  <r>
    <d v="2017-12-09T00:00:00"/>
    <x v="3"/>
    <x v="9"/>
    <x v="428"/>
    <x v="10"/>
    <x v="2"/>
    <x v="9"/>
    <s v="Wilson Jones Century Plastic Molded Ring Binders"/>
    <n v="41.54"/>
    <n v="2"/>
    <n v="19.52"/>
  </r>
  <r>
    <d v="2017-12-09T00:00:00"/>
    <x v="3"/>
    <x v="9"/>
    <x v="428"/>
    <x v="10"/>
    <x v="2"/>
    <x v="3"/>
    <s v="Xerox 1946"/>
    <n v="12.96"/>
    <n v="2"/>
    <n v="6.22"/>
  </r>
  <r>
    <d v="2017-12-09T00:00:00"/>
    <x v="3"/>
    <x v="9"/>
    <x v="518"/>
    <x v="33"/>
    <x v="2"/>
    <x v="3"/>
    <s v="Wirebound Message Books, Four 2 3/4 x 5 White Forms per Page"/>
    <n v="33.450000000000003"/>
    <n v="5"/>
    <n v="15.39"/>
  </r>
  <r>
    <d v="2017-12-09T00:00:00"/>
    <x v="3"/>
    <x v="9"/>
    <x v="518"/>
    <x v="33"/>
    <x v="2"/>
    <x v="9"/>
    <s v="Economy Binders"/>
    <n v="10.4"/>
    <n v="5"/>
    <n v="5.0999999999999996"/>
  </r>
  <r>
    <d v="2017-12-09T00:00:00"/>
    <x v="3"/>
    <x v="9"/>
    <x v="415"/>
    <x v="13"/>
    <x v="2"/>
    <x v="11"/>
    <s v="Crayola Colored Pencils"/>
    <n v="2.62"/>
    <n v="1"/>
    <n v="0.43"/>
  </r>
  <r>
    <d v="2017-12-09T00:00:00"/>
    <x v="3"/>
    <x v="9"/>
    <x v="579"/>
    <x v="10"/>
    <x v="0"/>
    <x v="0"/>
    <s v="Maxell Pro 80 Minute CD-R, 10/Pack"/>
    <n v="104.88"/>
    <n v="6"/>
    <n v="41.95"/>
  </r>
  <r>
    <d v="2017-12-09T00:00:00"/>
    <x v="3"/>
    <x v="9"/>
    <x v="579"/>
    <x v="10"/>
    <x v="2"/>
    <x v="11"/>
    <s v="BIC Liqua Brite Liner"/>
    <n v="34.700000000000003"/>
    <n v="5"/>
    <n v="12.49"/>
  </r>
  <r>
    <d v="2017-12-09T00:00:00"/>
    <x v="3"/>
    <x v="9"/>
    <x v="579"/>
    <x v="10"/>
    <x v="2"/>
    <x v="9"/>
    <s v="Ibico Plastic and Wire Spiral Binding Combs"/>
    <n v="33.72"/>
    <n v="4"/>
    <n v="15.51"/>
  </r>
  <r>
    <d v="2017-12-09T00:00:00"/>
    <x v="3"/>
    <x v="9"/>
    <x v="579"/>
    <x v="10"/>
    <x v="2"/>
    <x v="3"/>
    <s v="Easy-staple paper"/>
    <n v="14.94"/>
    <n v="3"/>
    <n v="7.02"/>
  </r>
  <r>
    <d v="2017-12-09T00:00:00"/>
    <x v="3"/>
    <x v="9"/>
    <x v="703"/>
    <x v="3"/>
    <x v="2"/>
    <x v="3"/>
    <s v="Xerox 1921"/>
    <n v="15.98"/>
    <n v="2"/>
    <n v="5"/>
  </r>
  <r>
    <d v="2017-12-09T00:00:00"/>
    <x v="3"/>
    <x v="9"/>
    <x v="419"/>
    <x v="5"/>
    <x v="2"/>
    <x v="11"/>
    <s v="Newell 314"/>
    <n v="11.16"/>
    <n v="2"/>
    <n v="2.79"/>
  </r>
  <r>
    <d v="2017-12-09T00:00:00"/>
    <x v="3"/>
    <x v="9"/>
    <x v="419"/>
    <x v="5"/>
    <x v="1"/>
    <x v="7"/>
    <s v="Bevis 36 x 72 Conference Tables"/>
    <n v="896.33"/>
    <n v="9"/>
    <n v="22.41"/>
  </r>
  <r>
    <d v="2017-12-09T00:00:00"/>
    <x v="3"/>
    <x v="9"/>
    <x v="419"/>
    <x v="5"/>
    <x v="2"/>
    <x v="10"/>
    <s v="Harmony Air Purifier"/>
    <n v="189"/>
    <n v="1"/>
    <n v="68.040000000000006"/>
  </r>
  <r>
    <d v="2017-12-09T00:00:00"/>
    <x v="3"/>
    <x v="9"/>
    <x v="19"/>
    <x v="3"/>
    <x v="2"/>
    <x v="3"/>
    <s v="Xerox 1884"/>
    <n v="143.86000000000001"/>
    <n v="9"/>
    <n v="48.55"/>
  </r>
  <r>
    <d v="2017-12-09T00:00:00"/>
    <x v="3"/>
    <x v="9"/>
    <x v="645"/>
    <x v="23"/>
    <x v="2"/>
    <x v="3"/>
    <s v="Multicolor Computer Printout Paper"/>
    <n v="419.4"/>
    <n v="5"/>
    <n v="146.79"/>
  </r>
  <r>
    <d v="2017-12-09T00:00:00"/>
    <x v="3"/>
    <x v="9"/>
    <x v="645"/>
    <x v="23"/>
    <x v="2"/>
    <x v="9"/>
    <s v="Acco Recycled 2&quot; Capacity Laser Printer Hanging Data Binders"/>
    <n v="13.01"/>
    <n v="3"/>
    <n v="-9.9700000000000006"/>
  </r>
  <r>
    <d v="2017-12-09T00:00:00"/>
    <x v="3"/>
    <x v="9"/>
    <x v="516"/>
    <x v="5"/>
    <x v="1"/>
    <x v="16"/>
    <s v="O'Sullivan 3-Shelf Heavy-Duty Bookcases"/>
    <n v="148.26"/>
    <n v="3"/>
    <n v="15.7"/>
  </r>
  <r>
    <d v="2017-12-09T00:00:00"/>
    <x v="3"/>
    <x v="9"/>
    <x v="192"/>
    <x v="17"/>
    <x v="2"/>
    <x v="9"/>
    <s v="XtraLife ClearVue Slant-D Ring Binder, White, 3&quot;"/>
    <n v="29.36"/>
    <n v="2"/>
    <n v="13.51"/>
  </r>
  <r>
    <d v="2017-12-09T00:00:00"/>
    <x v="3"/>
    <x v="9"/>
    <x v="192"/>
    <x v="17"/>
    <x v="2"/>
    <x v="10"/>
    <s v="Belkin F9M820V08 8 Outlet Surge"/>
    <n v="214.9"/>
    <n v="5"/>
    <n v="62.32"/>
  </r>
  <r>
    <d v="2017-12-09T00:00:00"/>
    <x v="3"/>
    <x v="9"/>
    <x v="192"/>
    <x v="17"/>
    <x v="2"/>
    <x v="9"/>
    <s v="Avery Durable Slant Ring Binders, No Labels"/>
    <n v="15.92"/>
    <n v="4"/>
    <n v="7.48"/>
  </r>
  <r>
    <d v="2017-12-09T00:00:00"/>
    <x v="3"/>
    <x v="9"/>
    <x v="192"/>
    <x v="17"/>
    <x v="0"/>
    <x v="0"/>
    <s v="Logitech ClearChat Comfort/USB Headset H390"/>
    <n v="146.44999999999999"/>
    <n v="5"/>
    <n v="48.33"/>
  </r>
  <r>
    <d v="2017-12-09T00:00:00"/>
    <x v="3"/>
    <x v="9"/>
    <x v="192"/>
    <x v="17"/>
    <x v="2"/>
    <x v="6"/>
    <s v="Eldon Gobal File Keepers"/>
    <n v="15.14"/>
    <n v="1"/>
    <n v="0.61"/>
  </r>
  <r>
    <d v="2017-12-09T00:00:00"/>
    <x v="3"/>
    <x v="9"/>
    <x v="192"/>
    <x v="17"/>
    <x v="2"/>
    <x v="8"/>
    <s v="Avery 492"/>
    <n v="5.76"/>
    <n v="2"/>
    <n v="2.65"/>
  </r>
  <r>
    <d v="2017-12-09T00:00:00"/>
    <x v="3"/>
    <x v="9"/>
    <x v="192"/>
    <x v="17"/>
    <x v="0"/>
    <x v="12"/>
    <s v="Canon Imageclass D680 Copier / Fax"/>
    <n v="1399.98"/>
    <n v="2"/>
    <n v="629.99"/>
  </r>
  <r>
    <d v="2017-12-09T00:00:00"/>
    <x v="3"/>
    <x v="9"/>
    <x v="57"/>
    <x v="13"/>
    <x v="2"/>
    <x v="9"/>
    <s v="Wilson Jones 1&quot; Hanging DublLock Ring Binders"/>
    <n v="11.09"/>
    <n v="7"/>
    <n v="-8.1300000000000008"/>
  </r>
  <r>
    <d v="2017-12-09T00:00:00"/>
    <x v="3"/>
    <x v="9"/>
    <x v="310"/>
    <x v="10"/>
    <x v="2"/>
    <x v="9"/>
    <s v="GBC Imprintable Covers"/>
    <n v="54.9"/>
    <n v="5"/>
    <n v="26.9"/>
  </r>
  <r>
    <d v="2017-02-10T00:00:00"/>
    <x v="3"/>
    <x v="0"/>
    <x v="427"/>
    <x v="5"/>
    <x v="1"/>
    <x v="16"/>
    <s v="Bush Andora Bookcase, Maple/Graphite Gray Finish"/>
    <n v="203.98"/>
    <n v="2"/>
    <n v="16.8"/>
  </r>
  <r>
    <d v="2017-02-10T00:00:00"/>
    <x v="3"/>
    <x v="0"/>
    <x v="281"/>
    <x v="24"/>
    <x v="2"/>
    <x v="3"/>
    <s v="HP Office Recycled Paper (20Lb. and 87 Bright)"/>
    <n v="23.12"/>
    <n v="4"/>
    <n v="11.33"/>
  </r>
  <r>
    <d v="2017-03-10T00:00:00"/>
    <x v="3"/>
    <x v="1"/>
    <x v="721"/>
    <x v="13"/>
    <x v="2"/>
    <x v="11"/>
    <s v="Newell 337"/>
    <n v="5.25"/>
    <n v="2"/>
    <n v="0.59"/>
  </r>
  <r>
    <d v="2017-03-10T00:00:00"/>
    <x v="3"/>
    <x v="1"/>
    <x v="721"/>
    <x v="13"/>
    <x v="0"/>
    <x v="2"/>
    <s v="Cisco SPA525G2 IP Phone - Wireless"/>
    <n v="35.909999999999997"/>
    <n v="3"/>
    <n v="-8.3800000000000008"/>
  </r>
  <r>
    <d v="2017-03-10T00:00:00"/>
    <x v="3"/>
    <x v="1"/>
    <x v="721"/>
    <x v="13"/>
    <x v="1"/>
    <x v="5"/>
    <s v="Westinghouse Clip-On Gooseneck Lamps"/>
    <n v="6.7"/>
    <n v="1"/>
    <n v="0.5"/>
  </r>
  <r>
    <d v="2017-03-10T00:00:00"/>
    <x v="3"/>
    <x v="1"/>
    <x v="721"/>
    <x v="13"/>
    <x v="1"/>
    <x v="5"/>
    <s v="Howard Miller Distant Time Traveler Alarm Clock"/>
    <n v="43.87"/>
    <n v="2"/>
    <n v="11.52"/>
  </r>
  <r>
    <d v="2017-03-10T00:00:00"/>
    <x v="3"/>
    <x v="1"/>
    <x v="131"/>
    <x v="13"/>
    <x v="0"/>
    <x v="2"/>
    <s v="Nokia Lumia 521 (T-Mobile)"/>
    <n v="53.98"/>
    <n v="3"/>
    <n v="-10.8"/>
  </r>
  <r>
    <d v="2017-03-10T00:00:00"/>
    <x v="3"/>
    <x v="1"/>
    <x v="722"/>
    <x v="12"/>
    <x v="2"/>
    <x v="10"/>
    <s v="Euro Pro Shark Stick Mini Vacuum"/>
    <n v="48.78"/>
    <n v="1"/>
    <n v="3.66"/>
  </r>
  <r>
    <d v="2017-03-10T00:00:00"/>
    <x v="3"/>
    <x v="1"/>
    <x v="722"/>
    <x v="12"/>
    <x v="2"/>
    <x v="9"/>
    <s v="Heavy-Duty E-Z-D Binders"/>
    <n v="13.09"/>
    <n v="4"/>
    <n v="-10.039999999999999"/>
  </r>
  <r>
    <d v="2017-03-10T00:00:00"/>
    <x v="3"/>
    <x v="1"/>
    <x v="723"/>
    <x v="5"/>
    <x v="0"/>
    <x v="0"/>
    <s v="MaxellÂ LTO Ultrium - 800 GB"/>
    <n v="111.96"/>
    <n v="4"/>
    <n v="21.27"/>
  </r>
  <r>
    <d v="2017-03-10T00:00:00"/>
    <x v="3"/>
    <x v="1"/>
    <x v="148"/>
    <x v="4"/>
    <x v="1"/>
    <x v="7"/>
    <s v="Bevis Traditional Conference Table Top, Plinth Base"/>
    <n v="933.41"/>
    <n v="4"/>
    <n v="-173.35"/>
  </r>
  <r>
    <d v="2017-04-10T00:00:00"/>
    <x v="3"/>
    <x v="2"/>
    <x v="605"/>
    <x v="8"/>
    <x v="2"/>
    <x v="3"/>
    <s v="Wirebound Message Books, Two 4 1/4&quot; x 5&quot; Forms per Page"/>
    <n v="7.61"/>
    <n v="1"/>
    <n v="3.58"/>
  </r>
  <r>
    <d v="2017-04-10T00:00:00"/>
    <x v="3"/>
    <x v="2"/>
    <x v="605"/>
    <x v="8"/>
    <x v="2"/>
    <x v="4"/>
    <s v="OIC Binder Clips"/>
    <n v="7.16"/>
    <n v="2"/>
    <n v="3.58"/>
  </r>
  <r>
    <d v="2017-04-10T00:00:00"/>
    <x v="3"/>
    <x v="2"/>
    <x v="90"/>
    <x v="4"/>
    <x v="2"/>
    <x v="3"/>
    <s v="Xerox 1894"/>
    <n v="10.37"/>
    <n v="2"/>
    <n v="3.63"/>
  </r>
  <r>
    <d v="2017-04-10T00:00:00"/>
    <x v="3"/>
    <x v="2"/>
    <x v="90"/>
    <x v="4"/>
    <x v="0"/>
    <x v="0"/>
    <s v="LogitechÂ MX Performance Wireless Mouse"/>
    <n v="95.74"/>
    <n v="3"/>
    <n v="20.34"/>
  </r>
  <r>
    <d v="2017-04-10T00:00:00"/>
    <x v="3"/>
    <x v="2"/>
    <x v="724"/>
    <x v="11"/>
    <x v="1"/>
    <x v="5"/>
    <s v="Stackable Trays"/>
    <n v="12.32"/>
    <n v="5"/>
    <n v="1.85"/>
  </r>
  <r>
    <d v="2017-04-10T00:00:00"/>
    <x v="3"/>
    <x v="2"/>
    <x v="724"/>
    <x v="11"/>
    <x v="2"/>
    <x v="9"/>
    <s v="Acco Pressboard Covers with Storage Hooks, 14 7/8&quot; x 11&quot;, Light Blue"/>
    <n v="4.42"/>
    <n v="3"/>
    <n v="-3.09"/>
  </r>
  <r>
    <d v="2017-04-10T00:00:00"/>
    <x v="3"/>
    <x v="2"/>
    <x v="725"/>
    <x v="25"/>
    <x v="0"/>
    <x v="0"/>
    <s v="Logitech G700s Rechargeable Gaming Mouse"/>
    <n v="99.99"/>
    <n v="1"/>
    <n v="42"/>
  </r>
  <r>
    <d v="2017-04-10T00:00:00"/>
    <x v="3"/>
    <x v="2"/>
    <x v="725"/>
    <x v="25"/>
    <x v="2"/>
    <x v="6"/>
    <s v="Recycled Steel Personal File for Hanging File Folders"/>
    <n v="286.14999999999998"/>
    <n v="5"/>
    <n v="71.540000000000006"/>
  </r>
  <r>
    <d v="2017-04-10T00:00:00"/>
    <x v="3"/>
    <x v="2"/>
    <x v="81"/>
    <x v="13"/>
    <x v="2"/>
    <x v="10"/>
    <s v="Tripp Lite Isotel 6 Outlet Surge Protector with Fax/Modem Protection"/>
    <n v="195.1"/>
    <n v="4"/>
    <n v="21.95"/>
  </r>
  <r>
    <d v="2017-04-10T00:00:00"/>
    <x v="3"/>
    <x v="2"/>
    <x v="81"/>
    <x v="13"/>
    <x v="1"/>
    <x v="5"/>
    <s v="Linden 10&quot; Round Wall Clock, Black"/>
    <n v="36.67"/>
    <n v="3"/>
    <n v="6.42"/>
  </r>
  <r>
    <d v="2017-06-10T00:00:00"/>
    <x v="3"/>
    <x v="3"/>
    <x v="631"/>
    <x v="5"/>
    <x v="2"/>
    <x v="8"/>
    <s v="Alphabetical Labels for Top Tab Filing"/>
    <n v="29.6"/>
    <n v="2"/>
    <n v="14.8"/>
  </r>
  <r>
    <d v="2017-06-10T00:00:00"/>
    <x v="3"/>
    <x v="3"/>
    <x v="631"/>
    <x v="5"/>
    <x v="1"/>
    <x v="16"/>
    <s v="O'Sullivan Living Dimensions 2-Shelf Bookcases"/>
    <n v="514.16999999999996"/>
    <n v="5"/>
    <n v="-30.25"/>
  </r>
  <r>
    <d v="2017-06-10T00:00:00"/>
    <x v="3"/>
    <x v="3"/>
    <x v="631"/>
    <x v="5"/>
    <x v="0"/>
    <x v="2"/>
    <s v="iHome FM Clock Radio with Lightning Dock"/>
    <n v="279.95999999999998"/>
    <n v="5"/>
    <n v="17.5"/>
  </r>
  <r>
    <d v="2017-06-10T00:00:00"/>
    <x v="3"/>
    <x v="3"/>
    <x v="656"/>
    <x v="10"/>
    <x v="0"/>
    <x v="0"/>
    <s v="ImationÂ 16GB Mini TravelDrive USB 2.0Â Flash Drive"/>
    <n v="132.52000000000001"/>
    <n v="4"/>
    <n v="54.33"/>
  </r>
  <r>
    <d v="2017-06-10T00:00:00"/>
    <x v="3"/>
    <x v="3"/>
    <x v="304"/>
    <x v="5"/>
    <x v="2"/>
    <x v="11"/>
    <s v="Newell 351"/>
    <n v="16.399999999999999"/>
    <n v="5"/>
    <n v="4.76"/>
  </r>
  <r>
    <d v="2017-06-10T00:00:00"/>
    <x v="3"/>
    <x v="3"/>
    <x v="528"/>
    <x v="13"/>
    <x v="2"/>
    <x v="3"/>
    <s v="REDIFORM Incoming/Outgoing Call Register, 11&quot; X 8 1/2&quot;, 100 Messages"/>
    <n v="40.03"/>
    <n v="6"/>
    <n v="15.01"/>
  </r>
  <r>
    <d v="2017-06-10T00:00:00"/>
    <x v="3"/>
    <x v="3"/>
    <x v="158"/>
    <x v="11"/>
    <x v="2"/>
    <x v="6"/>
    <s v="24 Capacity Maxi Data Binder Racks, Pearl"/>
    <n v="1347.52"/>
    <n v="8"/>
    <n v="84.22"/>
  </r>
  <r>
    <d v="2017-06-10T00:00:00"/>
    <x v="3"/>
    <x v="3"/>
    <x v="564"/>
    <x v="2"/>
    <x v="2"/>
    <x v="11"/>
    <s v="Prang Dustless Chalk Sticks"/>
    <n v="8.4"/>
    <n v="5"/>
    <n v="4.2"/>
  </r>
  <r>
    <d v="2017-06-10T00:00:00"/>
    <x v="3"/>
    <x v="3"/>
    <x v="479"/>
    <x v="1"/>
    <x v="0"/>
    <x v="2"/>
    <s v="Logitech B530 USBÂ HeadsetÂ -Â headsetÂ - Full size, Binaural"/>
    <n v="88.78"/>
    <n v="3"/>
    <n v="7.77"/>
  </r>
  <r>
    <d v="2017-06-10T00:00:00"/>
    <x v="3"/>
    <x v="3"/>
    <x v="479"/>
    <x v="1"/>
    <x v="2"/>
    <x v="8"/>
    <s v="Avery 512"/>
    <n v="11.56"/>
    <n v="4"/>
    <n v="5.43"/>
  </r>
  <r>
    <d v="2017-06-10T00:00:00"/>
    <x v="3"/>
    <x v="3"/>
    <x v="479"/>
    <x v="1"/>
    <x v="2"/>
    <x v="6"/>
    <s v="Personal File Boxes with Fold-Down Carry Handle"/>
    <n v="15.58"/>
    <n v="1"/>
    <n v="3.9"/>
  </r>
  <r>
    <d v="2017-06-10T00:00:00"/>
    <x v="3"/>
    <x v="3"/>
    <x v="726"/>
    <x v="5"/>
    <x v="2"/>
    <x v="11"/>
    <s v="Sanford EarthWrite Recycled Pencils, Medium Soft, #2"/>
    <n v="14.7"/>
    <n v="7"/>
    <n v="4.12"/>
  </r>
  <r>
    <d v="2017-06-10T00:00:00"/>
    <x v="3"/>
    <x v="3"/>
    <x v="706"/>
    <x v="2"/>
    <x v="2"/>
    <x v="4"/>
    <s v="Plymouth Boxed Rubber Bands by Plymouth"/>
    <n v="14.13"/>
    <n v="3"/>
    <n v="0.71"/>
  </r>
  <r>
    <d v="2017-07-10T00:00:00"/>
    <x v="3"/>
    <x v="4"/>
    <x v="380"/>
    <x v="19"/>
    <x v="1"/>
    <x v="5"/>
    <s v="Eldon 200 Class Desk Accessories, Smoke"/>
    <n v="18.84"/>
    <n v="3"/>
    <n v="7.91"/>
  </r>
  <r>
    <d v="2017-07-10T00:00:00"/>
    <x v="3"/>
    <x v="4"/>
    <x v="665"/>
    <x v="3"/>
    <x v="2"/>
    <x v="6"/>
    <s v="Fellowes Mobile File Cart, Black"/>
    <n v="298.45999999999998"/>
    <n v="6"/>
    <n v="26.12"/>
  </r>
  <r>
    <d v="2017-07-10T00:00:00"/>
    <x v="3"/>
    <x v="4"/>
    <x v="688"/>
    <x v="19"/>
    <x v="2"/>
    <x v="10"/>
    <s v="Belkin 7-Outlet SurgeMaster Home Series"/>
    <n v="41.91"/>
    <n v="3"/>
    <n v="10.9"/>
  </r>
  <r>
    <d v="2017-08-10T00:00:00"/>
    <x v="3"/>
    <x v="5"/>
    <x v="15"/>
    <x v="33"/>
    <x v="2"/>
    <x v="13"/>
    <s v="Staple envelope"/>
    <n v="70.08"/>
    <n v="6"/>
    <n v="35.04"/>
  </r>
  <r>
    <d v="2017-08-10T00:00:00"/>
    <x v="3"/>
    <x v="5"/>
    <x v="15"/>
    <x v="33"/>
    <x v="1"/>
    <x v="5"/>
    <s v="Tenex Traditional Chairmats for Medium Pile Carpet, Standard Lip, 36&quot; x 48&quot;"/>
    <n v="121.3"/>
    <n v="2"/>
    <n v="25.47"/>
  </r>
  <r>
    <d v="2017-08-10T00:00:00"/>
    <x v="3"/>
    <x v="5"/>
    <x v="15"/>
    <x v="33"/>
    <x v="0"/>
    <x v="2"/>
    <s v="Aastra 57i VoIP phone"/>
    <n v="1454.49"/>
    <n v="9"/>
    <n v="378.17"/>
  </r>
  <r>
    <d v="2017-08-10T00:00:00"/>
    <x v="3"/>
    <x v="5"/>
    <x v="482"/>
    <x v="33"/>
    <x v="2"/>
    <x v="3"/>
    <s v="Xerox 1906"/>
    <n v="177.2"/>
    <n v="5"/>
    <n v="83.28"/>
  </r>
  <r>
    <d v="2017-09-10T00:00:00"/>
    <x v="3"/>
    <x v="6"/>
    <x v="564"/>
    <x v="3"/>
    <x v="0"/>
    <x v="2"/>
    <s v="Panasonic Kx-TS550"/>
    <n v="147.16999999999999"/>
    <n v="4"/>
    <n v="16.559999999999999"/>
  </r>
  <r>
    <d v="2017-09-10T00:00:00"/>
    <x v="3"/>
    <x v="6"/>
    <x v="164"/>
    <x v="5"/>
    <x v="1"/>
    <x v="1"/>
    <s v="DMI Arturo Collection Mission-style Design Wood Chair"/>
    <n v="362.35"/>
    <n v="3"/>
    <n v="27.18"/>
  </r>
  <r>
    <d v="2017-09-10T00:00:00"/>
    <x v="3"/>
    <x v="6"/>
    <x v="164"/>
    <x v="5"/>
    <x v="2"/>
    <x v="9"/>
    <s v="Avery Non-Stick Binders"/>
    <n v="7.18"/>
    <n v="2"/>
    <n v="2.25"/>
  </r>
  <r>
    <d v="2017-09-10T00:00:00"/>
    <x v="3"/>
    <x v="6"/>
    <x v="727"/>
    <x v="22"/>
    <x v="2"/>
    <x v="9"/>
    <s v="3M Organizer Strips"/>
    <n v="16.2"/>
    <n v="3"/>
    <n v="7.78"/>
  </r>
  <r>
    <d v="2017-09-10T00:00:00"/>
    <x v="3"/>
    <x v="6"/>
    <x v="727"/>
    <x v="22"/>
    <x v="2"/>
    <x v="10"/>
    <s v="Holmes Replacement Filter for HEPA Air Cleaner, Medium Room"/>
    <n v="33.99"/>
    <n v="3"/>
    <n v="14.62"/>
  </r>
  <r>
    <d v="2017-09-10T00:00:00"/>
    <x v="3"/>
    <x v="6"/>
    <x v="727"/>
    <x v="22"/>
    <x v="0"/>
    <x v="0"/>
    <s v="Logitech G105 Gaming Keyboard"/>
    <n v="296.85000000000002"/>
    <n v="5"/>
    <n v="53.43"/>
  </r>
  <r>
    <d v="2017-09-10T00:00:00"/>
    <x v="3"/>
    <x v="6"/>
    <x v="727"/>
    <x v="22"/>
    <x v="0"/>
    <x v="0"/>
    <s v="ImationÂ Clip USBÂ flash driveÂ - 8 GB"/>
    <n v="112.8"/>
    <n v="6"/>
    <n v="6.77"/>
  </r>
  <r>
    <d v="2017-09-10T00:00:00"/>
    <x v="3"/>
    <x v="6"/>
    <x v="727"/>
    <x v="22"/>
    <x v="2"/>
    <x v="9"/>
    <s v="Newell 3-Hole Punched Plastic Slotted Magazine Holders for Binders"/>
    <n v="13.71"/>
    <n v="3"/>
    <n v="6.58"/>
  </r>
  <r>
    <d v="2017-09-10T00:00:00"/>
    <x v="3"/>
    <x v="6"/>
    <x v="727"/>
    <x v="22"/>
    <x v="2"/>
    <x v="3"/>
    <s v="Xerox 1970"/>
    <n v="24.9"/>
    <n v="5"/>
    <n v="11.7"/>
  </r>
  <r>
    <d v="2017-09-10T00:00:00"/>
    <x v="3"/>
    <x v="6"/>
    <x v="727"/>
    <x v="22"/>
    <x v="2"/>
    <x v="6"/>
    <s v="Fellowes Stor/Drawer Steel Plus Storage Drawers"/>
    <n v="286.29000000000002"/>
    <n v="3"/>
    <n v="17.18"/>
  </r>
  <r>
    <d v="2017-09-10T00:00:00"/>
    <x v="3"/>
    <x v="6"/>
    <x v="727"/>
    <x v="22"/>
    <x v="2"/>
    <x v="10"/>
    <s v="Acco 6 Outlet Guardian Standard Surge Suppressor"/>
    <n v="24.18"/>
    <n v="2"/>
    <n v="7.25"/>
  </r>
  <r>
    <d v="2017-09-10T00:00:00"/>
    <x v="3"/>
    <x v="6"/>
    <x v="495"/>
    <x v="3"/>
    <x v="2"/>
    <x v="9"/>
    <s v="Fellowes PB500 Electric Punch Plastic Comb Binding Machine with Manual Bind"/>
    <n v="762.59"/>
    <n v="3"/>
    <n v="-1143.8900000000001"/>
  </r>
  <r>
    <d v="2017-09-10T00:00:00"/>
    <x v="3"/>
    <x v="6"/>
    <x v="61"/>
    <x v="2"/>
    <x v="2"/>
    <x v="3"/>
    <s v="Rediform S.O.S. 1-Up Phone Message Bk, 4-1/4x3-1/16 Bk, 1 Form/Pg, 40 Messages/Bk, 3/Pk"/>
    <n v="18.760000000000002"/>
    <n v="2"/>
    <n v="9"/>
  </r>
  <r>
    <d v="2017-09-10T00:00:00"/>
    <x v="3"/>
    <x v="6"/>
    <x v="481"/>
    <x v="6"/>
    <x v="2"/>
    <x v="11"/>
    <s v="Eberhard Faber 3 1/2&quot; Golf Pencils"/>
    <n v="14.88"/>
    <n v="2"/>
    <n v="3.72"/>
  </r>
  <r>
    <d v="2017-09-10T00:00:00"/>
    <x v="3"/>
    <x v="6"/>
    <x v="23"/>
    <x v="18"/>
    <x v="2"/>
    <x v="3"/>
    <s v="Xerox 1906"/>
    <n v="85.06"/>
    <n v="3"/>
    <n v="28.71"/>
  </r>
  <r>
    <d v="2017-09-10T00:00:00"/>
    <x v="3"/>
    <x v="6"/>
    <x v="197"/>
    <x v="19"/>
    <x v="2"/>
    <x v="9"/>
    <s v="Wilson Jones Suede Grain Vinyl Binders"/>
    <n v="2.78"/>
    <n v="1"/>
    <n v="1.36"/>
  </r>
  <r>
    <d v="2017-09-10T00:00:00"/>
    <x v="3"/>
    <x v="6"/>
    <x v="454"/>
    <x v="18"/>
    <x v="0"/>
    <x v="0"/>
    <s v="Memorex Mini Travel Drive 8 GB USB 2.0 Flash Drive"/>
    <n v="37.06"/>
    <n v="4"/>
    <n v="8.8000000000000007"/>
  </r>
  <r>
    <d v="2017-09-10T00:00:00"/>
    <x v="3"/>
    <x v="6"/>
    <x v="454"/>
    <x v="18"/>
    <x v="0"/>
    <x v="2"/>
    <s v="Cisco IP Phone 7961G-GE VoIP phone"/>
    <n v="259.89999999999998"/>
    <n v="2"/>
    <n v="-56.31"/>
  </r>
  <r>
    <d v="2017-10-10T00:00:00"/>
    <x v="3"/>
    <x v="7"/>
    <x v="357"/>
    <x v="3"/>
    <x v="1"/>
    <x v="1"/>
    <s v="Hon Comfortask Task/Swivel Chairs"/>
    <n v="239.36"/>
    <n v="3"/>
    <n v="-47.87"/>
  </r>
  <r>
    <d v="2017-11-10T00:00:00"/>
    <x v="3"/>
    <x v="8"/>
    <x v="728"/>
    <x v="23"/>
    <x v="2"/>
    <x v="9"/>
    <s v="Cardinal EasyOpen D-Ring Binders"/>
    <n v="38.39"/>
    <n v="14"/>
    <n v="-25.59"/>
  </r>
  <r>
    <d v="2017-11-10T00:00:00"/>
    <x v="3"/>
    <x v="8"/>
    <x v="728"/>
    <x v="23"/>
    <x v="0"/>
    <x v="14"/>
    <s v="DYMO CardScan Personal V9 Business Card Scanner"/>
    <n v="95.99"/>
    <n v="2"/>
    <n v="-64"/>
  </r>
  <r>
    <d v="2017-11-10T00:00:00"/>
    <x v="3"/>
    <x v="8"/>
    <x v="728"/>
    <x v="23"/>
    <x v="0"/>
    <x v="0"/>
    <s v="Case Logic 2.4GHz Wireless Keyboard"/>
    <n v="239.95"/>
    <n v="6"/>
    <n v="-35.99"/>
  </r>
  <r>
    <d v="2017-11-10T00:00:00"/>
    <x v="3"/>
    <x v="8"/>
    <x v="728"/>
    <x v="23"/>
    <x v="0"/>
    <x v="2"/>
    <s v="Adtran 1202752G1"/>
    <n v="201.58"/>
    <n v="2"/>
    <n v="15.12"/>
  </r>
  <r>
    <d v="2017-11-10T00:00:00"/>
    <x v="3"/>
    <x v="8"/>
    <x v="728"/>
    <x v="23"/>
    <x v="1"/>
    <x v="1"/>
    <s v="Hon 2090 Â“Pillow SoftÂ” Series Mid Back Swivel/Tilt Chairs"/>
    <n v="899.14"/>
    <n v="4"/>
    <n v="-146.11000000000001"/>
  </r>
  <r>
    <d v="2017-11-10T00:00:00"/>
    <x v="3"/>
    <x v="8"/>
    <x v="164"/>
    <x v="2"/>
    <x v="2"/>
    <x v="9"/>
    <s v="Fellowes PB300 Plastic Comb Binding Machine"/>
    <n v="931.18"/>
    <n v="3"/>
    <n v="314.27"/>
  </r>
  <r>
    <d v="2017-11-10T00:00:00"/>
    <x v="3"/>
    <x v="8"/>
    <x v="164"/>
    <x v="2"/>
    <x v="0"/>
    <x v="2"/>
    <s v="Aastra 6757i CT Wireless VoIP phone"/>
    <n v="430.88"/>
    <n v="2"/>
    <n v="124.96"/>
  </r>
  <r>
    <d v="2017-11-10T00:00:00"/>
    <x v="3"/>
    <x v="8"/>
    <x v="400"/>
    <x v="4"/>
    <x v="1"/>
    <x v="5"/>
    <s v="Tenex Antistatic Computer Chair Mats"/>
    <n v="341.96"/>
    <n v="5"/>
    <n v="-427.45"/>
  </r>
  <r>
    <d v="2017-11-10T00:00:00"/>
    <x v="3"/>
    <x v="8"/>
    <x v="645"/>
    <x v="1"/>
    <x v="2"/>
    <x v="9"/>
    <s v="GBC Imprintable Covers"/>
    <n v="26.35"/>
    <n v="3"/>
    <n v="9.5500000000000007"/>
  </r>
  <r>
    <d v="2017-11-10T00:00:00"/>
    <x v="3"/>
    <x v="8"/>
    <x v="325"/>
    <x v="11"/>
    <x v="2"/>
    <x v="9"/>
    <s v="GBC VeloBinder Strips"/>
    <n v="11.52"/>
    <n v="5"/>
    <n v="-7.68"/>
  </r>
  <r>
    <d v="2017-11-10T00:00:00"/>
    <x v="3"/>
    <x v="8"/>
    <x v="729"/>
    <x v="5"/>
    <x v="2"/>
    <x v="11"/>
    <s v="12 Colored Short Pencils"/>
    <n v="7.8"/>
    <n v="3"/>
    <n v="2.11"/>
  </r>
  <r>
    <d v="2017-11-10T00:00:00"/>
    <x v="3"/>
    <x v="8"/>
    <x v="133"/>
    <x v="1"/>
    <x v="2"/>
    <x v="10"/>
    <s v="Eureka The Boss Lite 10-Amp Upright Vacuum, Blue"/>
    <n v="400.8"/>
    <n v="5"/>
    <n v="112.22"/>
  </r>
  <r>
    <d v="2017-11-10T00:00:00"/>
    <x v="3"/>
    <x v="8"/>
    <x v="133"/>
    <x v="1"/>
    <x v="2"/>
    <x v="9"/>
    <s v="GBC VeloBinder Manual Binding System"/>
    <n v="28.79"/>
    <n v="1"/>
    <n v="10.08"/>
  </r>
  <r>
    <d v="2017-11-10T00:00:00"/>
    <x v="3"/>
    <x v="8"/>
    <x v="424"/>
    <x v="5"/>
    <x v="0"/>
    <x v="0"/>
    <s v="Memorex Mini Travel Drive 16 GB USB 2.0 Flash Drive"/>
    <n v="111.79"/>
    <n v="7"/>
    <n v="43.6"/>
  </r>
  <r>
    <d v="2017-11-10T00:00:00"/>
    <x v="3"/>
    <x v="8"/>
    <x v="157"/>
    <x v="5"/>
    <x v="1"/>
    <x v="1"/>
    <s v="Global Leather &amp; Oak Executive Chair, Burgundy"/>
    <n v="241.42"/>
    <n v="2"/>
    <n v="-36.21"/>
  </r>
  <r>
    <d v="2017-12-10T00:00:00"/>
    <x v="3"/>
    <x v="9"/>
    <x v="556"/>
    <x v="5"/>
    <x v="2"/>
    <x v="9"/>
    <s v="Avery Hole Reinforcements"/>
    <n v="19.940000000000001"/>
    <n v="4"/>
    <n v="7.23"/>
  </r>
  <r>
    <d v="2017-12-10T00:00:00"/>
    <x v="3"/>
    <x v="9"/>
    <x v="556"/>
    <x v="5"/>
    <x v="2"/>
    <x v="9"/>
    <s v="Wilson Jones Ledger-Size, Piano-Hinge Binder, 2&quot;, Blue"/>
    <n v="65.569999999999993"/>
    <n v="2"/>
    <n v="22.95"/>
  </r>
  <r>
    <d v="2017-12-10T00:00:00"/>
    <x v="3"/>
    <x v="9"/>
    <x v="288"/>
    <x v="13"/>
    <x v="0"/>
    <x v="0"/>
    <s v="Memorex Froggy Flash Drive 8 GB"/>
    <n v="14.2"/>
    <n v="1"/>
    <n v="3.37"/>
  </r>
  <r>
    <d v="2017-12-10T00:00:00"/>
    <x v="3"/>
    <x v="9"/>
    <x v="589"/>
    <x v="27"/>
    <x v="2"/>
    <x v="9"/>
    <s v="Ibico Covers for Plastic or Wire Binding Elements"/>
    <n v="34.5"/>
    <n v="3"/>
    <n v="15.53"/>
  </r>
  <r>
    <d v="2017-12-10T00:00:00"/>
    <x v="3"/>
    <x v="9"/>
    <x v="133"/>
    <x v="14"/>
    <x v="1"/>
    <x v="7"/>
    <s v="Bretford Â“Just In TimeÂ” Height-Adjustable Multi-Task Work Tables"/>
    <n v="1669.6"/>
    <n v="4"/>
    <n v="116.87"/>
  </r>
  <r>
    <d v="2017-12-10T00:00:00"/>
    <x v="3"/>
    <x v="9"/>
    <x v="662"/>
    <x v="13"/>
    <x v="2"/>
    <x v="3"/>
    <s v="Xerox 210"/>
    <n v="10.37"/>
    <n v="2"/>
    <n v="3.63"/>
  </r>
  <r>
    <d v="2017-12-10T00:00:00"/>
    <x v="3"/>
    <x v="9"/>
    <x v="662"/>
    <x v="13"/>
    <x v="1"/>
    <x v="5"/>
    <s v="Electrix Halogen Magnifier Lamp"/>
    <n v="310.88"/>
    <n v="2"/>
    <n v="23.32"/>
  </r>
  <r>
    <d v="2017-12-10T00:00:00"/>
    <x v="3"/>
    <x v="9"/>
    <x v="116"/>
    <x v="25"/>
    <x v="2"/>
    <x v="13"/>
    <s v="Convenience Packs of Business Envelopes"/>
    <n v="10.86"/>
    <n v="3"/>
    <n v="5.0999999999999996"/>
  </r>
  <r>
    <d v="2017-12-10T00:00:00"/>
    <x v="3"/>
    <x v="9"/>
    <x v="116"/>
    <x v="25"/>
    <x v="2"/>
    <x v="10"/>
    <s v="Tripp Lite Isotel 6 Outlet Surge Protector with Fax/Modem Protection"/>
    <n v="426.79"/>
    <n v="7"/>
    <n v="123.77"/>
  </r>
  <r>
    <d v="2017-12-10T00:00:00"/>
    <x v="3"/>
    <x v="9"/>
    <x v="452"/>
    <x v="11"/>
    <x v="1"/>
    <x v="5"/>
    <s v="Staple-based wall hangings"/>
    <n v="19.100000000000001"/>
    <n v="3"/>
    <n v="5.73"/>
  </r>
  <r>
    <d v="2017-12-10T00:00:00"/>
    <x v="3"/>
    <x v="9"/>
    <x v="556"/>
    <x v="1"/>
    <x v="0"/>
    <x v="0"/>
    <s v="Logitech Desktop MK120 Mouse and keyboard Combo"/>
    <n v="49.08"/>
    <n v="3"/>
    <n v="4.91"/>
  </r>
  <r>
    <d v="2017-12-10T00:00:00"/>
    <x v="3"/>
    <x v="9"/>
    <x v="556"/>
    <x v="1"/>
    <x v="2"/>
    <x v="6"/>
    <s v="Fellowes Bankers Box Staxonsteel Drawer File/Stacking System"/>
    <n v="324.89999999999998"/>
    <n v="5"/>
    <n v="38.99"/>
  </r>
  <r>
    <d v="2017-12-10T00:00:00"/>
    <x v="3"/>
    <x v="9"/>
    <x v="556"/>
    <x v="1"/>
    <x v="2"/>
    <x v="11"/>
    <s v="Col-Erase Pencils with Erasers"/>
    <n v="18.239999999999998"/>
    <n v="3"/>
    <n v="5.29"/>
  </r>
  <r>
    <d v="2017-12-10T00:00:00"/>
    <x v="3"/>
    <x v="9"/>
    <x v="411"/>
    <x v="32"/>
    <x v="0"/>
    <x v="0"/>
    <s v="Razer Tiamat Over Ear 7.1 Surround Sound PC Gaming Headset"/>
    <n v="599.97"/>
    <n v="3"/>
    <n v="257.99"/>
  </r>
  <r>
    <d v="2017-12-10T00:00:00"/>
    <x v="3"/>
    <x v="9"/>
    <x v="411"/>
    <x v="32"/>
    <x v="0"/>
    <x v="2"/>
    <s v="Cyber Acoustics AC-202b Speech Recognition Stereo Headset"/>
    <n v="38.97"/>
    <n v="3"/>
    <n v="0.78"/>
  </r>
  <r>
    <d v="2017-12-10T00:00:00"/>
    <x v="3"/>
    <x v="9"/>
    <x v="411"/>
    <x v="32"/>
    <x v="2"/>
    <x v="9"/>
    <s v="Avery Metallic Poly Binders"/>
    <n v="45.84"/>
    <n v="8"/>
    <n v="22"/>
  </r>
  <r>
    <d v="2017-12-10T00:00:00"/>
    <x v="3"/>
    <x v="9"/>
    <x v="549"/>
    <x v="5"/>
    <x v="0"/>
    <x v="2"/>
    <s v="Jackery Bar Premium Fast-charging Portable Charger"/>
    <n v="95.84"/>
    <n v="4"/>
    <n v="34.74"/>
  </r>
  <r>
    <d v="2017-12-10T00:00:00"/>
    <x v="3"/>
    <x v="9"/>
    <x v="549"/>
    <x v="5"/>
    <x v="2"/>
    <x v="3"/>
    <s v="Xerox 225"/>
    <n v="12.96"/>
    <n v="2"/>
    <n v="6.22"/>
  </r>
  <r>
    <d v="2017-12-10T00:00:00"/>
    <x v="3"/>
    <x v="9"/>
    <x v="582"/>
    <x v="29"/>
    <x v="1"/>
    <x v="5"/>
    <s v="Eldon Expressions Wood Desk Accessories, Oak"/>
    <n v="14.76"/>
    <n v="2"/>
    <n v="4.28"/>
  </r>
  <r>
    <d v="2017-12-10T00:00:00"/>
    <x v="3"/>
    <x v="9"/>
    <x v="119"/>
    <x v="13"/>
    <x v="2"/>
    <x v="9"/>
    <s v="Heavy-Duty E-Z-D Binders"/>
    <n v="3.27"/>
    <n v="1"/>
    <n v="-2.5099999999999998"/>
  </r>
  <r>
    <d v="2017-12-10T00:00:00"/>
    <x v="3"/>
    <x v="9"/>
    <x v="119"/>
    <x v="13"/>
    <x v="1"/>
    <x v="5"/>
    <s v="Contract Clock, 14&quot;, Brown"/>
    <n v="87.92"/>
    <n v="5"/>
    <n v="15.39"/>
  </r>
  <r>
    <d v="2017-02-11T00:00:00"/>
    <x v="3"/>
    <x v="0"/>
    <x v="278"/>
    <x v="5"/>
    <x v="2"/>
    <x v="9"/>
    <s v="Acco Pressboard Covers with Storage Hooks, 14 7/8&quot; x 11&quot;, Dark Blue"/>
    <n v="21.34"/>
    <n v="7"/>
    <n v="7.73"/>
  </r>
  <r>
    <d v="2017-02-11T00:00:00"/>
    <x v="3"/>
    <x v="0"/>
    <x v="340"/>
    <x v="1"/>
    <x v="1"/>
    <x v="1"/>
    <s v="Global Leather and Oak Executive Chair, Black"/>
    <n v="963.14"/>
    <n v="4"/>
    <n v="108.35"/>
  </r>
  <r>
    <d v="2017-02-11T00:00:00"/>
    <x v="3"/>
    <x v="0"/>
    <x v="340"/>
    <x v="1"/>
    <x v="0"/>
    <x v="2"/>
    <s v="Logitech B530 USBÂ HeadsetÂ -Â headsetÂ - Full size, Binaural"/>
    <n v="88.78"/>
    <n v="3"/>
    <n v="7.77"/>
  </r>
  <r>
    <d v="2017-02-11T00:00:00"/>
    <x v="3"/>
    <x v="0"/>
    <x v="685"/>
    <x v="2"/>
    <x v="2"/>
    <x v="8"/>
    <s v="Avery 473"/>
    <n v="20.7"/>
    <n v="2"/>
    <n v="9.94"/>
  </r>
  <r>
    <d v="2017-02-11T00:00:00"/>
    <x v="3"/>
    <x v="0"/>
    <x v="730"/>
    <x v="18"/>
    <x v="1"/>
    <x v="5"/>
    <s v="Deflect-o RollaMat Studded, Beveled Mat for Medium Pile Carpeting"/>
    <n v="147.57"/>
    <n v="2"/>
    <n v="-3.69"/>
  </r>
  <r>
    <d v="2017-03-11T00:00:00"/>
    <x v="3"/>
    <x v="1"/>
    <x v="467"/>
    <x v="10"/>
    <x v="2"/>
    <x v="9"/>
    <s v="GBC DocuBind TL200 Manual Binding Machine"/>
    <n v="895.92"/>
    <n v="4"/>
    <n v="421.08"/>
  </r>
  <r>
    <d v="2017-03-11T00:00:00"/>
    <x v="3"/>
    <x v="1"/>
    <x v="664"/>
    <x v="13"/>
    <x v="0"/>
    <x v="2"/>
    <s v="Nortel Meridian M5316 Digital phone"/>
    <n v="776.85"/>
    <n v="5"/>
    <n v="-181.27"/>
  </r>
  <r>
    <d v="2017-03-11T00:00:00"/>
    <x v="3"/>
    <x v="1"/>
    <x v="664"/>
    <x v="13"/>
    <x v="2"/>
    <x v="9"/>
    <s v="Avery Trapezoid Ring Binder, 3&quot; Capacity, Black, 1040 sheets"/>
    <n v="12.29"/>
    <n v="1"/>
    <n v="-8.61"/>
  </r>
  <r>
    <d v="2017-03-11T00:00:00"/>
    <x v="3"/>
    <x v="1"/>
    <x v="664"/>
    <x v="13"/>
    <x v="1"/>
    <x v="7"/>
    <s v="KI Adjustable-Height Table"/>
    <n v="154.76"/>
    <n v="3"/>
    <n v="-46.43"/>
  </r>
  <r>
    <d v="2017-03-11T00:00:00"/>
    <x v="3"/>
    <x v="1"/>
    <x v="664"/>
    <x v="13"/>
    <x v="2"/>
    <x v="6"/>
    <s v="Desktop 3-Pocket Hot File"/>
    <n v="43.28"/>
    <n v="1"/>
    <n v="3.25"/>
  </r>
  <r>
    <d v="2017-03-11T00:00:00"/>
    <x v="3"/>
    <x v="1"/>
    <x v="302"/>
    <x v="6"/>
    <x v="0"/>
    <x v="0"/>
    <s v="Memorex Mini Travel Drive 16 GB USB 2.0 Flash Drive"/>
    <n v="63.88"/>
    <n v="4"/>
    <n v="24.91"/>
  </r>
  <r>
    <d v="2017-03-11T00:00:00"/>
    <x v="3"/>
    <x v="1"/>
    <x v="302"/>
    <x v="6"/>
    <x v="1"/>
    <x v="5"/>
    <s v="Executive Impressions 16-1/2&quot; Circular Wall Clock"/>
    <n v="26.72"/>
    <n v="1"/>
    <n v="11.76"/>
  </r>
  <r>
    <d v="2017-04-11T00:00:00"/>
    <x v="3"/>
    <x v="2"/>
    <x v="310"/>
    <x v="5"/>
    <x v="0"/>
    <x v="0"/>
    <s v="SanDisk Ultra 64 GB MicroSDHC Class 10 Memory Card"/>
    <n v="199.95"/>
    <n v="5"/>
    <n v="21.99"/>
  </r>
  <r>
    <d v="2017-04-11T00:00:00"/>
    <x v="3"/>
    <x v="2"/>
    <x v="310"/>
    <x v="5"/>
    <x v="2"/>
    <x v="11"/>
    <s v="Dixon Ticonderoga Erasable Colored Pencil Set, 12-Color"/>
    <n v="41.86"/>
    <n v="7"/>
    <n v="14.23"/>
  </r>
  <r>
    <d v="2017-04-11T00:00:00"/>
    <x v="3"/>
    <x v="2"/>
    <x v="683"/>
    <x v="4"/>
    <x v="2"/>
    <x v="9"/>
    <s v="Flexible Leather- Look Classic Collection Ring Binder"/>
    <n v="11.36"/>
    <n v="3"/>
    <n v="-17.05"/>
  </r>
  <r>
    <d v="2017-04-11T00:00:00"/>
    <x v="3"/>
    <x v="2"/>
    <x v="18"/>
    <x v="18"/>
    <x v="2"/>
    <x v="6"/>
    <s v="Sterilite Officeware Hinged File Box"/>
    <n v="16.77"/>
    <n v="2"/>
    <n v="1.47"/>
  </r>
  <r>
    <d v="2017-04-11T00:00:00"/>
    <x v="3"/>
    <x v="2"/>
    <x v="18"/>
    <x v="18"/>
    <x v="0"/>
    <x v="0"/>
    <s v="Kingston Digital DataTraveler 32GB USB 2.0"/>
    <n v="27.12"/>
    <n v="2"/>
    <n v="-4.75"/>
  </r>
  <r>
    <d v="2017-04-11T00:00:00"/>
    <x v="3"/>
    <x v="2"/>
    <x v="352"/>
    <x v="12"/>
    <x v="2"/>
    <x v="11"/>
    <s v="Pencil and Crayon Sharpener"/>
    <n v="1.75"/>
    <n v="1"/>
    <n v="0.15"/>
  </r>
  <r>
    <d v="2017-04-11T00:00:00"/>
    <x v="3"/>
    <x v="2"/>
    <x v="352"/>
    <x v="12"/>
    <x v="2"/>
    <x v="11"/>
    <s v="Newell 321"/>
    <n v="20.99"/>
    <n v="8"/>
    <n v="2.36"/>
  </r>
  <r>
    <d v="2017-05-11T00:00:00"/>
    <x v="3"/>
    <x v="10"/>
    <x v="632"/>
    <x v="1"/>
    <x v="2"/>
    <x v="3"/>
    <s v="Ampad Phone Message Book, Recycled, 400 Message Capacity, 5 Â¾Â” x 11Â”"/>
    <n v="37.44"/>
    <n v="6"/>
    <n v="16.850000000000001"/>
  </r>
  <r>
    <d v="2017-05-11T00:00:00"/>
    <x v="3"/>
    <x v="10"/>
    <x v="632"/>
    <x v="1"/>
    <x v="2"/>
    <x v="8"/>
    <s v="Avery 50"/>
    <n v="37.590000000000003"/>
    <n v="3"/>
    <n v="17.670000000000002"/>
  </r>
  <r>
    <d v="2017-05-11T00:00:00"/>
    <x v="3"/>
    <x v="10"/>
    <x v="632"/>
    <x v="1"/>
    <x v="2"/>
    <x v="9"/>
    <s v="Acco Flexible ACCOHIDE Square Ring Data Binder, Dark Blue, 11 1/2&quot; X 14&quot; 7/8&quot;"/>
    <n v="26.03"/>
    <n v="2"/>
    <n v="9.44"/>
  </r>
  <r>
    <d v="2017-05-11T00:00:00"/>
    <x v="3"/>
    <x v="10"/>
    <x v="60"/>
    <x v="4"/>
    <x v="2"/>
    <x v="11"/>
    <s v="Newell 348"/>
    <n v="5.25"/>
    <n v="2"/>
    <n v="0.59"/>
  </r>
  <r>
    <d v="2017-05-11T00:00:00"/>
    <x v="3"/>
    <x v="10"/>
    <x v="60"/>
    <x v="4"/>
    <x v="2"/>
    <x v="6"/>
    <s v="Safco Commercial Shelving"/>
    <n v="74.42"/>
    <n v="2"/>
    <n v="-14.88"/>
  </r>
  <r>
    <d v="2017-05-11T00:00:00"/>
    <x v="3"/>
    <x v="10"/>
    <x v="60"/>
    <x v="4"/>
    <x v="2"/>
    <x v="3"/>
    <s v="Xerox 1927"/>
    <n v="6.85"/>
    <n v="2"/>
    <n v="2.14"/>
  </r>
  <r>
    <d v="2017-05-11T00:00:00"/>
    <x v="3"/>
    <x v="10"/>
    <x v="60"/>
    <x v="4"/>
    <x v="1"/>
    <x v="5"/>
    <s v="Telescoping Adjustable Floor Lamp"/>
    <n v="8"/>
    <n v="1"/>
    <n v="-7"/>
  </r>
  <r>
    <d v="2017-05-11T00:00:00"/>
    <x v="3"/>
    <x v="10"/>
    <x v="493"/>
    <x v="23"/>
    <x v="1"/>
    <x v="16"/>
    <s v="Bestar Classic Bookcase"/>
    <n v="209.98"/>
    <n v="7"/>
    <n v="-356.96"/>
  </r>
  <r>
    <d v="2017-05-11T00:00:00"/>
    <x v="3"/>
    <x v="10"/>
    <x v="604"/>
    <x v="2"/>
    <x v="2"/>
    <x v="11"/>
    <s v="Panasonic KP-4ABK Battery-Operated Pencil Sharpener"/>
    <n v="43.92"/>
    <n v="3"/>
    <n v="12.74"/>
  </r>
  <r>
    <d v="2017-06-11T00:00:00"/>
    <x v="3"/>
    <x v="3"/>
    <x v="473"/>
    <x v="5"/>
    <x v="2"/>
    <x v="3"/>
    <s v="White Dual Perf Computer Printout Paper, 2700 Sheets, 1 Part, Heavyweight, 20 lbs., 14 7/8 x 11"/>
    <n v="122.97"/>
    <n v="3"/>
    <n v="60.26"/>
  </r>
  <r>
    <d v="2017-06-11T00:00:00"/>
    <x v="3"/>
    <x v="3"/>
    <x v="171"/>
    <x v="23"/>
    <x v="1"/>
    <x v="1"/>
    <s v="Global Leather Executive Chair"/>
    <n v="280.79000000000002"/>
    <n v="1"/>
    <n v="35.1"/>
  </r>
  <r>
    <d v="2017-06-11T00:00:00"/>
    <x v="3"/>
    <x v="3"/>
    <x v="171"/>
    <x v="23"/>
    <x v="2"/>
    <x v="6"/>
    <s v="Sortfiler Multipurpose Personal File Organizer, Black"/>
    <n v="68.45"/>
    <n v="4"/>
    <n v="7.7"/>
  </r>
  <r>
    <d v="2017-06-11T00:00:00"/>
    <x v="3"/>
    <x v="3"/>
    <x v="171"/>
    <x v="23"/>
    <x v="2"/>
    <x v="11"/>
    <s v="Boston 16801 Nautilus Battery Pencil Sharpener"/>
    <n v="88.04"/>
    <n v="5"/>
    <n v="6.6"/>
  </r>
  <r>
    <d v="2017-06-11T00:00:00"/>
    <x v="3"/>
    <x v="3"/>
    <x v="171"/>
    <x v="23"/>
    <x v="2"/>
    <x v="11"/>
    <s v="Newell 319"/>
    <n v="15.87"/>
    <n v="1"/>
    <n v="1.98"/>
  </r>
  <r>
    <d v="2017-06-11T00:00:00"/>
    <x v="3"/>
    <x v="3"/>
    <x v="171"/>
    <x v="23"/>
    <x v="2"/>
    <x v="6"/>
    <s v="Fellowes Officeware Wire Shelving"/>
    <n v="215.59"/>
    <n v="3"/>
    <n v="-48.51"/>
  </r>
  <r>
    <d v="2017-06-11T00:00:00"/>
    <x v="3"/>
    <x v="3"/>
    <x v="38"/>
    <x v="34"/>
    <x v="2"/>
    <x v="11"/>
    <s v="OIC #2 Pencils, Medium Soft"/>
    <n v="3.76"/>
    <n v="2"/>
    <n v="1.0900000000000001"/>
  </r>
  <r>
    <d v="2017-06-11T00:00:00"/>
    <x v="3"/>
    <x v="3"/>
    <x v="70"/>
    <x v="1"/>
    <x v="2"/>
    <x v="3"/>
    <s v="Xerox 1939"/>
    <n v="37.94"/>
    <n v="2"/>
    <n v="18.21"/>
  </r>
  <r>
    <d v="2017-06-11T00:00:00"/>
    <x v="3"/>
    <x v="3"/>
    <x v="70"/>
    <x v="1"/>
    <x v="2"/>
    <x v="9"/>
    <s v="Acco Pressboard Covers with Storage Hooks, 14 7/8&quot; x 11&quot;, Dark Blue"/>
    <n v="18.29"/>
    <n v="6"/>
    <n v="6.63"/>
  </r>
  <r>
    <d v="2017-06-11T00:00:00"/>
    <x v="3"/>
    <x v="3"/>
    <x v="70"/>
    <x v="1"/>
    <x v="0"/>
    <x v="14"/>
    <s v="Cisco Desktop Collaboration Experience DX650 IP Video Phone"/>
    <n v="385.8"/>
    <n v="5"/>
    <n v="130.21"/>
  </r>
  <r>
    <d v="2017-06-11T00:00:00"/>
    <x v="3"/>
    <x v="3"/>
    <x v="70"/>
    <x v="1"/>
    <x v="2"/>
    <x v="6"/>
    <s v="Belkin 19&quot; Vented Equipment Shelf, Black"/>
    <n v="102.96"/>
    <n v="2"/>
    <n v="1.03"/>
  </r>
  <r>
    <d v="2017-06-11T00:00:00"/>
    <x v="3"/>
    <x v="3"/>
    <x v="70"/>
    <x v="1"/>
    <x v="1"/>
    <x v="16"/>
    <s v="O'Sullivan 3-Shelf Heavy-Duty Bookcases"/>
    <n v="174.42"/>
    <n v="3"/>
    <n v="41.86"/>
  </r>
  <r>
    <d v="2017-06-11T00:00:00"/>
    <x v="3"/>
    <x v="3"/>
    <x v="546"/>
    <x v="5"/>
    <x v="2"/>
    <x v="10"/>
    <s v="Kensington 6 Outlet Guardian Standard Surge Protector"/>
    <n v="61.44"/>
    <n v="3"/>
    <n v="16.59"/>
  </r>
  <r>
    <d v="2017-06-11T00:00:00"/>
    <x v="3"/>
    <x v="3"/>
    <x v="604"/>
    <x v="12"/>
    <x v="2"/>
    <x v="9"/>
    <s v="Acco Pressboard Covers with Storage Hooks, 14 7/8&quot; x 11&quot;, Executive Red"/>
    <n v="4.57"/>
    <n v="4"/>
    <n v="-3.81"/>
  </r>
  <r>
    <d v="2017-07-11T00:00:00"/>
    <x v="3"/>
    <x v="4"/>
    <x v="65"/>
    <x v="5"/>
    <x v="2"/>
    <x v="8"/>
    <s v="Avery 482"/>
    <n v="8.67"/>
    <n v="3"/>
    <n v="4.07"/>
  </r>
  <r>
    <d v="2017-07-11T00:00:00"/>
    <x v="3"/>
    <x v="4"/>
    <x v="115"/>
    <x v="2"/>
    <x v="0"/>
    <x v="0"/>
    <s v="SanDisk Ultra 32 GB MicroSDHC Class 10 Memory Card"/>
    <n v="132.6"/>
    <n v="6"/>
    <n v="17.239999999999998"/>
  </r>
  <r>
    <d v="2017-07-11T00:00:00"/>
    <x v="3"/>
    <x v="4"/>
    <x v="448"/>
    <x v="43"/>
    <x v="2"/>
    <x v="11"/>
    <s v="Staples in misc. colors"/>
    <n v="30.32"/>
    <n v="4"/>
    <n v="11.82"/>
  </r>
  <r>
    <d v="2017-07-11T00:00:00"/>
    <x v="3"/>
    <x v="4"/>
    <x v="439"/>
    <x v="5"/>
    <x v="0"/>
    <x v="0"/>
    <s v="LogitechÂ P710e Mobile Speakerphone"/>
    <n v="1287.45"/>
    <n v="5"/>
    <n v="244.62"/>
  </r>
  <r>
    <d v="2017-07-11T00:00:00"/>
    <x v="3"/>
    <x v="4"/>
    <x v="439"/>
    <x v="5"/>
    <x v="2"/>
    <x v="10"/>
    <s v="Fellowes 8 Outlet Superior Workstation Surge Protector w/o Phone/Fax/Modem Protection"/>
    <n v="168.1"/>
    <n v="5"/>
    <n v="43.71"/>
  </r>
  <r>
    <d v="2017-07-11T00:00:00"/>
    <x v="3"/>
    <x v="4"/>
    <x v="295"/>
    <x v="5"/>
    <x v="0"/>
    <x v="2"/>
    <s v="Belkin iPhone and iPad Lightning Cable"/>
    <n v="71.95"/>
    <n v="6"/>
    <n v="5.4"/>
  </r>
  <r>
    <d v="2017-07-11T00:00:00"/>
    <x v="3"/>
    <x v="4"/>
    <x v="295"/>
    <x v="5"/>
    <x v="2"/>
    <x v="9"/>
    <s v="Acco Four Pocket Poly Ring Binder with Label Holder, Smoke, 1&quot;"/>
    <n v="29.8"/>
    <n v="5"/>
    <n v="9.31"/>
  </r>
  <r>
    <d v="2017-08-11T00:00:00"/>
    <x v="3"/>
    <x v="5"/>
    <x v="360"/>
    <x v="4"/>
    <x v="2"/>
    <x v="3"/>
    <s v="Wirebound Message Books, Four 2 3/4&quot; x 5&quot; Forms per Page, 600 Sets per Book"/>
    <n v="29.66"/>
    <n v="4"/>
    <n v="10.01"/>
  </r>
  <r>
    <d v="2017-08-11T00:00:00"/>
    <x v="3"/>
    <x v="5"/>
    <x v="360"/>
    <x v="4"/>
    <x v="2"/>
    <x v="11"/>
    <s v="BIC Brite Liner Grip Highlighters"/>
    <n v="9.18"/>
    <n v="7"/>
    <n v="2.87"/>
  </r>
  <r>
    <d v="2017-08-11T00:00:00"/>
    <x v="3"/>
    <x v="5"/>
    <x v="360"/>
    <x v="4"/>
    <x v="0"/>
    <x v="2"/>
    <s v="Pyle PMP37LED"/>
    <n v="153.58000000000001"/>
    <n v="2"/>
    <n v="13.44"/>
  </r>
  <r>
    <d v="2017-08-11T00:00:00"/>
    <x v="3"/>
    <x v="5"/>
    <x v="360"/>
    <x v="4"/>
    <x v="2"/>
    <x v="9"/>
    <s v="Fellowes Twister Kit, Gray/Clear, 3/pkg"/>
    <n v="12.86"/>
    <n v="8"/>
    <n v="-22.51"/>
  </r>
  <r>
    <d v="2017-08-11T00:00:00"/>
    <x v="3"/>
    <x v="5"/>
    <x v="325"/>
    <x v="30"/>
    <x v="2"/>
    <x v="9"/>
    <s v="Satellite Sectional Post Binders"/>
    <n v="477.51"/>
    <n v="11"/>
    <n v="219.65"/>
  </r>
  <r>
    <d v="2017-08-11T00:00:00"/>
    <x v="3"/>
    <x v="5"/>
    <x v="605"/>
    <x v="2"/>
    <x v="2"/>
    <x v="3"/>
    <s v="Xerox 226"/>
    <n v="25.92"/>
    <n v="4"/>
    <n v="12.44"/>
  </r>
  <r>
    <d v="2017-09-11T00:00:00"/>
    <x v="3"/>
    <x v="6"/>
    <x v="179"/>
    <x v="11"/>
    <x v="1"/>
    <x v="5"/>
    <s v="Howard Miller 11-1/2&quot; Diameter Grantwood Wall Clock"/>
    <n v="34.5"/>
    <n v="1"/>
    <n v="6.04"/>
  </r>
  <r>
    <d v="2017-09-11T00:00:00"/>
    <x v="3"/>
    <x v="6"/>
    <x v="516"/>
    <x v="19"/>
    <x v="2"/>
    <x v="3"/>
    <s v="Xerox 1935"/>
    <n v="184.66"/>
    <n v="7"/>
    <n v="84.94"/>
  </r>
  <r>
    <d v="2017-09-11T00:00:00"/>
    <x v="3"/>
    <x v="6"/>
    <x v="622"/>
    <x v="5"/>
    <x v="2"/>
    <x v="3"/>
    <s v="Xerox 1996"/>
    <n v="12.96"/>
    <n v="2"/>
    <n v="6.22"/>
  </r>
  <r>
    <d v="2017-09-11T00:00:00"/>
    <x v="3"/>
    <x v="6"/>
    <x v="622"/>
    <x v="5"/>
    <x v="2"/>
    <x v="13"/>
    <s v="#10 Self-Seal White Envelopes"/>
    <n v="22.18"/>
    <n v="2"/>
    <n v="10.87"/>
  </r>
  <r>
    <d v="2017-09-11T00:00:00"/>
    <x v="3"/>
    <x v="6"/>
    <x v="622"/>
    <x v="5"/>
    <x v="1"/>
    <x v="1"/>
    <s v="Hon Pagoda Stacking Chairs"/>
    <n v="2054.27"/>
    <n v="8"/>
    <n v="256.77999999999997"/>
  </r>
  <r>
    <d v="2017-09-11T00:00:00"/>
    <x v="3"/>
    <x v="6"/>
    <x v="288"/>
    <x v="3"/>
    <x v="2"/>
    <x v="4"/>
    <s v="Acco Hot Clips Clips to Go"/>
    <n v="10.53"/>
    <n v="4"/>
    <n v="3.29"/>
  </r>
  <r>
    <d v="2017-09-11T00:00:00"/>
    <x v="3"/>
    <x v="6"/>
    <x v="288"/>
    <x v="3"/>
    <x v="2"/>
    <x v="3"/>
    <s v="Xerox 1927"/>
    <n v="20.54"/>
    <n v="6"/>
    <n v="6.42"/>
  </r>
  <r>
    <d v="2017-09-11T00:00:00"/>
    <x v="3"/>
    <x v="6"/>
    <x v="695"/>
    <x v="5"/>
    <x v="1"/>
    <x v="5"/>
    <s v="6&quot; Cubicle Wall Clock, Black"/>
    <n v="32.36"/>
    <n v="4"/>
    <n v="11.65"/>
  </r>
  <r>
    <d v="2017-09-11T00:00:00"/>
    <x v="3"/>
    <x v="6"/>
    <x v="695"/>
    <x v="5"/>
    <x v="2"/>
    <x v="10"/>
    <s v="Kensington 4 Outlet MasterPiece Compact Power Control Center"/>
    <n v="406.6"/>
    <n v="5"/>
    <n v="113.85"/>
  </r>
  <r>
    <d v="2017-09-11T00:00:00"/>
    <x v="3"/>
    <x v="6"/>
    <x v="399"/>
    <x v="1"/>
    <x v="1"/>
    <x v="1"/>
    <s v="Office Star - Contemporary Task Swivel Chair"/>
    <n v="177.57"/>
    <n v="2"/>
    <n v="8.8800000000000008"/>
  </r>
  <r>
    <d v="2017-09-11T00:00:00"/>
    <x v="3"/>
    <x v="6"/>
    <x v="399"/>
    <x v="1"/>
    <x v="2"/>
    <x v="3"/>
    <s v="Xerox 225"/>
    <n v="19.440000000000001"/>
    <n v="3"/>
    <n v="9.33"/>
  </r>
  <r>
    <d v="2017-09-11T00:00:00"/>
    <x v="3"/>
    <x v="6"/>
    <x v="399"/>
    <x v="1"/>
    <x v="2"/>
    <x v="3"/>
    <s v="Xerox 1894"/>
    <n v="71.28"/>
    <n v="11"/>
    <n v="34.21"/>
  </r>
  <r>
    <d v="2017-09-11T00:00:00"/>
    <x v="3"/>
    <x v="6"/>
    <x v="399"/>
    <x v="1"/>
    <x v="2"/>
    <x v="9"/>
    <s v="Ibico Ibimaster 300 Manual Binding System"/>
    <n v="1471.96"/>
    <n v="5"/>
    <n v="459.99"/>
  </r>
  <r>
    <d v="2017-09-11T00:00:00"/>
    <x v="3"/>
    <x v="6"/>
    <x v="399"/>
    <x v="1"/>
    <x v="0"/>
    <x v="2"/>
    <s v="iOttie XL Car Mount"/>
    <n v="79.959999999999994"/>
    <n v="5"/>
    <n v="-17.989999999999998"/>
  </r>
  <r>
    <d v="2017-09-11T00:00:00"/>
    <x v="3"/>
    <x v="6"/>
    <x v="532"/>
    <x v="4"/>
    <x v="2"/>
    <x v="3"/>
    <s v="Xerox 1953"/>
    <n v="10.27"/>
    <n v="3"/>
    <n v="3.21"/>
  </r>
  <r>
    <d v="2017-09-11T00:00:00"/>
    <x v="3"/>
    <x v="6"/>
    <x v="532"/>
    <x v="4"/>
    <x v="1"/>
    <x v="7"/>
    <s v="Bevis Round Conference Table Top &amp; Single Column Base"/>
    <n v="512.19000000000005"/>
    <n v="5"/>
    <n v="-65.849999999999994"/>
  </r>
  <r>
    <d v="2017-09-11T00:00:00"/>
    <x v="3"/>
    <x v="6"/>
    <x v="532"/>
    <x v="4"/>
    <x v="2"/>
    <x v="10"/>
    <s v="Commercial WindTunnel Clean Air Upright Vacuum, Replacement Belts, Filtration Bags"/>
    <n v="1.56"/>
    <n v="2"/>
    <n v="-4.2"/>
  </r>
  <r>
    <d v="2017-09-11T00:00:00"/>
    <x v="3"/>
    <x v="6"/>
    <x v="23"/>
    <x v="5"/>
    <x v="0"/>
    <x v="2"/>
    <s v="OtterBox Defender Series Case - Samsung Galaxy S4"/>
    <n v="143.94999999999999"/>
    <n v="6"/>
    <n v="17.989999999999998"/>
  </r>
  <r>
    <d v="2017-09-11T00:00:00"/>
    <x v="3"/>
    <x v="6"/>
    <x v="23"/>
    <x v="5"/>
    <x v="2"/>
    <x v="3"/>
    <s v="Xerox 192"/>
    <n v="19.440000000000001"/>
    <n v="3"/>
    <n v="9.33"/>
  </r>
  <r>
    <d v="2017-09-11T00:00:00"/>
    <x v="3"/>
    <x v="6"/>
    <x v="695"/>
    <x v="20"/>
    <x v="2"/>
    <x v="10"/>
    <s v="Hoover Commercial SteamVac"/>
    <n v="67.900000000000006"/>
    <n v="5"/>
    <n v="20.37"/>
  </r>
  <r>
    <d v="2017-09-11T00:00:00"/>
    <x v="3"/>
    <x v="6"/>
    <x v="197"/>
    <x v="17"/>
    <x v="2"/>
    <x v="10"/>
    <s v="Fellowes Premier Superior Surge Suppressor, 10-Outlet, With Phone and Remote"/>
    <n v="195.68"/>
    <n v="4"/>
    <n v="50.88"/>
  </r>
  <r>
    <d v="2017-09-11T00:00:00"/>
    <x v="3"/>
    <x v="6"/>
    <x v="197"/>
    <x v="17"/>
    <x v="2"/>
    <x v="4"/>
    <s v="Acco Clips to Go Binder Clips, 24 Clips in Two Sizes"/>
    <n v="14.2"/>
    <n v="4"/>
    <n v="6.67"/>
  </r>
  <r>
    <d v="2017-11-11T00:00:00"/>
    <x v="3"/>
    <x v="8"/>
    <x v="715"/>
    <x v="4"/>
    <x v="2"/>
    <x v="8"/>
    <s v="Permanent Self-Adhesive File Folder Labels for Typewriters by Universal"/>
    <n v="10.44"/>
    <n v="5"/>
    <n v="3.39"/>
  </r>
  <r>
    <d v="2017-11-11T00:00:00"/>
    <x v="3"/>
    <x v="8"/>
    <x v="715"/>
    <x v="4"/>
    <x v="2"/>
    <x v="9"/>
    <s v="Deluxe Heavy-Duty Vinyl Round Ring Binder"/>
    <n v="18.34"/>
    <n v="4"/>
    <n v="-32.090000000000003"/>
  </r>
  <r>
    <d v="2017-11-11T00:00:00"/>
    <x v="3"/>
    <x v="8"/>
    <x v="562"/>
    <x v="18"/>
    <x v="2"/>
    <x v="3"/>
    <s v="Xerox 222"/>
    <n v="10.37"/>
    <n v="2"/>
    <n v="3.63"/>
  </r>
  <r>
    <d v="2017-11-11T00:00:00"/>
    <x v="3"/>
    <x v="8"/>
    <x v="267"/>
    <x v="5"/>
    <x v="2"/>
    <x v="10"/>
    <s v="Belkin 6 Outlet Metallic Surge Strip"/>
    <n v="10.89"/>
    <n v="1"/>
    <n v="2.83"/>
  </r>
  <r>
    <d v="2017-11-11T00:00:00"/>
    <x v="3"/>
    <x v="8"/>
    <x v="267"/>
    <x v="5"/>
    <x v="2"/>
    <x v="3"/>
    <s v="Xerox 201"/>
    <n v="19.440000000000001"/>
    <n v="3"/>
    <n v="9.33"/>
  </r>
  <r>
    <d v="2017-11-11T00:00:00"/>
    <x v="3"/>
    <x v="8"/>
    <x v="267"/>
    <x v="5"/>
    <x v="2"/>
    <x v="9"/>
    <s v="Ibico Plastic Spiral Binding Combs"/>
    <n v="121.6"/>
    <n v="5"/>
    <n v="39.520000000000003"/>
  </r>
  <r>
    <d v="2017-11-11T00:00:00"/>
    <x v="3"/>
    <x v="8"/>
    <x v="170"/>
    <x v="10"/>
    <x v="2"/>
    <x v="11"/>
    <s v="Boston 1799 Powerhouse Electric Pencil Sharpener"/>
    <n v="181.86"/>
    <n v="7"/>
    <n v="50.92"/>
  </r>
  <r>
    <d v="2017-11-11T00:00:00"/>
    <x v="3"/>
    <x v="8"/>
    <x v="119"/>
    <x v="43"/>
    <x v="2"/>
    <x v="4"/>
    <s v="Vinyl Coated Wire Paper Clips in Organizer Box, 800/Box"/>
    <n v="45.92"/>
    <n v="4"/>
    <n v="21.58"/>
  </r>
  <r>
    <d v="2017-11-11T00:00:00"/>
    <x v="3"/>
    <x v="8"/>
    <x v="323"/>
    <x v="0"/>
    <x v="2"/>
    <x v="9"/>
    <s v="Prestige Round Ring Binders"/>
    <n v="18.239999999999998"/>
    <n v="3"/>
    <n v="8.57"/>
  </r>
  <r>
    <d v="2017-11-11T00:00:00"/>
    <x v="3"/>
    <x v="8"/>
    <x v="421"/>
    <x v="2"/>
    <x v="2"/>
    <x v="6"/>
    <s v="Belkin OmniView SE Rackmount Kit"/>
    <n v="35.479999999999997"/>
    <n v="1"/>
    <n v="0"/>
  </r>
  <r>
    <d v="2017-11-11T00:00:00"/>
    <x v="3"/>
    <x v="8"/>
    <x v="401"/>
    <x v="11"/>
    <x v="2"/>
    <x v="10"/>
    <s v="Hoover Upright Vacuum With Dirt Cup"/>
    <n v="1158.1199999999999"/>
    <n v="5"/>
    <n v="130.29"/>
  </r>
  <r>
    <d v="2017-11-11T00:00:00"/>
    <x v="3"/>
    <x v="8"/>
    <x v="210"/>
    <x v="26"/>
    <x v="1"/>
    <x v="5"/>
    <s v="Executive Impressions 14&quot; Contract Wall Clock"/>
    <n v="88.92"/>
    <n v="5"/>
    <n v="14.45"/>
  </r>
  <r>
    <d v="2017-11-11T00:00:00"/>
    <x v="3"/>
    <x v="8"/>
    <x v="729"/>
    <x v="5"/>
    <x v="1"/>
    <x v="5"/>
    <s v="Dax Clear Box Frame"/>
    <n v="34.92"/>
    <n v="4"/>
    <n v="11.87"/>
  </r>
  <r>
    <d v="2017-11-11T00:00:00"/>
    <x v="3"/>
    <x v="8"/>
    <x v="233"/>
    <x v="4"/>
    <x v="0"/>
    <x v="2"/>
    <s v="OtterBox Commuter Series Case - iPhone 5 &amp; 5s"/>
    <n v="35.18"/>
    <n v="2"/>
    <n v="12.31"/>
  </r>
  <r>
    <d v="2017-11-11T00:00:00"/>
    <x v="3"/>
    <x v="8"/>
    <x v="606"/>
    <x v="46"/>
    <x v="2"/>
    <x v="15"/>
    <s v="Acme Titanium Bonded Scissors"/>
    <n v="25.5"/>
    <n v="3"/>
    <n v="6.63"/>
  </r>
  <r>
    <d v="2017-12-11T00:00:00"/>
    <x v="3"/>
    <x v="9"/>
    <x v="395"/>
    <x v="2"/>
    <x v="2"/>
    <x v="9"/>
    <s v="Angle-D Binders with Locking Rings, Label Holders"/>
    <n v="23.36"/>
    <n v="4"/>
    <n v="7.88"/>
  </r>
  <r>
    <d v="2017-12-11T00:00:00"/>
    <x v="3"/>
    <x v="9"/>
    <x v="395"/>
    <x v="2"/>
    <x v="0"/>
    <x v="0"/>
    <s v="LogitechÂ LS21 Speaker System - PC Multimedia - 2.1-CH - Wired"/>
    <n v="39.979999999999997"/>
    <n v="2"/>
    <n v="13.59"/>
  </r>
  <r>
    <d v="2017-12-11T00:00:00"/>
    <x v="3"/>
    <x v="9"/>
    <x v="254"/>
    <x v="13"/>
    <x v="1"/>
    <x v="1"/>
    <s v="Leather Task Chair, Black"/>
    <n v="63.69"/>
    <n v="1"/>
    <n v="-9.1"/>
  </r>
  <r>
    <d v="2017-12-11T00:00:00"/>
    <x v="3"/>
    <x v="9"/>
    <x v="731"/>
    <x v="3"/>
    <x v="2"/>
    <x v="3"/>
    <s v="Xerox 21"/>
    <n v="10.37"/>
    <n v="2"/>
    <n v="3.63"/>
  </r>
  <r>
    <d v="2017-12-11T00:00:00"/>
    <x v="3"/>
    <x v="9"/>
    <x v="731"/>
    <x v="3"/>
    <x v="1"/>
    <x v="5"/>
    <s v="Electrix Halogen Magnifier Lamp"/>
    <n v="77.72"/>
    <n v="1"/>
    <n v="-66.06"/>
  </r>
  <r>
    <d v="2017-12-11T00:00:00"/>
    <x v="3"/>
    <x v="9"/>
    <x v="731"/>
    <x v="3"/>
    <x v="1"/>
    <x v="1"/>
    <s v="GuestStacker Chair with Chrome Finish Legs"/>
    <n v="520.46"/>
    <n v="2"/>
    <n v="-14.87"/>
  </r>
  <r>
    <d v="2017-12-11T00:00:00"/>
    <x v="3"/>
    <x v="9"/>
    <x v="65"/>
    <x v="6"/>
    <x v="0"/>
    <x v="2"/>
    <s v="Plantronics MX500i Earset"/>
    <n v="128.85"/>
    <n v="3"/>
    <n v="3.87"/>
  </r>
  <r>
    <d v="2017-12-11T00:00:00"/>
    <x v="3"/>
    <x v="9"/>
    <x v="567"/>
    <x v="3"/>
    <x v="0"/>
    <x v="0"/>
    <s v="Enermax Briskie RF Wireless Keyboard and Mouse Combo"/>
    <n v="116.31"/>
    <n v="7"/>
    <n v="23.26"/>
  </r>
  <r>
    <d v="2017-12-11T00:00:00"/>
    <x v="3"/>
    <x v="9"/>
    <x v="362"/>
    <x v="2"/>
    <x v="2"/>
    <x v="9"/>
    <s v="Clear Mylar Reinforcing Strips"/>
    <n v="14.95"/>
    <n v="1"/>
    <n v="5.05"/>
  </r>
  <r>
    <d v="2017-12-11T00:00:00"/>
    <x v="3"/>
    <x v="9"/>
    <x v="362"/>
    <x v="2"/>
    <x v="2"/>
    <x v="3"/>
    <s v="Xerox 1895"/>
    <n v="17.940000000000001"/>
    <n v="3"/>
    <n v="8.07"/>
  </r>
  <r>
    <d v="2017-12-11T00:00:00"/>
    <x v="3"/>
    <x v="9"/>
    <x v="362"/>
    <x v="2"/>
    <x v="0"/>
    <x v="2"/>
    <s v="Dexim XPower Skin Super-Thin Power Case for iPhone 5 - Black"/>
    <n v="116.98"/>
    <n v="2"/>
    <n v="29.25"/>
  </r>
  <r>
    <d v="2017-12-11T00:00:00"/>
    <x v="3"/>
    <x v="9"/>
    <x v="194"/>
    <x v="4"/>
    <x v="2"/>
    <x v="10"/>
    <s v="Hoover Commercial Lightweight Upright Vacuum"/>
    <n v="1.39"/>
    <n v="2"/>
    <n v="-3.76"/>
  </r>
  <r>
    <d v="2017-12-11T00:00:00"/>
    <x v="3"/>
    <x v="9"/>
    <x v="638"/>
    <x v="11"/>
    <x v="1"/>
    <x v="7"/>
    <s v="BoxOffice By Design Rectangular and Half-Moon Meeting Room Tables"/>
    <n v="721.88"/>
    <n v="6"/>
    <n v="-420"/>
  </r>
  <r>
    <d v="2017-12-11T00:00:00"/>
    <x v="3"/>
    <x v="9"/>
    <x v="638"/>
    <x v="11"/>
    <x v="0"/>
    <x v="2"/>
    <s v="Motorola HK250 Universal Bluetooth Headset"/>
    <n v="73.569999999999993"/>
    <n v="4"/>
    <n v="-16.55"/>
  </r>
  <r>
    <d v="2017-12-11T00:00:00"/>
    <x v="3"/>
    <x v="9"/>
    <x v="638"/>
    <x v="11"/>
    <x v="2"/>
    <x v="11"/>
    <s v="Stanley Bostitch Contemporary Electric Pencil Sharpeners"/>
    <n v="13.58"/>
    <n v="1"/>
    <n v="1.36"/>
  </r>
  <r>
    <d v="2017-12-11T00:00:00"/>
    <x v="3"/>
    <x v="9"/>
    <x v="638"/>
    <x v="11"/>
    <x v="1"/>
    <x v="1"/>
    <s v="Global Geo Office Task Chair, Gray"/>
    <n v="64.78"/>
    <n v="1"/>
    <n v="-12.15"/>
  </r>
  <r>
    <d v="2017-12-11T00:00:00"/>
    <x v="3"/>
    <x v="9"/>
    <x v="595"/>
    <x v="43"/>
    <x v="2"/>
    <x v="13"/>
    <s v="Pastel Pink Envelopes"/>
    <n v="7.28"/>
    <n v="1"/>
    <n v="3.49"/>
  </r>
  <r>
    <d v="2017-12-11T00:00:00"/>
    <x v="3"/>
    <x v="9"/>
    <x v="595"/>
    <x v="43"/>
    <x v="2"/>
    <x v="9"/>
    <s v="Wilson Jones Easy Flow II Sheet Lifters"/>
    <n v="5.4"/>
    <n v="3"/>
    <n v="2.59"/>
  </r>
  <r>
    <d v="2017-12-11T00:00:00"/>
    <x v="3"/>
    <x v="9"/>
    <x v="153"/>
    <x v="8"/>
    <x v="2"/>
    <x v="4"/>
    <s v="Stockwell Push Pins"/>
    <n v="6.54"/>
    <n v="3"/>
    <n v="2.16"/>
  </r>
  <r>
    <d v="2017-12-11T00:00:00"/>
    <x v="3"/>
    <x v="9"/>
    <x v="261"/>
    <x v="8"/>
    <x v="2"/>
    <x v="9"/>
    <s v="Fellowes Twister Kit, Gray/Clear, 3/pkg"/>
    <n v="40.200000000000003"/>
    <n v="5"/>
    <n v="18.09"/>
  </r>
  <r>
    <d v="2017-12-11T00:00:00"/>
    <x v="3"/>
    <x v="9"/>
    <x v="261"/>
    <x v="8"/>
    <x v="2"/>
    <x v="9"/>
    <s v="Ibico Ibimaster 300 Manual Binding System"/>
    <n v="735.98"/>
    <n v="2"/>
    <n v="331.19"/>
  </r>
  <r>
    <d v="2017-12-11T00:00:00"/>
    <x v="3"/>
    <x v="9"/>
    <x v="261"/>
    <x v="8"/>
    <x v="2"/>
    <x v="10"/>
    <s v="Bravo II Megaboss 12-Amp Hard Body Upright, Replacement Belts, 2 Belts per Pack"/>
    <n v="22.75"/>
    <n v="7"/>
    <n v="6.6"/>
  </r>
  <r>
    <d v="2017-01-12T00:00:00"/>
    <x v="3"/>
    <x v="11"/>
    <x v="258"/>
    <x v="44"/>
    <x v="2"/>
    <x v="3"/>
    <s v="Xerox 195"/>
    <n v="40.08"/>
    <n v="6"/>
    <n v="19.239999999999998"/>
  </r>
  <r>
    <d v="2017-01-12T00:00:00"/>
    <x v="3"/>
    <x v="11"/>
    <x v="258"/>
    <x v="44"/>
    <x v="1"/>
    <x v="5"/>
    <s v="Flat Face Poster Frame"/>
    <n v="37.68"/>
    <n v="2"/>
    <n v="15.83"/>
  </r>
  <r>
    <d v="2017-01-12T00:00:00"/>
    <x v="3"/>
    <x v="11"/>
    <x v="697"/>
    <x v="5"/>
    <x v="2"/>
    <x v="13"/>
    <s v="Staple envelope"/>
    <n v="9.7799999999999994"/>
    <n v="1"/>
    <n v="4.8899999999999997"/>
  </r>
  <r>
    <d v="2017-01-12T00:00:00"/>
    <x v="3"/>
    <x v="11"/>
    <x v="322"/>
    <x v="4"/>
    <x v="2"/>
    <x v="9"/>
    <s v="GBC Ibimaster 500 Manual ProClick Binding System"/>
    <n v="760.98"/>
    <n v="5"/>
    <n v="-1141.47"/>
  </r>
  <r>
    <d v="2017-03-12T00:00:00"/>
    <x v="3"/>
    <x v="1"/>
    <x v="105"/>
    <x v="6"/>
    <x v="0"/>
    <x v="2"/>
    <s v="PowerGen Dual USB Car Charger"/>
    <n v="69.930000000000007"/>
    <n v="7"/>
    <n v="32.17"/>
  </r>
  <r>
    <d v="2017-03-12T00:00:00"/>
    <x v="3"/>
    <x v="1"/>
    <x v="375"/>
    <x v="5"/>
    <x v="2"/>
    <x v="6"/>
    <s v="Carina Double Wide Media Storage Towers in Natural &amp; Black"/>
    <n v="242.94"/>
    <n v="3"/>
    <n v="9.7200000000000006"/>
  </r>
  <r>
    <d v="2017-03-12T00:00:00"/>
    <x v="3"/>
    <x v="1"/>
    <x v="267"/>
    <x v="9"/>
    <x v="2"/>
    <x v="9"/>
    <s v="Avery Non-Stick Binders"/>
    <n v="40.409999999999997"/>
    <n v="9"/>
    <n v="18.59"/>
  </r>
  <r>
    <d v="2017-04-12T00:00:00"/>
    <x v="3"/>
    <x v="2"/>
    <x v="479"/>
    <x v="40"/>
    <x v="2"/>
    <x v="9"/>
    <s v="Storex Dura Pro Binders"/>
    <n v="29.7"/>
    <n v="5"/>
    <n v="13.37"/>
  </r>
  <r>
    <d v="2017-04-12T00:00:00"/>
    <x v="3"/>
    <x v="2"/>
    <x v="479"/>
    <x v="40"/>
    <x v="2"/>
    <x v="3"/>
    <s v="Xerox 1948"/>
    <n v="39.96"/>
    <n v="4"/>
    <n v="17.98"/>
  </r>
  <r>
    <d v="2017-05-12T00:00:00"/>
    <x v="3"/>
    <x v="10"/>
    <x v="299"/>
    <x v="4"/>
    <x v="2"/>
    <x v="6"/>
    <s v="Fellowes Bankers Box Stor/Drawer Steel Plus"/>
    <n v="127.92"/>
    <n v="5"/>
    <n v="-15.99"/>
  </r>
  <r>
    <d v="2017-05-12T00:00:00"/>
    <x v="3"/>
    <x v="10"/>
    <x v="299"/>
    <x v="4"/>
    <x v="2"/>
    <x v="9"/>
    <s v="Wilson Jones Elliptical Ring 3 1/2&quot; Capacity Binders, 800 sheets"/>
    <n v="34.24"/>
    <n v="4"/>
    <n v="-53.07"/>
  </r>
  <r>
    <d v="2017-05-12T00:00:00"/>
    <x v="3"/>
    <x v="10"/>
    <x v="268"/>
    <x v="6"/>
    <x v="2"/>
    <x v="3"/>
    <s v="TOPS Carbonless Receipt Book, Four 2-3/4 x 7-1/4 Money Receipts per Page"/>
    <n v="87.6"/>
    <n v="5"/>
    <n v="42.05"/>
  </r>
  <r>
    <d v="2017-05-12T00:00:00"/>
    <x v="3"/>
    <x v="10"/>
    <x v="383"/>
    <x v="18"/>
    <x v="2"/>
    <x v="11"/>
    <s v="Newell 347"/>
    <n v="10.27"/>
    <n v="3"/>
    <n v="1.1599999999999999"/>
  </r>
  <r>
    <d v="2017-05-12T00:00:00"/>
    <x v="3"/>
    <x v="10"/>
    <x v="303"/>
    <x v="5"/>
    <x v="2"/>
    <x v="15"/>
    <s v="Compact Automatic Electric Letter Opener"/>
    <n v="238.62"/>
    <n v="2"/>
    <n v="4.7699999999999996"/>
  </r>
  <r>
    <d v="2017-05-12T00:00:00"/>
    <x v="3"/>
    <x v="10"/>
    <x v="303"/>
    <x v="5"/>
    <x v="2"/>
    <x v="10"/>
    <s v="Hoover Commercial Soft Guard Upright Vacuum And Disposable Filtration Bags"/>
    <n v="7.77"/>
    <n v="1"/>
    <n v="2.1"/>
  </r>
  <r>
    <d v="2017-05-12T00:00:00"/>
    <x v="3"/>
    <x v="10"/>
    <x v="303"/>
    <x v="5"/>
    <x v="1"/>
    <x v="7"/>
    <s v="Lesro Sheffield Collection Coffee Table, End Table, Center Table, Corner Table"/>
    <n v="285.48"/>
    <n v="5"/>
    <n v="-10.71"/>
  </r>
  <r>
    <d v="2017-05-12T00:00:00"/>
    <x v="3"/>
    <x v="10"/>
    <x v="303"/>
    <x v="5"/>
    <x v="2"/>
    <x v="9"/>
    <s v="DXL Angle-View Binders with Locking Rings, Black"/>
    <n v="19.170000000000002"/>
    <n v="4"/>
    <n v="6.47"/>
  </r>
  <r>
    <d v="2017-05-12T00:00:00"/>
    <x v="3"/>
    <x v="10"/>
    <x v="508"/>
    <x v="18"/>
    <x v="2"/>
    <x v="8"/>
    <s v="Avery 501"/>
    <n v="5.9"/>
    <n v="2"/>
    <n v="1.99"/>
  </r>
  <r>
    <d v="2017-05-12T00:00:00"/>
    <x v="3"/>
    <x v="10"/>
    <x v="499"/>
    <x v="8"/>
    <x v="1"/>
    <x v="5"/>
    <s v="DAX Cubicle Frames, 8-1/2 x 11"/>
    <n v="42.85"/>
    <n v="5"/>
    <n v="15.43"/>
  </r>
  <r>
    <d v="2017-05-12T00:00:00"/>
    <x v="3"/>
    <x v="10"/>
    <x v="499"/>
    <x v="8"/>
    <x v="2"/>
    <x v="8"/>
    <s v="Smead Alpha-Z Color-Coded Second Alphabetical Labels and Starter Set"/>
    <n v="6.16"/>
    <n v="2"/>
    <n v="2.96"/>
  </r>
  <r>
    <d v="2017-05-12T00:00:00"/>
    <x v="3"/>
    <x v="10"/>
    <x v="499"/>
    <x v="8"/>
    <x v="2"/>
    <x v="15"/>
    <s v="Acme Titanium Bonded Scissors"/>
    <n v="17"/>
    <n v="2"/>
    <n v="4.42"/>
  </r>
  <r>
    <d v="2017-05-12T00:00:00"/>
    <x v="3"/>
    <x v="10"/>
    <x v="499"/>
    <x v="8"/>
    <x v="0"/>
    <x v="0"/>
    <s v="Maxell Pro 80 Minute CD-R, 10/Pack"/>
    <n v="87.4"/>
    <n v="5"/>
    <n v="34.96"/>
  </r>
  <r>
    <d v="2017-06-12T00:00:00"/>
    <x v="3"/>
    <x v="3"/>
    <x v="157"/>
    <x v="19"/>
    <x v="2"/>
    <x v="9"/>
    <s v="Ibico Plastic Spiral Binding Combs"/>
    <n v="91.2"/>
    <n v="3"/>
    <n v="41.95"/>
  </r>
  <r>
    <d v="2017-06-12T00:00:00"/>
    <x v="3"/>
    <x v="3"/>
    <x v="157"/>
    <x v="19"/>
    <x v="1"/>
    <x v="7"/>
    <s v="Iceberg OfficeWorks 42&quot; Round Tables"/>
    <n v="452.94"/>
    <n v="3"/>
    <n v="67.94"/>
  </r>
  <r>
    <d v="2017-06-12T00:00:00"/>
    <x v="3"/>
    <x v="3"/>
    <x v="168"/>
    <x v="2"/>
    <x v="2"/>
    <x v="3"/>
    <s v="TOPS Voice Message Log Book, Flash Format"/>
    <n v="19.04"/>
    <n v="4"/>
    <n v="9.33"/>
  </r>
  <r>
    <d v="2017-06-12T00:00:00"/>
    <x v="3"/>
    <x v="3"/>
    <x v="168"/>
    <x v="2"/>
    <x v="2"/>
    <x v="9"/>
    <s v="Angle-D Ring Binders"/>
    <n v="13.13"/>
    <n v="3"/>
    <n v="4.2699999999999996"/>
  </r>
  <r>
    <d v="2017-06-12T00:00:00"/>
    <x v="3"/>
    <x v="3"/>
    <x v="168"/>
    <x v="2"/>
    <x v="2"/>
    <x v="11"/>
    <s v="Boston 1730 StandUp Electric Pencil Sharpener"/>
    <n v="64.14"/>
    <n v="3"/>
    <n v="16.68"/>
  </r>
  <r>
    <d v="2017-06-12T00:00:00"/>
    <x v="3"/>
    <x v="3"/>
    <x v="168"/>
    <x v="2"/>
    <x v="1"/>
    <x v="1"/>
    <s v="Safco Contoured Stacking Chairs"/>
    <n v="858.24"/>
    <n v="4"/>
    <n v="143.04"/>
  </r>
  <r>
    <d v="2017-06-12T00:00:00"/>
    <x v="3"/>
    <x v="3"/>
    <x v="497"/>
    <x v="11"/>
    <x v="1"/>
    <x v="5"/>
    <s v="Dana Swing-Arm Lamps"/>
    <n v="17.09"/>
    <n v="2"/>
    <n v="1.07"/>
  </r>
  <r>
    <d v="2017-06-12T00:00:00"/>
    <x v="3"/>
    <x v="3"/>
    <x v="526"/>
    <x v="18"/>
    <x v="0"/>
    <x v="0"/>
    <s v="Microsoft Sculpt Comfort Mouse"/>
    <n v="63.92"/>
    <n v="2"/>
    <n v="19.18"/>
  </r>
  <r>
    <d v="2017-06-12T00:00:00"/>
    <x v="3"/>
    <x v="3"/>
    <x v="732"/>
    <x v="1"/>
    <x v="0"/>
    <x v="2"/>
    <s v="OtterBox Defender Series Case - Samsung Galaxy S4"/>
    <n v="71.98"/>
    <n v="3"/>
    <n v="9"/>
  </r>
  <r>
    <d v="2017-06-12T00:00:00"/>
    <x v="3"/>
    <x v="3"/>
    <x v="732"/>
    <x v="1"/>
    <x v="2"/>
    <x v="3"/>
    <s v="Xerox 203"/>
    <n v="19.440000000000001"/>
    <n v="3"/>
    <n v="9.33"/>
  </r>
  <r>
    <d v="2017-06-12T00:00:00"/>
    <x v="3"/>
    <x v="3"/>
    <x v="618"/>
    <x v="3"/>
    <x v="1"/>
    <x v="5"/>
    <s v="Eldon Expressions Wood Desk Accessories, Oak"/>
    <n v="8.86"/>
    <n v="3"/>
    <n v="-6.86"/>
  </r>
  <r>
    <d v="2017-07-12T00:00:00"/>
    <x v="3"/>
    <x v="4"/>
    <x v="44"/>
    <x v="18"/>
    <x v="2"/>
    <x v="3"/>
    <s v="Wirebound Message Books, Four 2 3/4 x 5 Forms per Page, 200 Sets per Book"/>
    <n v="3.82"/>
    <n v="1"/>
    <n v="1.19"/>
  </r>
  <r>
    <d v="2017-08-12T00:00:00"/>
    <x v="3"/>
    <x v="5"/>
    <x v="733"/>
    <x v="11"/>
    <x v="2"/>
    <x v="3"/>
    <s v="Xerox 2000"/>
    <n v="20.74"/>
    <n v="4"/>
    <n v="7.26"/>
  </r>
  <r>
    <d v="2017-08-12T00:00:00"/>
    <x v="3"/>
    <x v="5"/>
    <x v="49"/>
    <x v="5"/>
    <x v="2"/>
    <x v="10"/>
    <s v="Avanti 4.4 Cu. Ft. Refrigerator"/>
    <n v="542.94000000000005"/>
    <n v="3"/>
    <n v="152.02000000000001"/>
  </r>
  <r>
    <d v="2017-08-12T00:00:00"/>
    <x v="3"/>
    <x v="5"/>
    <x v="49"/>
    <x v="5"/>
    <x v="1"/>
    <x v="5"/>
    <s v="DAX Wood Document Frame"/>
    <n v="54.92"/>
    <n v="4"/>
    <n v="19.77"/>
  </r>
  <r>
    <d v="2017-08-12T00:00:00"/>
    <x v="3"/>
    <x v="5"/>
    <x v="401"/>
    <x v="24"/>
    <x v="2"/>
    <x v="11"/>
    <s v="Newell 312"/>
    <n v="17.52"/>
    <n v="3"/>
    <n v="5.26"/>
  </r>
  <r>
    <d v="2017-08-12T00:00:00"/>
    <x v="3"/>
    <x v="5"/>
    <x v="401"/>
    <x v="24"/>
    <x v="1"/>
    <x v="1"/>
    <s v="Hon 4700 Series Mobuis Mid-Back Task Chairs with Adjustable Arms"/>
    <n v="1779.9"/>
    <n v="5"/>
    <n v="373.78"/>
  </r>
  <r>
    <d v="2017-08-12T00:00:00"/>
    <x v="3"/>
    <x v="5"/>
    <x v="401"/>
    <x v="24"/>
    <x v="2"/>
    <x v="11"/>
    <s v="Boston 1645 Deluxe Heavier-Duty Electric Pencil Sharpener"/>
    <n v="219.9"/>
    <n v="5"/>
    <n v="59.37"/>
  </r>
  <r>
    <d v="2017-08-12T00:00:00"/>
    <x v="3"/>
    <x v="5"/>
    <x v="446"/>
    <x v="1"/>
    <x v="0"/>
    <x v="12"/>
    <s v="Hewlett Packard 310 Color Digital Copier"/>
    <n v="299.99"/>
    <n v="1"/>
    <n v="90"/>
  </r>
  <r>
    <d v="2017-08-12T00:00:00"/>
    <x v="3"/>
    <x v="5"/>
    <x v="446"/>
    <x v="1"/>
    <x v="2"/>
    <x v="3"/>
    <s v="Xerox 1937"/>
    <n v="192.16"/>
    <n v="4"/>
    <n v="92.24"/>
  </r>
  <r>
    <d v="2017-08-12T00:00:00"/>
    <x v="3"/>
    <x v="5"/>
    <x v="446"/>
    <x v="1"/>
    <x v="0"/>
    <x v="2"/>
    <s v="Grandstream GXP1160 VoIP phone"/>
    <n v="242.62"/>
    <n v="8"/>
    <n v="27.3"/>
  </r>
  <r>
    <d v="2017-08-12T00:00:00"/>
    <x v="3"/>
    <x v="5"/>
    <x v="446"/>
    <x v="1"/>
    <x v="2"/>
    <x v="6"/>
    <s v="Personal File Boxes with Fold-Down Carry Handle"/>
    <n v="46.74"/>
    <n v="3"/>
    <n v="11.69"/>
  </r>
  <r>
    <d v="2017-08-12T00:00:00"/>
    <x v="3"/>
    <x v="5"/>
    <x v="446"/>
    <x v="1"/>
    <x v="0"/>
    <x v="0"/>
    <s v="Perixx PERIBOARD-512B, Ergonomic Split Keyboard"/>
    <n v="174.95"/>
    <n v="5"/>
    <n v="12.25"/>
  </r>
  <r>
    <d v="2017-08-12T00:00:00"/>
    <x v="3"/>
    <x v="5"/>
    <x v="446"/>
    <x v="1"/>
    <x v="2"/>
    <x v="9"/>
    <s v="Avery Legal 4-Ring Binder"/>
    <n v="100.7"/>
    <n v="6"/>
    <n v="37.76"/>
  </r>
  <r>
    <d v="2017-09-12T00:00:00"/>
    <x v="3"/>
    <x v="6"/>
    <x v="734"/>
    <x v="5"/>
    <x v="1"/>
    <x v="5"/>
    <s v="Eldon Image Series Desk Accessories, Burgundy"/>
    <n v="8.36"/>
    <n v="2"/>
    <n v="3.01"/>
  </r>
  <r>
    <d v="2017-09-12T00:00:00"/>
    <x v="3"/>
    <x v="6"/>
    <x v="701"/>
    <x v="24"/>
    <x v="2"/>
    <x v="3"/>
    <s v="Adams Telephone Message Book w/Frequently-Called Numbers Space, 400 Messages per Book"/>
    <n v="39.9"/>
    <n v="5"/>
    <n v="19.95"/>
  </r>
  <r>
    <d v="2017-09-12T00:00:00"/>
    <x v="3"/>
    <x v="6"/>
    <x v="701"/>
    <x v="24"/>
    <x v="2"/>
    <x v="10"/>
    <s v="Fellowes Basic Home/Office Series Surge Protectors"/>
    <n v="90.86"/>
    <n v="7"/>
    <n v="26.35"/>
  </r>
  <r>
    <d v="2017-09-12T00:00:00"/>
    <x v="3"/>
    <x v="6"/>
    <x v="701"/>
    <x v="24"/>
    <x v="2"/>
    <x v="3"/>
    <s v="Xerox 1939"/>
    <n v="94.85"/>
    <n v="5"/>
    <n v="45.53"/>
  </r>
  <r>
    <d v="2017-09-12T00:00:00"/>
    <x v="3"/>
    <x v="6"/>
    <x v="685"/>
    <x v="40"/>
    <x v="2"/>
    <x v="3"/>
    <s v="Xerox 209"/>
    <n v="45.36"/>
    <n v="7"/>
    <n v="21.77"/>
  </r>
  <r>
    <d v="2017-09-12T00:00:00"/>
    <x v="3"/>
    <x v="6"/>
    <x v="685"/>
    <x v="40"/>
    <x v="2"/>
    <x v="9"/>
    <s v="Aluminum Screw Posts"/>
    <n v="45.78"/>
    <n v="3"/>
    <n v="22.89"/>
  </r>
  <r>
    <d v="2017-09-12T00:00:00"/>
    <x v="3"/>
    <x v="6"/>
    <x v="529"/>
    <x v="5"/>
    <x v="2"/>
    <x v="3"/>
    <s v="Eaton Premium Continuous-Feed Paper, 25% Cotton, Letter Size, White, 1000 Shts/Box"/>
    <n v="166.44"/>
    <n v="3"/>
    <n v="79.89"/>
  </r>
  <r>
    <d v="2017-10-12T00:00:00"/>
    <x v="3"/>
    <x v="7"/>
    <x v="166"/>
    <x v="3"/>
    <x v="1"/>
    <x v="1"/>
    <s v="Global Stack Chair without Arms, Black"/>
    <n v="254.6"/>
    <n v="14"/>
    <n v="-18.190000000000001"/>
  </r>
  <r>
    <d v="2017-10-12T00:00:00"/>
    <x v="3"/>
    <x v="7"/>
    <x v="719"/>
    <x v="12"/>
    <x v="2"/>
    <x v="3"/>
    <s v="Xerox 1989"/>
    <n v="7.97"/>
    <n v="2"/>
    <n v="2.69"/>
  </r>
  <r>
    <d v="2017-10-12T00:00:00"/>
    <x v="3"/>
    <x v="7"/>
    <x v="692"/>
    <x v="35"/>
    <x v="0"/>
    <x v="0"/>
    <s v="WD My Passport Ultra 2TB Portable External Hard Drive"/>
    <n v="595"/>
    <n v="5"/>
    <n v="95.2"/>
  </r>
  <r>
    <d v="2017-10-12T00:00:00"/>
    <x v="3"/>
    <x v="7"/>
    <x v="692"/>
    <x v="35"/>
    <x v="2"/>
    <x v="9"/>
    <s v="GBC Twin Loop Wire Binding Elements"/>
    <n v="79.87"/>
    <n v="3"/>
    <n v="29.95"/>
  </r>
  <r>
    <d v="2017-10-12T00:00:00"/>
    <x v="3"/>
    <x v="7"/>
    <x v="735"/>
    <x v="5"/>
    <x v="0"/>
    <x v="0"/>
    <s v="Maxell 4.7GB DVD-R 5/Pack"/>
    <n v="0.99"/>
    <n v="1"/>
    <n v="0.44"/>
  </r>
  <r>
    <d v="2017-10-12T00:00:00"/>
    <x v="3"/>
    <x v="7"/>
    <x v="735"/>
    <x v="5"/>
    <x v="2"/>
    <x v="9"/>
    <s v="Canvas Sectional Post Binders"/>
    <n v="101.84"/>
    <n v="5"/>
    <n v="36.92"/>
  </r>
  <r>
    <d v="2017-10-12T00:00:00"/>
    <x v="3"/>
    <x v="7"/>
    <x v="727"/>
    <x v="5"/>
    <x v="0"/>
    <x v="0"/>
    <s v="SanDisk Cruzer 64 GB USB Flash Drive"/>
    <n v="435.84"/>
    <n v="12"/>
    <n v="130.75"/>
  </r>
  <r>
    <d v="2017-10-12T00:00:00"/>
    <x v="3"/>
    <x v="7"/>
    <x v="727"/>
    <x v="5"/>
    <x v="2"/>
    <x v="11"/>
    <s v="Newell 343"/>
    <n v="5.88"/>
    <n v="2"/>
    <n v="1.59"/>
  </r>
  <r>
    <d v="2017-10-12T00:00:00"/>
    <x v="3"/>
    <x v="7"/>
    <x v="406"/>
    <x v="4"/>
    <x v="0"/>
    <x v="0"/>
    <s v="Logitech Wireless Touch Keyboard K400"/>
    <n v="39.979999999999997"/>
    <n v="2"/>
    <n v="-1.5"/>
  </r>
  <r>
    <d v="2017-10-12T00:00:00"/>
    <x v="3"/>
    <x v="7"/>
    <x v="670"/>
    <x v="8"/>
    <x v="0"/>
    <x v="0"/>
    <s v="ImationÂ 8gb Micro Traveldrive Usb 2.0Â Flash Drive"/>
    <n v="45"/>
    <n v="3"/>
    <n v="4.95"/>
  </r>
  <r>
    <d v="2017-10-12T00:00:00"/>
    <x v="3"/>
    <x v="7"/>
    <x v="670"/>
    <x v="8"/>
    <x v="2"/>
    <x v="4"/>
    <s v="OIC Colored Binder Clips, Assorted Sizes"/>
    <n v="17.899999999999999"/>
    <n v="5"/>
    <n v="8.77"/>
  </r>
  <r>
    <d v="2017-10-12T00:00:00"/>
    <x v="3"/>
    <x v="7"/>
    <x v="670"/>
    <x v="8"/>
    <x v="1"/>
    <x v="5"/>
    <s v="DAX Two-Tone Silver Metal Document Frame"/>
    <n v="40.479999999999997"/>
    <n v="2"/>
    <n v="17.41"/>
  </r>
  <r>
    <d v="2017-10-12T00:00:00"/>
    <x v="3"/>
    <x v="7"/>
    <x v="670"/>
    <x v="8"/>
    <x v="1"/>
    <x v="16"/>
    <s v="Global Adaptabilites Bookcase, Cherry/Storm Gray Finish"/>
    <n v="2154.9"/>
    <n v="5"/>
    <n v="129.29"/>
  </r>
  <r>
    <d v="2017-10-12T00:00:00"/>
    <x v="3"/>
    <x v="7"/>
    <x v="242"/>
    <x v="4"/>
    <x v="0"/>
    <x v="2"/>
    <s v="Clarity 53712"/>
    <n v="369.54"/>
    <n v="7"/>
    <n v="27.72"/>
  </r>
  <r>
    <d v="2017-10-12T00:00:00"/>
    <x v="3"/>
    <x v="7"/>
    <x v="242"/>
    <x v="4"/>
    <x v="2"/>
    <x v="3"/>
    <s v="Xerox 1993"/>
    <n v="10.37"/>
    <n v="2"/>
    <n v="3.76"/>
  </r>
  <r>
    <d v="2017-10-12T00:00:00"/>
    <x v="3"/>
    <x v="7"/>
    <x v="242"/>
    <x v="4"/>
    <x v="0"/>
    <x v="0"/>
    <s v="Plantronics CS510 - Over-the-Head monaural Wireless Headset System"/>
    <n v="791.88"/>
    <n v="3"/>
    <n v="128.68"/>
  </r>
  <r>
    <d v="2017-10-12T00:00:00"/>
    <x v="3"/>
    <x v="7"/>
    <x v="266"/>
    <x v="47"/>
    <x v="1"/>
    <x v="7"/>
    <s v="Chromcraft 48&quot; x 96&quot; Racetrack Double Pedestal Table"/>
    <n v="673.34"/>
    <n v="3"/>
    <n v="-76.95"/>
  </r>
  <r>
    <d v="2017-10-12T00:00:00"/>
    <x v="3"/>
    <x v="7"/>
    <x v="593"/>
    <x v="2"/>
    <x v="2"/>
    <x v="3"/>
    <s v="Xerox 1952"/>
    <n v="9.9600000000000009"/>
    <n v="2"/>
    <n v="4.68"/>
  </r>
  <r>
    <d v="2017-11-12T00:00:00"/>
    <x v="3"/>
    <x v="8"/>
    <x v="322"/>
    <x v="5"/>
    <x v="2"/>
    <x v="3"/>
    <s v="Xerox 4200 Series MultiUse Premium Copy Paper (20Lb. and 84 Bright)"/>
    <n v="10.56"/>
    <n v="2"/>
    <n v="4.75"/>
  </r>
  <r>
    <d v="2017-11-12T00:00:00"/>
    <x v="3"/>
    <x v="8"/>
    <x v="211"/>
    <x v="2"/>
    <x v="2"/>
    <x v="9"/>
    <s v="Avery Durable Slant Ring Binders, No Labels"/>
    <n v="15.92"/>
    <n v="5"/>
    <n v="5.37"/>
  </r>
  <r>
    <d v="2017-11-12T00:00:00"/>
    <x v="3"/>
    <x v="8"/>
    <x v="97"/>
    <x v="4"/>
    <x v="2"/>
    <x v="3"/>
    <s v="Wirebound Message Books, 5-1/2 x 4 Forms, 2 or 4 Forms per Page"/>
    <n v="16.059999999999999"/>
    <n v="3"/>
    <n v="5.82"/>
  </r>
  <r>
    <d v="2017-11-12T00:00:00"/>
    <x v="3"/>
    <x v="8"/>
    <x v="97"/>
    <x v="4"/>
    <x v="2"/>
    <x v="3"/>
    <s v="Xerox 197"/>
    <n v="223.06"/>
    <n v="9"/>
    <n v="69.709999999999994"/>
  </r>
  <r>
    <d v="2017-11-12T00:00:00"/>
    <x v="3"/>
    <x v="8"/>
    <x v="97"/>
    <x v="4"/>
    <x v="2"/>
    <x v="6"/>
    <s v="Tennsco Double-Tier Lockers"/>
    <n v="540.04999999999995"/>
    <n v="3"/>
    <n v="-47.25"/>
  </r>
  <r>
    <d v="2017-11-12T00:00:00"/>
    <x v="3"/>
    <x v="8"/>
    <x v="736"/>
    <x v="18"/>
    <x v="0"/>
    <x v="2"/>
    <s v="Jabra SPEAK 410 Multidevice Speakerphone"/>
    <n v="370.78"/>
    <n v="3"/>
    <n v="-92.7"/>
  </r>
  <r>
    <d v="2017-11-12T00:00:00"/>
    <x v="3"/>
    <x v="8"/>
    <x v="429"/>
    <x v="23"/>
    <x v="0"/>
    <x v="0"/>
    <s v="Memorex Micro Travel Drive 8 GB"/>
    <n v="41.6"/>
    <n v="4"/>
    <n v="13"/>
  </r>
  <r>
    <d v="2017-11-12T00:00:00"/>
    <x v="3"/>
    <x v="8"/>
    <x v="429"/>
    <x v="23"/>
    <x v="2"/>
    <x v="3"/>
    <s v="Xerox 1978"/>
    <n v="23.12"/>
    <n v="5"/>
    <n v="8.3800000000000008"/>
  </r>
  <r>
    <d v="2017-11-12T00:00:00"/>
    <x v="3"/>
    <x v="8"/>
    <x v="429"/>
    <x v="23"/>
    <x v="1"/>
    <x v="1"/>
    <s v="Harbour Creations 67200 Series Stacking Chairs"/>
    <n v="113.89"/>
    <n v="2"/>
    <n v="9.9700000000000006"/>
  </r>
  <r>
    <d v="2017-11-12T00:00:00"/>
    <x v="3"/>
    <x v="8"/>
    <x v="429"/>
    <x v="23"/>
    <x v="1"/>
    <x v="5"/>
    <s v="Tenex V2T-RE Standard Weight Series Chair Mat, 45&quot; x 53&quot;, Lip 25&quot; x 12&quot;"/>
    <n v="113.57"/>
    <n v="2"/>
    <n v="-5.68"/>
  </r>
  <r>
    <d v="2017-11-12T00:00:00"/>
    <x v="3"/>
    <x v="8"/>
    <x v="429"/>
    <x v="23"/>
    <x v="0"/>
    <x v="2"/>
    <s v="Cush Cases Heavy Duty Rugged Cover Case for Samsung Galaxy S5 - Purple"/>
    <n v="7.92"/>
    <n v="2"/>
    <n v="0.69"/>
  </r>
  <r>
    <d v="2017-11-12T00:00:00"/>
    <x v="3"/>
    <x v="8"/>
    <x v="429"/>
    <x v="23"/>
    <x v="0"/>
    <x v="2"/>
    <s v="Samsung Galaxy Mega 6.3"/>
    <n v="671.98"/>
    <n v="2"/>
    <n v="50.4"/>
  </r>
  <r>
    <d v="2017-11-12T00:00:00"/>
    <x v="3"/>
    <x v="8"/>
    <x v="589"/>
    <x v="4"/>
    <x v="2"/>
    <x v="9"/>
    <s v="Surelock Post Binders"/>
    <n v="30.56"/>
    <n v="5"/>
    <n v="-45.84"/>
  </r>
  <r>
    <d v="2017-11-12T00:00:00"/>
    <x v="3"/>
    <x v="8"/>
    <x v="589"/>
    <x v="4"/>
    <x v="2"/>
    <x v="6"/>
    <s v="Fellowes Neat Ideas Storage Cubes"/>
    <n v="77.95"/>
    <n v="3"/>
    <n v="-15.59"/>
  </r>
  <r>
    <d v="2017-11-12T00:00:00"/>
    <x v="3"/>
    <x v="8"/>
    <x v="589"/>
    <x v="4"/>
    <x v="0"/>
    <x v="2"/>
    <s v="Panasonic KX TS3282W Corded phone"/>
    <n v="67.989999999999995"/>
    <n v="1"/>
    <n v="8.5"/>
  </r>
  <r>
    <d v="2017-11-12T00:00:00"/>
    <x v="3"/>
    <x v="8"/>
    <x v="589"/>
    <x v="4"/>
    <x v="2"/>
    <x v="13"/>
    <s v="#10- 4 1/8&quot; x 9 1/2&quot; Security-Tint Envelopes"/>
    <n v="12.22"/>
    <n v="2"/>
    <n v="4.43"/>
  </r>
  <r>
    <d v="2017-11-12T00:00:00"/>
    <x v="3"/>
    <x v="8"/>
    <x v="589"/>
    <x v="4"/>
    <x v="0"/>
    <x v="0"/>
    <s v="MaxellÂ LTO Ultrium - 800 GB"/>
    <n v="44.78"/>
    <n v="2"/>
    <n v="-0.56000000000000005"/>
  </r>
  <r>
    <d v="2017-11-12T00:00:00"/>
    <x v="3"/>
    <x v="8"/>
    <x v="589"/>
    <x v="4"/>
    <x v="1"/>
    <x v="5"/>
    <s v="Eldon Expressions Desk Accessory, Wood Photo Frame, Mahogany"/>
    <n v="22.85"/>
    <n v="3"/>
    <n v="-17.71"/>
  </r>
  <r>
    <d v="2017-11-12T00:00:00"/>
    <x v="3"/>
    <x v="8"/>
    <x v="360"/>
    <x v="18"/>
    <x v="2"/>
    <x v="3"/>
    <s v="Strathmore Photo Mount Cards"/>
    <n v="10.85"/>
    <n v="2"/>
    <n v="3.53"/>
  </r>
  <r>
    <d v="2017-11-12T00:00:00"/>
    <x v="3"/>
    <x v="8"/>
    <x v="360"/>
    <x v="18"/>
    <x v="0"/>
    <x v="0"/>
    <s v="Verbatim 25 GB 6x Blu-ray Single Layer Recordable Disc, 10/Pack"/>
    <n v="18.54"/>
    <n v="2"/>
    <n v="3.01"/>
  </r>
  <r>
    <d v="2017-11-12T00:00:00"/>
    <x v="3"/>
    <x v="8"/>
    <x v="384"/>
    <x v="1"/>
    <x v="2"/>
    <x v="8"/>
    <s v="Avery 483"/>
    <n v="9.9600000000000009"/>
    <n v="2"/>
    <n v="4.58"/>
  </r>
  <r>
    <d v="2017-11-12T00:00:00"/>
    <x v="3"/>
    <x v="8"/>
    <x v="384"/>
    <x v="1"/>
    <x v="2"/>
    <x v="11"/>
    <s v="Dixon Ticonderoga Maple Cedar Pencil, #2"/>
    <n v="9.2100000000000009"/>
    <n v="3"/>
    <n v="2.2999999999999998"/>
  </r>
  <r>
    <d v="2017-11-12T00:00:00"/>
    <x v="3"/>
    <x v="8"/>
    <x v="384"/>
    <x v="1"/>
    <x v="2"/>
    <x v="15"/>
    <s v="Acme Forged Steel Scissors with Black Enamel Handles"/>
    <n v="27.93"/>
    <n v="3"/>
    <n v="8.1"/>
  </r>
  <r>
    <d v="2017-11-12T00:00:00"/>
    <x v="3"/>
    <x v="8"/>
    <x v="491"/>
    <x v="5"/>
    <x v="2"/>
    <x v="9"/>
    <s v="Acco 3-Hole Punch"/>
    <n v="14.02"/>
    <n v="4"/>
    <n v="4.91"/>
  </r>
  <r>
    <d v="2017-11-12T00:00:00"/>
    <x v="3"/>
    <x v="8"/>
    <x v="213"/>
    <x v="1"/>
    <x v="2"/>
    <x v="4"/>
    <s v="Staples"/>
    <n v="18.239999999999998"/>
    <n v="3"/>
    <n v="9.1199999999999992"/>
  </r>
  <r>
    <d v="2017-11-12T00:00:00"/>
    <x v="3"/>
    <x v="8"/>
    <x v="213"/>
    <x v="1"/>
    <x v="2"/>
    <x v="10"/>
    <s v="Fellowes Superior 10 Outlet Split Surge Protector"/>
    <n v="76.12"/>
    <n v="2"/>
    <n v="22.07"/>
  </r>
  <r>
    <d v="2017-11-12T00:00:00"/>
    <x v="3"/>
    <x v="8"/>
    <x v="737"/>
    <x v="11"/>
    <x v="2"/>
    <x v="3"/>
    <s v="Xerox 1968"/>
    <n v="26.72"/>
    <n v="5"/>
    <n v="9.35"/>
  </r>
  <r>
    <d v="2017-11-12T00:00:00"/>
    <x v="3"/>
    <x v="8"/>
    <x v="685"/>
    <x v="23"/>
    <x v="0"/>
    <x v="0"/>
    <s v="SanDisk Ultra 16 GB MicroSDHC Class 10 Memory Card"/>
    <n v="62.35"/>
    <n v="6"/>
    <n v="-10.91"/>
  </r>
  <r>
    <d v="2017-11-12T00:00:00"/>
    <x v="3"/>
    <x v="8"/>
    <x v="170"/>
    <x v="5"/>
    <x v="2"/>
    <x v="3"/>
    <s v="Xerox 1899"/>
    <n v="11.56"/>
    <n v="2"/>
    <n v="5.66"/>
  </r>
  <r>
    <d v="2017-11-12T00:00:00"/>
    <x v="3"/>
    <x v="8"/>
    <x v="194"/>
    <x v="13"/>
    <x v="2"/>
    <x v="6"/>
    <s v="SAFCO Commercial Wire Shelving, Black"/>
    <n v="221.02"/>
    <n v="2"/>
    <n v="-55.2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x v="0"/>
    <s v="Bradley Drucker"/>
  </r>
  <r>
    <x v="0"/>
    <s v="Dave Brooks"/>
  </r>
  <r>
    <x v="0"/>
    <s v="Hallie Redmond"/>
  </r>
  <r>
    <x v="0"/>
    <s v="Vicky Freymann"/>
  </r>
  <r>
    <x v="0"/>
    <s v="Shahid Collister"/>
  </r>
  <r>
    <x v="0"/>
    <s v="Giulietta Weimer"/>
  </r>
  <r>
    <x v="0"/>
    <s v="Kunst Miller"/>
  </r>
  <r>
    <x v="0"/>
    <s v="Katharine Harms"/>
  </r>
  <r>
    <x v="0"/>
    <s v="Dianna Wilson"/>
  </r>
  <r>
    <x v="0"/>
    <s v="Corey Roper"/>
  </r>
  <r>
    <x v="0"/>
    <s v="Liz Thompson"/>
  </r>
  <r>
    <x v="0"/>
    <s v="Quincy Jones"/>
  </r>
  <r>
    <x v="0"/>
    <s v="Dorris liebe"/>
  </r>
  <r>
    <x v="0"/>
    <s v="Laurel Workman"/>
  </r>
  <r>
    <x v="0"/>
    <s v="Barbara Fisher"/>
  </r>
  <r>
    <x v="0"/>
    <s v="Ivan Liston"/>
  </r>
  <r>
    <x v="0"/>
    <s v="Ann Steele"/>
  </r>
  <r>
    <x v="0"/>
    <s v="Larry Tron"/>
  </r>
  <r>
    <x v="0"/>
    <s v="Jack Lebron"/>
  </r>
  <r>
    <x v="0"/>
    <s v="Lena Hernandez"/>
  </r>
  <r>
    <x v="0"/>
    <s v="Neil FranzÃ¶sisch"/>
  </r>
  <r>
    <x v="0"/>
    <s v="Russell Applegate"/>
  </r>
  <r>
    <x v="0"/>
    <s v="Natalie DeCherney"/>
  </r>
  <r>
    <x v="0"/>
    <s v="Ken Heidel"/>
  </r>
  <r>
    <x v="0"/>
    <s v="Suzanne McNair"/>
  </r>
  <r>
    <x v="0"/>
    <s v="Jack O'Briant"/>
  </r>
  <r>
    <x v="0"/>
    <s v="Paul Lucas"/>
  </r>
  <r>
    <x v="0"/>
    <s v="Daniel Lacy"/>
  </r>
  <r>
    <x v="0"/>
    <s v="Deirdre Greer"/>
  </r>
  <r>
    <x v="0"/>
    <s v="Erin Ashbrook"/>
  </r>
  <r>
    <x v="0"/>
    <s v="Resi PÃ¶lking"/>
  </r>
  <r>
    <x v="0"/>
    <s v="Toby Ritter"/>
  </r>
  <r>
    <x v="0"/>
    <s v="Toby Braunhardt"/>
  </r>
  <r>
    <x v="0"/>
    <s v="Joe Kamberova"/>
  </r>
  <r>
    <x v="0"/>
    <s v="Matt Connell"/>
  </r>
  <r>
    <x v="0"/>
    <s v="Anna Andreadi"/>
  </r>
  <r>
    <x v="0"/>
    <s v="Cynthia Delaney"/>
  </r>
  <r>
    <x v="0"/>
    <s v="Eric Barreto"/>
  </r>
  <r>
    <x v="0"/>
    <s v="Kristina Nunn"/>
  </r>
  <r>
    <x v="0"/>
    <s v="Nicole Hansen"/>
  </r>
  <r>
    <x v="0"/>
    <s v="Rob Dowd"/>
  </r>
  <r>
    <x v="0"/>
    <s v="Sam Craven"/>
  </r>
  <r>
    <x v="0"/>
    <s v="Anna HÃ¤berlin"/>
  </r>
  <r>
    <x v="0"/>
    <s v="Andrew Roberts"/>
  </r>
  <r>
    <x v="0"/>
    <s v="Cari Schnelling"/>
  </r>
  <r>
    <x v="0"/>
    <s v="Christine Kargatis"/>
  </r>
  <r>
    <x v="0"/>
    <s v="Stewart Visinsky"/>
  </r>
  <r>
    <x v="0"/>
    <s v="Eric Hoffmann"/>
  </r>
  <r>
    <x v="0"/>
    <s v="Nick Zandusky"/>
  </r>
  <r>
    <x v="0"/>
    <s v="Justin MacKendrick"/>
  </r>
  <r>
    <x v="0"/>
    <s v="Clay Ludtke"/>
  </r>
  <r>
    <x v="0"/>
    <s v="Katherine Ducich"/>
  </r>
  <r>
    <x v="0"/>
    <s v="Christina VanderZanden"/>
  </r>
  <r>
    <x v="0"/>
    <s v="Andy Gerbode"/>
  </r>
  <r>
    <x v="0"/>
    <s v="Sanjit Chand"/>
  </r>
  <r>
    <x v="0"/>
    <s v="Bryan Mills"/>
  </r>
  <r>
    <x v="0"/>
    <s v="Erin Smith"/>
  </r>
  <r>
    <x v="0"/>
    <s v="Roger Demir"/>
  </r>
  <r>
    <x v="0"/>
    <s v="Patrick O'Brill"/>
  </r>
  <r>
    <x v="0"/>
    <s v="Liz Carlisle"/>
  </r>
  <r>
    <x v="0"/>
    <s v="Julie Kriz"/>
  </r>
  <r>
    <x v="0"/>
    <s v="Shahid Hopkins"/>
  </r>
  <r>
    <x v="0"/>
    <s v="Steven Ward"/>
  </r>
  <r>
    <x v="0"/>
    <s v="David Philippe"/>
  </r>
  <r>
    <x v="0"/>
    <s v="Michael Dominguez"/>
  </r>
  <r>
    <x v="0"/>
    <s v="Katherine Nockton"/>
  </r>
  <r>
    <x v="0"/>
    <s v="Matt Collins"/>
  </r>
  <r>
    <x v="0"/>
    <s v="Odella Nelson"/>
  </r>
  <r>
    <x v="0"/>
    <s v="Elizabeth Moffitt"/>
  </r>
  <r>
    <x v="0"/>
    <s v="Darren Powers"/>
  </r>
  <r>
    <x v="0"/>
    <s v="Tom Boeckenhauer"/>
  </r>
  <r>
    <x v="0"/>
    <s v="Ashley Jarboe"/>
  </r>
  <r>
    <x v="0"/>
    <s v="Anne Pryor"/>
  </r>
  <r>
    <x v="0"/>
    <s v="Jill Stevenson"/>
  </r>
  <r>
    <x v="0"/>
    <s v="Eva Jacobs"/>
  </r>
  <r>
    <x v="0"/>
    <s v="Katrina Edelman"/>
  </r>
  <r>
    <x v="0"/>
    <s v="Joni Sundaresam"/>
  </r>
  <r>
    <x v="0"/>
    <s v="Nathan Cano"/>
  </r>
  <r>
    <x v="0"/>
    <s v="Steven Cartwright"/>
  </r>
  <r>
    <x v="0"/>
    <s v="Ross Baird"/>
  </r>
  <r>
    <x v="0"/>
    <s v="Richard Eichhorn"/>
  </r>
  <r>
    <x v="0"/>
    <s v="Bruce Stewart"/>
  </r>
  <r>
    <x v="0"/>
    <s v="Berenike Kampe"/>
  </r>
  <r>
    <x v="0"/>
    <s v="Gary Hansen"/>
  </r>
  <r>
    <x v="0"/>
    <s v="Allen Goldenen"/>
  </r>
  <r>
    <x v="0"/>
    <s v="Mathew Reese"/>
  </r>
  <r>
    <x v="0"/>
    <s v="Beth Paige"/>
  </r>
  <r>
    <x v="0"/>
    <s v="Allen Rosenblatt"/>
  </r>
  <r>
    <x v="0"/>
    <s v="Sara Luxemburg"/>
  </r>
  <r>
    <x v="0"/>
    <s v="Denny Ordway"/>
  </r>
  <r>
    <x v="0"/>
    <s v="Russell D'Ascenzo"/>
  </r>
  <r>
    <x v="0"/>
    <s v="Maxwell Schwartz"/>
  </r>
  <r>
    <x v="0"/>
    <s v="Speros Goranitis"/>
  </r>
  <r>
    <x v="0"/>
    <s v="Annie Thurman"/>
  </r>
  <r>
    <x v="0"/>
    <s v="Denise Monton"/>
  </r>
  <r>
    <x v="0"/>
    <s v="Stephanie Phelps"/>
  </r>
  <r>
    <x v="0"/>
    <s v="Tracy Collins"/>
  </r>
  <r>
    <x v="0"/>
    <s v="Nathan Gelder"/>
  </r>
  <r>
    <x v="0"/>
    <s v="Matthew Clasen"/>
  </r>
  <r>
    <x v="0"/>
    <s v="Phillina Ober"/>
  </r>
  <r>
    <x v="0"/>
    <s v="Deborah Brumfield"/>
  </r>
  <r>
    <x v="0"/>
    <s v="Mark Haberlin"/>
  </r>
  <r>
    <x v="0"/>
    <s v="Paul Knutson"/>
  </r>
  <r>
    <x v="0"/>
    <s v="Maurice Satty"/>
  </r>
  <r>
    <x v="0"/>
    <s v="Mary Zewe"/>
  </r>
  <r>
    <x v="0"/>
    <s v="Ken Black"/>
  </r>
  <r>
    <x v="0"/>
    <s v="Paul MacIntyre"/>
  </r>
  <r>
    <x v="0"/>
    <s v="Andrew Allen"/>
  </r>
  <r>
    <x v="0"/>
    <s v="Nat Carroll"/>
  </r>
  <r>
    <x v="0"/>
    <s v="Bill Shonely"/>
  </r>
  <r>
    <x v="0"/>
    <s v="Mark Packer"/>
  </r>
  <r>
    <x v="0"/>
    <s v="Bobby Trafton"/>
  </r>
  <r>
    <x v="0"/>
    <s v="Valerie Dominguez"/>
  </r>
  <r>
    <x v="0"/>
    <s v="Marina Lichtenstein"/>
  </r>
  <r>
    <x v="0"/>
    <s v="David Flashing"/>
  </r>
  <r>
    <x v="0"/>
    <s v="Joy Daniels"/>
  </r>
  <r>
    <x v="0"/>
    <s v="Chris Cortes"/>
  </r>
  <r>
    <x v="0"/>
    <s v="Nathan Mautz"/>
  </r>
  <r>
    <x v="0"/>
    <s v="MaryBeth Skach"/>
  </r>
  <r>
    <x v="0"/>
    <s v="William Brown"/>
  </r>
  <r>
    <x v="0"/>
    <s v="Sam Zeldin"/>
  </r>
  <r>
    <x v="0"/>
    <s v="Tiffany House"/>
  </r>
  <r>
    <x v="0"/>
    <s v="Cathy Prescott"/>
  </r>
  <r>
    <x v="0"/>
    <s v="Mick Brown"/>
  </r>
  <r>
    <x v="0"/>
    <s v="Aimee Bixby"/>
  </r>
  <r>
    <x v="0"/>
    <s v="Tracy Hopkins"/>
  </r>
  <r>
    <x v="0"/>
    <s v="Greg Maxwell"/>
  </r>
  <r>
    <x v="0"/>
    <s v="John Grady"/>
  </r>
  <r>
    <x v="0"/>
    <s v="Ruben Dartt"/>
  </r>
  <r>
    <x v="0"/>
    <s v="Roy Phan"/>
  </r>
  <r>
    <x v="0"/>
    <s v="Peter Fuller"/>
  </r>
  <r>
    <x v="0"/>
    <s v="Emily Burns"/>
  </r>
  <r>
    <x v="0"/>
    <s v="Giulietta Dortch"/>
  </r>
  <r>
    <x v="0"/>
    <s v="Michael Chen"/>
  </r>
  <r>
    <x v="0"/>
    <s v="Dan Campbell"/>
  </r>
  <r>
    <x v="0"/>
    <s v="Dennis Pardue"/>
  </r>
  <r>
    <x v="0"/>
    <s v="David Wiener"/>
  </r>
  <r>
    <x v="0"/>
    <s v="Don Miller"/>
  </r>
  <r>
    <x v="0"/>
    <s v="Chad Sievert"/>
  </r>
  <r>
    <x v="0"/>
    <s v="Sonia Sunley"/>
  </r>
  <r>
    <x v="0"/>
    <s v="Ricardo Sperren"/>
  </r>
  <r>
    <x v="0"/>
    <s v="Gary Zandusky"/>
  </r>
  <r>
    <x v="0"/>
    <s v="Nora Preis"/>
  </r>
  <r>
    <x v="0"/>
    <s v="Patrick Ryan"/>
  </r>
  <r>
    <x v="0"/>
    <s v="Brian Derr"/>
  </r>
  <r>
    <x v="0"/>
    <s v="Keith Herrera"/>
  </r>
  <r>
    <x v="0"/>
    <s v="Deanra Eno"/>
  </r>
  <r>
    <x v="0"/>
    <s v="Steven Roelle"/>
  </r>
  <r>
    <x v="0"/>
    <s v="Maribeth Dona"/>
  </r>
  <r>
    <x v="0"/>
    <s v="Barry Gonzalez"/>
  </r>
  <r>
    <x v="0"/>
    <s v="Brendan Sweed"/>
  </r>
  <r>
    <x v="0"/>
    <s v="David Kendrick"/>
  </r>
  <r>
    <x v="0"/>
    <s v="Roy Collins"/>
  </r>
  <r>
    <x v="0"/>
    <s v="Nona Balk"/>
  </r>
  <r>
    <x v="0"/>
    <s v="Rob Lucas"/>
  </r>
  <r>
    <x v="0"/>
    <s v="Joni Blumstein"/>
  </r>
  <r>
    <x v="0"/>
    <s v="Lycoris Saunders"/>
  </r>
  <r>
    <x v="0"/>
    <s v="Maria Etezadi"/>
  </r>
  <r>
    <x v="0"/>
    <s v="Neil Ducich"/>
  </r>
  <r>
    <x v="0"/>
    <s v="Delfina Latchford"/>
  </r>
  <r>
    <x v="0"/>
    <s v="Guy Phonely"/>
  </r>
  <r>
    <x v="0"/>
    <s v="Shirley Daniels"/>
  </r>
  <r>
    <x v="0"/>
    <s v="Scott Cohen"/>
  </r>
  <r>
    <x v="0"/>
    <s v="Andy Yotov"/>
  </r>
  <r>
    <x v="0"/>
    <s v="Frank Hawley"/>
  </r>
  <r>
    <x v="0"/>
    <s v="Harold Pawlan"/>
  </r>
  <r>
    <x v="0"/>
    <s v="Steve Nguyen"/>
  </r>
  <r>
    <x v="0"/>
    <s v="Grant Thornton"/>
  </r>
  <r>
    <x v="0"/>
    <s v="Sarah Bern"/>
  </r>
  <r>
    <x v="0"/>
    <s v="Valerie Takahito"/>
  </r>
  <r>
    <x v="0"/>
    <s v="Emily Phan"/>
  </r>
  <r>
    <x v="0"/>
    <s v="Becky Castell"/>
  </r>
  <r>
    <x v="0"/>
    <s v="Roland Fjeld"/>
  </r>
  <r>
    <x v="0"/>
    <s v="Trudy Brown"/>
  </r>
  <r>
    <x v="0"/>
    <s v="Victoria Pisteka"/>
  </r>
  <r>
    <x v="0"/>
    <s v="Xylona Preis"/>
  </r>
  <r>
    <x v="0"/>
    <s v="Alice McCarthy"/>
  </r>
  <r>
    <x v="0"/>
    <s v="George Ashbrook"/>
  </r>
  <r>
    <x v="0"/>
    <s v="Luke Foster"/>
  </r>
  <r>
    <x v="0"/>
    <s v="Ryan Crowe"/>
  </r>
  <r>
    <x v="0"/>
    <s v="Roland Schwarz"/>
  </r>
  <r>
    <x v="0"/>
    <s v="Vivek Sundaresam"/>
  </r>
  <r>
    <x v="0"/>
    <s v="Cyma Kinney"/>
  </r>
  <r>
    <x v="0"/>
    <s v="Chris Selesnick"/>
  </r>
  <r>
    <x v="0"/>
    <s v="Aaron Bergman"/>
  </r>
  <r>
    <x v="0"/>
    <s v="Nora Pelletier"/>
  </r>
  <r>
    <x v="0"/>
    <s v="Craig Molinari"/>
  </r>
  <r>
    <x v="0"/>
    <s v="Pauline Johnson"/>
  </r>
  <r>
    <x v="0"/>
    <s v="Valerie Mitchum"/>
  </r>
  <r>
    <x v="0"/>
    <s v="Carol Triggs"/>
  </r>
  <r>
    <x v="0"/>
    <s v="Bart Pistole"/>
  </r>
  <r>
    <x v="0"/>
    <s v="Nick Radford"/>
  </r>
  <r>
    <x v="0"/>
    <s v="John Lee"/>
  </r>
  <r>
    <x v="0"/>
    <s v="Sean Braxton"/>
  </r>
  <r>
    <x v="0"/>
    <s v="Dennis Kane"/>
  </r>
  <r>
    <x v="0"/>
    <s v="Rick Bensley"/>
  </r>
  <r>
    <x v="0"/>
    <s v="Lisa Ryan"/>
  </r>
  <r>
    <x v="0"/>
    <s v="Shahid Shariari"/>
  </r>
  <r>
    <x v="0"/>
    <s v="Tamara Chand"/>
  </r>
  <r>
    <x v="0"/>
    <s v="Maribeth Schnelling"/>
  </r>
  <r>
    <x v="0"/>
    <s v="Troy Blackwell"/>
  </r>
  <r>
    <x v="0"/>
    <s v="Frank Preis"/>
  </r>
  <r>
    <x v="0"/>
    <s v="Erica Hernandez"/>
  </r>
  <r>
    <x v="0"/>
    <s v="Jim Mitchum"/>
  </r>
  <r>
    <x v="0"/>
    <s v="Ruben Ausman"/>
  </r>
  <r>
    <x v="0"/>
    <s v="Pauline Chand"/>
  </r>
  <r>
    <x v="0"/>
    <s v="John Stevenson"/>
  </r>
  <r>
    <x v="0"/>
    <s v="Kean Thornton"/>
  </r>
  <r>
    <x v="0"/>
    <s v="Carlos Soltero"/>
  </r>
  <r>
    <x v="0"/>
    <s v="Rick Duston"/>
  </r>
  <r>
    <x v="0"/>
    <s v="Michelle Huthwaite"/>
  </r>
  <r>
    <x v="0"/>
    <s v="Ed Braxton"/>
  </r>
  <r>
    <x v="0"/>
    <s v="Lena Radford"/>
  </r>
  <r>
    <x v="0"/>
    <s v="Maria Bertelson"/>
  </r>
  <r>
    <x v="0"/>
    <s v="Tamara Manning"/>
  </r>
  <r>
    <x v="0"/>
    <s v="Matt Abelman"/>
  </r>
  <r>
    <x v="0"/>
    <s v="Vivek Gonzalez"/>
  </r>
  <r>
    <x v="0"/>
    <s v="Becky Martin"/>
  </r>
  <r>
    <x v="0"/>
    <s v="Lisa Hazard"/>
  </r>
  <r>
    <x v="0"/>
    <s v="Karen Carlisle"/>
  </r>
  <r>
    <x v="0"/>
    <s v="Ted Trevino"/>
  </r>
  <r>
    <x v="0"/>
    <s v="Stefania Perrino"/>
  </r>
  <r>
    <x v="0"/>
    <s v="Marc Crier"/>
  </r>
  <r>
    <x v="0"/>
    <s v="Kean Takahito"/>
  </r>
  <r>
    <x v="0"/>
    <s v="Paul Prost"/>
  </r>
  <r>
    <x v="0"/>
    <s v="Toby Swindell"/>
  </r>
  <r>
    <x v="0"/>
    <s v="Jack Garza"/>
  </r>
  <r>
    <x v="0"/>
    <s v="Duane Noonan"/>
  </r>
  <r>
    <x v="0"/>
    <s v="Thomas Boland"/>
  </r>
  <r>
    <x v="0"/>
    <s v="Tim Brockman"/>
  </r>
  <r>
    <x v="0"/>
    <s v="Jim Karlsson"/>
  </r>
  <r>
    <x v="0"/>
    <s v="Denny Joy"/>
  </r>
  <r>
    <x v="0"/>
    <s v="Melanie Seite"/>
  </r>
  <r>
    <x v="0"/>
    <s v="Patrick Gardner"/>
  </r>
  <r>
    <x v="0"/>
    <s v="Brosina Hoffman"/>
  </r>
  <r>
    <x v="0"/>
    <s v="Carl Weiss"/>
  </r>
  <r>
    <x v="0"/>
    <s v="Chuck Magee"/>
  </r>
  <r>
    <x v="0"/>
    <s v="Frank Olsen"/>
  </r>
  <r>
    <x v="0"/>
    <s v="Thomas Seio"/>
  </r>
  <r>
    <x v="0"/>
    <s v="Brian Moss"/>
  </r>
  <r>
    <x v="0"/>
    <s v="Darrin Sayre"/>
  </r>
  <r>
    <x v="0"/>
    <s v="Emily Ducich"/>
  </r>
  <r>
    <x v="0"/>
    <s v="Matthew Grinstein"/>
  </r>
  <r>
    <x v="0"/>
    <s v="Joseph Holt"/>
  </r>
  <r>
    <x v="0"/>
    <s v="Gene McClure"/>
  </r>
  <r>
    <x v="0"/>
    <s v="Rick Reed"/>
  </r>
  <r>
    <x v="0"/>
    <s v="Logan Currie"/>
  </r>
  <r>
    <x v="0"/>
    <s v="Nicole Fjeld"/>
  </r>
  <r>
    <x v="0"/>
    <s v="Shirley Jackson"/>
  </r>
  <r>
    <x v="0"/>
    <s v="Jeremy Pistek"/>
  </r>
  <r>
    <x v="0"/>
    <s v="Benjamin Farhat"/>
  </r>
  <r>
    <x v="0"/>
    <s v="Dario Medina"/>
  </r>
  <r>
    <x v="0"/>
    <s v="Anthony Jacobs"/>
  </r>
  <r>
    <x v="0"/>
    <s v="Scott Williamson"/>
  </r>
  <r>
    <x v="0"/>
    <s v="Arianne Irving"/>
  </r>
  <r>
    <x v="0"/>
    <s v="Art Foster"/>
  </r>
  <r>
    <x v="0"/>
    <s v="Greg Matthias"/>
  </r>
  <r>
    <x v="0"/>
    <s v="Heather Kirkland"/>
  </r>
  <r>
    <x v="0"/>
    <s v="Dianna Arnett"/>
  </r>
  <r>
    <x v="0"/>
    <s v="Sandra Flanagan"/>
  </r>
  <r>
    <x v="0"/>
    <s v="Tanja Norvell"/>
  </r>
  <r>
    <x v="0"/>
    <s v="Richard Bierner"/>
  </r>
  <r>
    <x v="0"/>
    <s v="Fred Chung"/>
  </r>
  <r>
    <x v="0"/>
    <s v="Sally Matthias"/>
  </r>
  <r>
    <x v="0"/>
    <s v="Sally Hughsby"/>
  </r>
  <r>
    <x v="0"/>
    <s v="Seth Vernon"/>
  </r>
  <r>
    <x v="0"/>
    <s v="Natalie Fritzler"/>
  </r>
  <r>
    <x v="0"/>
    <s v="Guy Armstrong"/>
  </r>
  <r>
    <x v="0"/>
    <s v="Chloris Kastensmidt"/>
  </r>
  <r>
    <x v="0"/>
    <s v="Kelly Andreada"/>
  </r>
  <r>
    <x v="0"/>
    <s v="Filia McAdams"/>
  </r>
  <r>
    <x v="0"/>
    <s v="Jay Kimmel"/>
  </r>
  <r>
    <x v="0"/>
    <s v="Sanjit Engle"/>
  </r>
  <r>
    <x v="0"/>
    <s v="Gary Mitchum"/>
  </r>
  <r>
    <x v="0"/>
    <s v="Michelle Moray"/>
  </r>
  <r>
    <x v="0"/>
    <s v="Paul Gonzalez"/>
  </r>
  <r>
    <x v="0"/>
    <s v="Raymond Messe"/>
  </r>
  <r>
    <x v="0"/>
    <s v="Brooke Gillingham"/>
  </r>
  <r>
    <x v="0"/>
    <s v="Victoria Wilson"/>
  </r>
  <r>
    <x v="0"/>
    <s v="Harold Dahlen"/>
  </r>
  <r>
    <x v="0"/>
    <s v="Laura Armstrong"/>
  </r>
  <r>
    <x v="0"/>
    <s v="Michael Nguyen"/>
  </r>
  <r>
    <x v="0"/>
    <s v="Mark Hamilton"/>
  </r>
  <r>
    <x v="0"/>
    <s v="Jamie Kunitz"/>
  </r>
  <r>
    <x v="0"/>
    <s v="Ken Lonsdale"/>
  </r>
  <r>
    <x v="0"/>
    <s v="Liz Willingham"/>
  </r>
  <r>
    <x v="0"/>
    <s v="Jill Fjeld"/>
  </r>
  <r>
    <x v="0"/>
    <s v="Dean percer"/>
  </r>
  <r>
    <x v="0"/>
    <s v="Helen Andreada"/>
  </r>
  <r>
    <x v="0"/>
    <s v="Dorothy Badders"/>
  </r>
  <r>
    <x v="0"/>
    <s v="Alan Shonely"/>
  </r>
  <r>
    <x v="0"/>
    <s v="Pete Kriz"/>
  </r>
  <r>
    <x v="0"/>
    <s v="Tracy Zic"/>
  </r>
  <r>
    <x v="0"/>
    <s v="Karen Daniels"/>
  </r>
  <r>
    <x v="0"/>
    <s v="Arthur Prichep"/>
  </r>
  <r>
    <x v="0"/>
    <s v="Tom Stivers"/>
  </r>
  <r>
    <x v="0"/>
    <s v="Kean Nguyen"/>
  </r>
  <r>
    <x v="0"/>
    <s v="Edward Hooks"/>
  </r>
  <r>
    <x v="0"/>
    <s v="Hunter Lopez"/>
  </r>
  <r>
    <x v="0"/>
    <s v="Alyssa Crouse"/>
  </r>
  <r>
    <x v="0"/>
    <s v="Ben Ferrer"/>
  </r>
  <r>
    <x v="0"/>
    <s v="Max Engle"/>
  </r>
  <r>
    <x v="0"/>
    <s v="Paul Van Hugh"/>
  </r>
  <r>
    <x v="0"/>
    <s v="Charles Sheldon"/>
  </r>
  <r>
    <x v="0"/>
    <s v="Ben Wallace"/>
  </r>
  <r>
    <x v="0"/>
    <s v="Duane Huffman"/>
  </r>
  <r>
    <x v="0"/>
    <s v="Lauren Leatherbury"/>
  </r>
  <r>
    <x v="0"/>
    <s v="Brad Norvell"/>
  </r>
  <r>
    <x v="0"/>
    <s v="Pete Takahito"/>
  </r>
  <r>
    <x v="0"/>
    <s v="Tom Ashbrook"/>
  </r>
  <r>
    <x v="0"/>
    <s v="Luke Weiss"/>
  </r>
  <r>
    <x v="0"/>
    <s v="Barry Pond"/>
  </r>
  <r>
    <x v="0"/>
    <s v="Roy FranzÃ¶sisch"/>
  </r>
  <r>
    <x v="0"/>
    <s v="Joseph Airdo"/>
  </r>
  <r>
    <x v="0"/>
    <s v="Darren Budd"/>
  </r>
  <r>
    <x v="0"/>
    <s v="Craig Yedwab"/>
  </r>
  <r>
    <x v="0"/>
    <s v="Logan Haushalter"/>
  </r>
  <r>
    <x v="0"/>
    <s v="Philip Brown"/>
  </r>
  <r>
    <x v="1"/>
    <s v="Shui Tom"/>
  </r>
  <r>
    <x v="1"/>
    <s v="Dave Hallsten"/>
  </r>
  <r>
    <x v="1"/>
    <s v="Resi PÃ¶lking"/>
  </r>
  <r>
    <x v="1"/>
    <s v="Craig Molinari"/>
  </r>
  <r>
    <x v="1"/>
    <s v="Tracy Poddar"/>
  </r>
  <r>
    <x v="1"/>
    <s v="Jennifer Braxton"/>
  </r>
  <r>
    <x v="1"/>
    <s v="David Bremer"/>
  </r>
  <r>
    <x v="1"/>
    <s v="Patrick O'Brill"/>
  </r>
  <r>
    <x v="1"/>
    <s v="Katrina Edelman"/>
  </r>
  <r>
    <x v="1"/>
    <s v="Ashley Jarboe"/>
  </r>
  <r>
    <x v="1"/>
    <s v="Catherine Glotzbach"/>
  </r>
  <r>
    <x v="1"/>
    <s v="Pauline Chand"/>
  </r>
  <r>
    <x v="1"/>
    <s v="Doug Bickford"/>
  </r>
  <r>
    <x v="1"/>
    <s v="Daniel Raglin"/>
  </r>
  <r>
    <x v="1"/>
    <s v="Shaun Chance"/>
  </r>
  <r>
    <x v="1"/>
    <s v="Robert Marley"/>
  </r>
  <r>
    <x v="1"/>
    <s v="Eric Murdock"/>
  </r>
  <r>
    <x v="1"/>
    <s v="Valerie Mitchum"/>
  </r>
  <r>
    <x v="1"/>
    <s v="Quincy Jones"/>
  </r>
  <r>
    <x v="1"/>
    <s v="Valerie Dominguez"/>
  </r>
  <r>
    <x v="1"/>
    <s v="Guy Armstrong"/>
  </r>
  <r>
    <x v="1"/>
    <s v="MaryBeth Skach"/>
  </r>
  <r>
    <x v="1"/>
    <s v="Justin Hirsh"/>
  </r>
  <r>
    <x v="1"/>
    <s v="Jeremy Farry"/>
  </r>
  <r>
    <x v="1"/>
    <s v="Logan Currie"/>
  </r>
  <r>
    <x v="1"/>
    <s v="Neoma Murray"/>
  </r>
  <r>
    <x v="1"/>
    <s v="Beth Thompson"/>
  </r>
  <r>
    <x v="1"/>
    <s v="Keith Dawkins"/>
  </r>
  <r>
    <x v="1"/>
    <s v="Tamara Willingham"/>
  </r>
  <r>
    <x v="1"/>
    <s v="Lindsay Castell"/>
  </r>
  <r>
    <x v="1"/>
    <s v="Matt Abelman"/>
  </r>
  <r>
    <x v="1"/>
    <s v="Victoria Wilson"/>
  </r>
  <r>
    <x v="1"/>
    <s v="Claudia Bergmann"/>
  </r>
  <r>
    <x v="1"/>
    <s v="Dave Kipp"/>
  </r>
  <r>
    <x v="1"/>
    <s v="Pete Armstrong"/>
  </r>
  <r>
    <x v="1"/>
    <s v="Michael Oakman"/>
  </r>
  <r>
    <x v="1"/>
    <s v="Cari Sayre"/>
  </r>
  <r>
    <x v="1"/>
    <s v="John Dryer"/>
  </r>
  <r>
    <x v="1"/>
    <s v="John Lucas"/>
  </r>
  <r>
    <x v="1"/>
    <s v="Noah Childs"/>
  </r>
  <r>
    <x v="1"/>
    <s v="Richard Bierner"/>
  </r>
  <r>
    <x v="1"/>
    <s v="Rob Haberlin"/>
  </r>
  <r>
    <x v="1"/>
    <s v="Karl Braun"/>
  </r>
  <r>
    <x v="1"/>
    <s v="Steven Roelle"/>
  </r>
  <r>
    <x v="1"/>
    <s v="Frank Atkinson"/>
  </r>
  <r>
    <x v="1"/>
    <s v="Corey-Lock"/>
  </r>
  <r>
    <x v="1"/>
    <s v="Brad Eason"/>
  </r>
  <r>
    <x v="1"/>
    <s v="Darren Koutras"/>
  </r>
  <r>
    <x v="1"/>
    <s v="Ed Braxton"/>
  </r>
  <r>
    <x v="1"/>
    <s v="Jennifer Patt"/>
  </r>
  <r>
    <x v="1"/>
    <s v="Christopher Schild"/>
  </r>
  <r>
    <x v="1"/>
    <s v="Nora Pelletier"/>
  </r>
  <r>
    <x v="1"/>
    <s v="Henry MacAllister"/>
  </r>
  <r>
    <x v="1"/>
    <s v="Michael Paige"/>
  </r>
  <r>
    <x v="1"/>
    <s v="Sheri Gordon"/>
  </r>
  <r>
    <x v="1"/>
    <s v="Chloris Kastensmidt"/>
  </r>
  <r>
    <x v="1"/>
    <s v="Jas O'Carroll"/>
  </r>
  <r>
    <x v="1"/>
    <s v="Kelly Collister"/>
  </r>
  <r>
    <x v="1"/>
    <s v="Scot Wooten"/>
  </r>
  <r>
    <x v="1"/>
    <s v="Liz Thompson"/>
  </r>
  <r>
    <x v="1"/>
    <s v="Emily Ducich"/>
  </r>
  <r>
    <x v="1"/>
    <s v="Barry Blumstein"/>
  </r>
  <r>
    <x v="1"/>
    <s v="Emily Grady"/>
  </r>
  <r>
    <x v="1"/>
    <s v="Sylvia Foulston"/>
  </r>
  <r>
    <x v="1"/>
    <s v="Amy Hunt"/>
  </r>
  <r>
    <x v="1"/>
    <s v="Allen Armold"/>
  </r>
  <r>
    <x v="1"/>
    <s v="Rick Wilson"/>
  </r>
  <r>
    <x v="1"/>
    <s v="Ken Heidel"/>
  </r>
  <r>
    <x v="1"/>
    <s v="Frank Olsen"/>
  </r>
  <r>
    <x v="1"/>
    <s v="Pauline Webber"/>
  </r>
  <r>
    <x v="1"/>
    <s v="Julia Barnett"/>
  </r>
  <r>
    <x v="1"/>
    <s v="Stewart Visinsky"/>
  </r>
  <r>
    <x v="1"/>
    <s v="Lena Cacioppo"/>
  </r>
  <r>
    <x v="1"/>
    <s v="Nicole Fjeld"/>
  </r>
  <r>
    <x v="1"/>
    <s v="Bruce Degenhardt"/>
  </r>
  <r>
    <x v="1"/>
    <s v="Deirdre Greer"/>
  </r>
  <r>
    <x v="1"/>
    <s v="Julie Creighton"/>
  </r>
  <r>
    <x v="1"/>
    <s v="Mike Gockenbach"/>
  </r>
  <r>
    <x v="1"/>
    <s v="Ann Steele"/>
  </r>
  <r>
    <x v="1"/>
    <s v="Cathy Prescott"/>
  </r>
  <r>
    <x v="1"/>
    <s v="John Huston"/>
  </r>
  <r>
    <x v="1"/>
    <s v="Bryan Mills"/>
  </r>
  <r>
    <x v="1"/>
    <s v="Mary Zewe"/>
  </r>
  <r>
    <x v="1"/>
    <s v="Bruce Stewart"/>
  </r>
  <r>
    <x v="1"/>
    <s v="Corinna Mitchell"/>
  </r>
  <r>
    <x v="1"/>
    <s v="Chris Selesnick"/>
  </r>
  <r>
    <x v="1"/>
    <s v="Fred Hopkins"/>
  </r>
  <r>
    <x v="1"/>
    <s v="Dean Katz"/>
  </r>
  <r>
    <x v="1"/>
    <s v="Mark Packer"/>
  </r>
  <r>
    <x v="1"/>
    <s v="Alejandro Ballentine"/>
  </r>
  <r>
    <x v="1"/>
    <s v="Bill Stewart"/>
  </r>
  <r>
    <x v="1"/>
    <s v="Pierre Wener"/>
  </r>
  <r>
    <x v="1"/>
    <s v="Jack Garza"/>
  </r>
  <r>
    <x v="1"/>
    <s v="Harold Pawlan"/>
  </r>
  <r>
    <x v="1"/>
    <s v="Andrew Gjertsen"/>
  </r>
  <r>
    <x v="1"/>
    <s v="Nat Carroll"/>
  </r>
  <r>
    <x v="1"/>
    <s v="Alan Schoenberger"/>
  </r>
  <r>
    <x v="1"/>
    <s v="Laura Armstrong"/>
  </r>
  <r>
    <x v="1"/>
    <s v="Anna HÃ¤berlin"/>
  </r>
  <r>
    <x v="1"/>
    <s v="Stuart Van"/>
  </r>
  <r>
    <x v="1"/>
    <s v="Lauren Leatherbury"/>
  </r>
  <r>
    <x v="1"/>
    <s v="Tracy Collins"/>
  </r>
  <r>
    <x v="1"/>
    <s v="Becky Pak"/>
  </r>
  <r>
    <x v="1"/>
    <s v="Irene Maddox"/>
  </r>
  <r>
    <x v="1"/>
    <s v="Alan Dominguez"/>
  </r>
  <r>
    <x v="1"/>
    <s v="Julie Prescott"/>
  </r>
  <r>
    <x v="1"/>
    <s v="Christine Sundaresam"/>
  </r>
  <r>
    <x v="1"/>
    <s v="Ken Black"/>
  </r>
  <r>
    <x v="1"/>
    <s v="David Smith"/>
  </r>
  <r>
    <x v="1"/>
    <s v="Denny Joy"/>
  </r>
  <r>
    <x v="1"/>
    <s v="Alex Avila"/>
  </r>
  <r>
    <x v="1"/>
    <s v="Julie Kriz"/>
  </r>
  <r>
    <x v="1"/>
    <s v="Ritsa Hightower"/>
  </r>
  <r>
    <x v="1"/>
    <s v="Sean O'Donnell"/>
  </r>
  <r>
    <x v="1"/>
    <s v="Maribeth Schnelling"/>
  </r>
  <r>
    <x v="1"/>
    <s v="Michael Stewart"/>
  </r>
  <r>
    <x v="1"/>
    <s v="Rose O'Brian"/>
  </r>
  <r>
    <x v="1"/>
    <s v="Harry Marie"/>
  </r>
  <r>
    <x v="1"/>
    <s v="Tracy Zic"/>
  </r>
  <r>
    <x v="1"/>
    <s v="Brooke Gillingham"/>
  </r>
  <r>
    <x v="1"/>
    <s v="James Lanier"/>
  </r>
  <r>
    <x v="1"/>
    <s v="Luke Foster"/>
  </r>
  <r>
    <x v="1"/>
    <s v="Sarah Foster"/>
  </r>
  <r>
    <x v="1"/>
    <s v="Katherine Nockton"/>
  </r>
  <r>
    <x v="1"/>
    <s v="Alan Haines"/>
  </r>
  <r>
    <x v="1"/>
    <s v="Mike Vittorini"/>
  </r>
  <r>
    <x v="1"/>
    <s v="Jennifer Jackson"/>
  </r>
  <r>
    <x v="1"/>
    <s v="Greg Guthrie"/>
  </r>
  <r>
    <x v="1"/>
    <s v="Valerie Takahito"/>
  </r>
  <r>
    <x v="1"/>
    <s v="Ted Trevino"/>
  </r>
  <r>
    <x v="1"/>
    <s v="Carol Adams"/>
  </r>
  <r>
    <x v="1"/>
    <s v="Jennifer Ferguson"/>
  </r>
  <r>
    <x v="1"/>
    <s v="Edward Becker"/>
  </r>
  <r>
    <x v="1"/>
    <s v="Brenda Bowman"/>
  </r>
  <r>
    <x v="1"/>
    <s v="Barbara Fisher"/>
  </r>
  <r>
    <x v="1"/>
    <s v="Victor Preis"/>
  </r>
  <r>
    <x v="1"/>
    <s v="Mitch Webber"/>
  </r>
  <r>
    <x v="1"/>
    <s v="Roland Schwarz"/>
  </r>
  <r>
    <x v="1"/>
    <s v="Arthur Gainer"/>
  </r>
  <r>
    <x v="1"/>
    <s v="Cathy Armstrong"/>
  </r>
  <r>
    <x v="1"/>
    <s v="Sung Pak"/>
  </r>
  <r>
    <x v="1"/>
    <s v="Joel Jenkins"/>
  </r>
  <r>
    <x v="1"/>
    <s v="Maria Bertelson"/>
  </r>
  <r>
    <x v="1"/>
    <s v="Ivan Liston"/>
  </r>
  <r>
    <x v="1"/>
    <s v="George Bell"/>
  </r>
  <r>
    <x v="1"/>
    <s v="Grant Thornton"/>
  </r>
  <r>
    <x v="1"/>
    <s v="Nathan Gelder"/>
  </r>
  <r>
    <x v="1"/>
    <s v="Justin MacKendrick"/>
  </r>
  <r>
    <x v="1"/>
    <s v="Ken Lonsdale"/>
  </r>
  <r>
    <x v="1"/>
    <s v="Christy Brittain"/>
  </r>
  <r>
    <x v="1"/>
    <s v="Matt Hagelstein"/>
  </r>
  <r>
    <x v="1"/>
    <s v="Stephanie Ulpright"/>
  </r>
  <r>
    <x v="1"/>
    <s v="Sandra Flanagan"/>
  </r>
  <r>
    <x v="1"/>
    <s v="Brian Derr"/>
  </r>
  <r>
    <x v="1"/>
    <s v="Rick Reed"/>
  </r>
  <r>
    <x v="1"/>
    <s v="Tim Brockman"/>
  </r>
  <r>
    <x v="1"/>
    <s v="Stefania Perrino"/>
  </r>
  <r>
    <x v="1"/>
    <s v="Trudy Schmidt"/>
  </r>
  <r>
    <x v="1"/>
    <s v="Lori Olson"/>
  </r>
  <r>
    <x v="1"/>
    <s v="Thomas Thornton"/>
  </r>
  <r>
    <x v="1"/>
    <s v="Mark Hamilton"/>
  </r>
  <r>
    <x v="1"/>
    <s v="Kalyca Meade"/>
  </r>
  <r>
    <x v="1"/>
    <s v="Paul Prost"/>
  </r>
  <r>
    <x v="1"/>
    <s v="Sarah Jordon"/>
  </r>
  <r>
    <x v="1"/>
    <s v="Rachel Payne"/>
  </r>
  <r>
    <x v="1"/>
    <s v="Chuck Clark"/>
  </r>
  <r>
    <x v="1"/>
    <s v="Cyma Kinney"/>
  </r>
  <r>
    <x v="1"/>
    <s v="Alyssa Tate"/>
  </r>
  <r>
    <x v="1"/>
    <s v="Brendan Sweed"/>
  </r>
  <r>
    <x v="1"/>
    <s v="Andy Gerbode"/>
  </r>
  <r>
    <x v="1"/>
    <s v="Shaun Weien"/>
  </r>
  <r>
    <x v="1"/>
    <s v="Meg Tillman"/>
  </r>
  <r>
    <x v="1"/>
    <s v="Naresj Patel"/>
  </r>
  <r>
    <x v="1"/>
    <s v="Katrina Willman"/>
  </r>
  <r>
    <x v="1"/>
    <s v="Gary Hwang"/>
  </r>
  <r>
    <x v="1"/>
    <s v="Dennis Kane"/>
  </r>
  <r>
    <x v="1"/>
    <s v="Katherine Murray"/>
  </r>
  <r>
    <x v="1"/>
    <s v="Speros Goranitis"/>
  </r>
  <r>
    <x v="1"/>
    <s v="Art Ferguson"/>
  </r>
  <r>
    <x v="1"/>
    <s v="Mike Pelletier"/>
  </r>
  <r>
    <x v="1"/>
    <s v="Damala Kotsonis"/>
  </r>
  <r>
    <x v="1"/>
    <s v="Eugene Moren"/>
  </r>
  <r>
    <x v="1"/>
    <s v="Peter Fuller"/>
  </r>
  <r>
    <x v="1"/>
    <s v="Frank Merwin"/>
  </r>
  <r>
    <x v="1"/>
    <s v="Anna Gayman"/>
  </r>
  <r>
    <x v="1"/>
    <s v="Chris Cortes"/>
  </r>
  <r>
    <x v="1"/>
    <s v="Eleni McCrary"/>
  </r>
  <r>
    <x v="1"/>
    <s v="Harold Dahlen"/>
  </r>
  <r>
    <x v="1"/>
    <s v="Noel Staavos"/>
  </r>
  <r>
    <x v="1"/>
    <s v="Parhena Norris"/>
  </r>
  <r>
    <x v="1"/>
    <s v="Kelly Williams"/>
  </r>
  <r>
    <x v="1"/>
    <s v="Jim Karlsson"/>
  </r>
  <r>
    <x v="1"/>
    <s v="Eudokia Martin"/>
  </r>
  <r>
    <x v="1"/>
    <s v="Helen Andreada"/>
  </r>
  <r>
    <x v="1"/>
    <s v="Charles Crestani"/>
  </r>
  <r>
    <x v="1"/>
    <s v="Marc Crier"/>
  </r>
  <r>
    <x v="1"/>
    <s v="Lisa Ryan"/>
  </r>
  <r>
    <x v="1"/>
    <s v="Corey Catlett"/>
  </r>
  <r>
    <x v="1"/>
    <s v="Tanja Norvell"/>
  </r>
  <r>
    <x v="1"/>
    <s v="Karen Bern"/>
  </r>
  <r>
    <x v="1"/>
    <s v="Mike Caudle"/>
  </r>
  <r>
    <x v="1"/>
    <s v="Christine Phan"/>
  </r>
  <r>
    <x v="1"/>
    <s v="Doug O'Connell"/>
  </r>
  <r>
    <x v="1"/>
    <s v="Adrian Barton"/>
  </r>
  <r>
    <x v="1"/>
    <s v="Melanie Seite"/>
  </r>
  <r>
    <x v="1"/>
    <s v="Alan Hwang"/>
  </r>
  <r>
    <x v="1"/>
    <s v="Kristen Hastings"/>
  </r>
  <r>
    <x v="1"/>
    <s v="Lisa Hazard"/>
  </r>
  <r>
    <x v="1"/>
    <s v="Brosina Hoffman"/>
  </r>
  <r>
    <x v="1"/>
    <s v="Dana Kaydos"/>
  </r>
  <r>
    <x v="1"/>
    <s v="Anthony Rawles"/>
  </r>
  <r>
    <x v="1"/>
    <s v="Fred Chung"/>
  </r>
  <r>
    <x v="1"/>
    <s v="Daniel Lacy"/>
  </r>
  <r>
    <x v="1"/>
    <s v="Natalie Webber"/>
  </r>
  <r>
    <x v="1"/>
    <s v="Maureen Gnade"/>
  </r>
  <r>
    <x v="1"/>
    <s v="Darrin Martin"/>
  </r>
  <r>
    <x v="1"/>
    <s v="Denny Blanton"/>
  </r>
  <r>
    <x v="1"/>
    <s v="Rob Dowd"/>
  </r>
  <r>
    <x v="1"/>
    <s v="Brian Thompson"/>
  </r>
  <r>
    <x v="1"/>
    <s v="Gene Hale"/>
  </r>
  <r>
    <x v="1"/>
    <s v="Helen Abelman"/>
  </r>
  <r>
    <x v="1"/>
    <s v="Maria Zettner"/>
  </r>
  <r>
    <x v="1"/>
    <s v="Sanjit Chand"/>
  </r>
  <r>
    <x v="1"/>
    <s v="Amy Cox"/>
  </r>
  <r>
    <x v="1"/>
    <s v="Duane Benoit"/>
  </r>
  <r>
    <x v="1"/>
    <s v="Tonja Turnell"/>
  </r>
  <r>
    <x v="1"/>
    <s v="Yana Sorensen"/>
  </r>
  <r>
    <x v="1"/>
    <s v="Henry Goldwyn"/>
  </r>
  <r>
    <x v="1"/>
    <s v="Craig Carroll"/>
  </r>
  <r>
    <x v="1"/>
    <s v="Jill Fjeld"/>
  </r>
  <r>
    <x v="1"/>
    <s v="Toby Gnade"/>
  </r>
  <r>
    <x v="1"/>
    <s v="Jay Kimmel"/>
  </r>
  <r>
    <x v="1"/>
    <s v="Mick Crebagga"/>
  </r>
  <r>
    <x v="1"/>
    <s v="Ivan Gibson"/>
  </r>
  <r>
    <x v="1"/>
    <s v="Max Engle"/>
  </r>
  <r>
    <x v="1"/>
    <s v="Anthony Garverick"/>
  </r>
  <r>
    <x v="1"/>
    <s v="Nathan Cano"/>
  </r>
  <r>
    <x v="1"/>
    <s v="Trudy Glocke"/>
  </r>
  <r>
    <x v="1"/>
    <s v="Max Jones"/>
  </r>
  <r>
    <x v="1"/>
    <s v="Emily Burns"/>
  </r>
  <r>
    <x v="1"/>
    <s v="Matt Collins"/>
  </r>
  <r>
    <x v="1"/>
    <s v="Kean Nguyen"/>
  </r>
  <r>
    <x v="1"/>
    <s v="Ruben Ausman"/>
  </r>
  <r>
    <x v="1"/>
    <s v="Hallie Redmond"/>
  </r>
  <r>
    <x v="1"/>
    <s v="Monica Federle"/>
  </r>
  <r>
    <x v="1"/>
    <s v="Brian Moss"/>
  </r>
  <r>
    <x v="1"/>
    <s v="Sonia Cooley"/>
  </r>
  <r>
    <x v="1"/>
    <s v="Fred McMath"/>
  </r>
  <r>
    <x v="1"/>
    <s v="Charlotte Melton"/>
  </r>
  <r>
    <x v="1"/>
    <s v="Adam Shillingsburg"/>
  </r>
  <r>
    <x v="1"/>
    <s v="Dean percer"/>
  </r>
  <r>
    <x v="1"/>
    <s v="Dianna Vittorini"/>
  </r>
  <r>
    <x v="1"/>
    <s v="Jesus Ocampo"/>
  </r>
  <r>
    <x v="1"/>
    <s v="Ken Brennan"/>
  </r>
  <r>
    <x v="1"/>
    <s v="Michael Moore"/>
  </r>
  <r>
    <x v="1"/>
    <s v="Nona Balk"/>
  </r>
  <r>
    <x v="1"/>
    <s v="Toby Swindell"/>
  </r>
  <r>
    <x v="1"/>
    <s v="Dario Medina"/>
  </r>
  <r>
    <x v="1"/>
    <s v="Eugene Hildebrand"/>
  </r>
  <r>
    <x v="1"/>
    <s v="Dennis Pardue"/>
  </r>
  <r>
    <x v="1"/>
    <s v="Alan Barnes"/>
  </r>
  <r>
    <x v="1"/>
    <s v="Eric Hoffmann"/>
  </r>
  <r>
    <x v="1"/>
    <s v="William Brown"/>
  </r>
  <r>
    <x v="1"/>
    <s v="Bill Donatelli"/>
  </r>
  <r>
    <x v="1"/>
    <s v="Aimee Bixby"/>
  </r>
  <r>
    <x v="1"/>
    <s v="Edward Hooks"/>
  </r>
  <r>
    <x v="1"/>
    <s v="Bobby Odegard"/>
  </r>
  <r>
    <x v="1"/>
    <s v="Alex Russell"/>
  </r>
  <r>
    <x v="1"/>
    <s v="David Philippe"/>
  </r>
  <r>
    <x v="1"/>
    <s v="Steve Chapman"/>
  </r>
  <r>
    <x v="1"/>
    <s v="Philisse Overcash"/>
  </r>
  <r>
    <x v="1"/>
    <s v="Sam Craven"/>
  </r>
  <r>
    <x v="1"/>
    <s v="Khloe Miller"/>
  </r>
  <r>
    <x v="1"/>
    <s v="Frank Carlisle"/>
  </r>
  <r>
    <x v="1"/>
    <s v="Julia West"/>
  </r>
  <r>
    <x v="1"/>
    <s v="Ryan Akin"/>
  </r>
  <r>
    <x v="1"/>
    <s v="Sanjit Engle"/>
  </r>
  <r>
    <x v="1"/>
    <s v="Patrick Ryan"/>
  </r>
  <r>
    <x v="1"/>
    <s v="Andy Reiter"/>
  </r>
  <r>
    <x v="1"/>
    <s v="Paul Stevenson"/>
  </r>
  <r>
    <x v="1"/>
    <s v="Brian Dahlen"/>
  </r>
  <r>
    <x v="1"/>
    <s v="Jim Epp"/>
  </r>
  <r>
    <x v="1"/>
    <s v="Clytie Kelty"/>
  </r>
  <r>
    <x v="1"/>
    <s v="Shahid Collister"/>
  </r>
  <r>
    <x v="1"/>
    <s v="Todd Sumrall"/>
  </r>
  <r>
    <x v="1"/>
    <s v="Barry Weirich"/>
  </r>
  <r>
    <x v="1"/>
    <s v="Steven Cartwright"/>
  </r>
  <r>
    <x v="1"/>
    <s v="Sean Braxton"/>
  </r>
  <r>
    <x v="1"/>
    <s v="Don Miller"/>
  </r>
  <r>
    <x v="1"/>
    <s v="Skye Norling"/>
  </r>
  <r>
    <x v="1"/>
    <s v="Shahid Hopkins"/>
  </r>
  <r>
    <x v="1"/>
    <s v="Stuart Calhoun"/>
  </r>
  <r>
    <x v="1"/>
    <s v="Lena Creighton"/>
  </r>
  <r>
    <x v="1"/>
    <s v="Jim Kriz"/>
  </r>
  <r>
    <x v="1"/>
    <s v="Cynthia Arntzen"/>
  </r>
  <r>
    <x v="1"/>
    <s v="Cindy Schnelling"/>
  </r>
  <r>
    <x v="1"/>
    <s v="Evan Bailliet"/>
  </r>
  <r>
    <x v="1"/>
    <s v="Robert Dilbeck"/>
  </r>
  <r>
    <x v="1"/>
    <s v="Cindy Stewart"/>
  </r>
  <r>
    <x v="1"/>
    <s v="Larry Tron"/>
  </r>
  <r>
    <x v="1"/>
    <s v="Annie Zypern"/>
  </r>
  <r>
    <x v="1"/>
    <s v="James Galang"/>
  </r>
  <r>
    <x v="1"/>
    <s v="Giulietta Baptist"/>
  </r>
  <r>
    <x v="1"/>
    <s v="Laurel Elliston"/>
  </r>
  <r>
    <x v="1"/>
    <s v="Jonathan Howell"/>
  </r>
  <r>
    <x v="1"/>
    <s v="Sam Zeldin"/>
  </r>
  <r>
    <x v="1"/>
    <s v="Rob Lucas"/>
  </r>
  <r>
    <x v="1"/>
    <s v="Paul Gonzalez"/>
  </r>
  <r>
    <x v="1"/>
    <s v="Tamara Manning"/>
  </r>
  <r>
    <x v="1"/>
    <s v="Craig Carreira"/>
  </r>
  <r>
    <x v="1"/>
    <s v="Ralph Kennedy"/>
  </r>
  <r>
    <x v="1"/>
    <s v="Kelly Andreada"/>
  </r>
  <r>
    <x v="1"/>
    <s v="Yoseph Carroll"/>
  </r>
  <r>
    <x v="1"/>
    <s v="Eugene Barchas"/>
  </r>
  <r>
    <x v="1"/>
    <s v="Joni Blumstein"/>
  </r>
  <r>
    <x v="1"/>
    <s v="Xylona Preis"/>
  </r>
  <r>
    <x v="1"/>
    <s v="Jonathan Doherty"/>
  </r>
  <r>
    <x v="1"/>
    <s v="Karen Daniels"/>
  </r>
  <r>
    <x v="2"/>
    <s v="Cyma Kinney"/>
  </r>
  <r>
    <x v="2"/>
    <s v="Suzanne McNair"/>
  </r>
  <r>
    <x v="2"/>
    <s v="Karen Daniels"/>
  </r>
  <r>
    <x v="2"/>
    <s v="Odella Nelson"/>
  </r>
  <r>
    <x v="2"/>
    <s v="Raymond Buch"/>
  </r>
  <r>
    <x v="2"/>
    <s v="Barry Blumstein"/>
  </r>
  <r>
    <x v="2"/>
    <s v="Don Weiss"/>
  </r>
  <r>
    <x v="2"/>
    <s v="Thomas Boland"/>
  </r>
  <r>
    <x v="2"/>
    <s v="Frank Preis"/>
  </r>
  <r>
    <x v="2"/>
    <s v="Daniel Byrd"/>
  </r>
  <r>
    <x v="2"/>
    <s v="Muhammed Yedwab"/>
  </r>
  <r>
    <x v="2"/>
    <s v="Herbert Flentye"/>
  </r>
  <r>
    <x v="2"/>
    <s v="Chris McAfee"/>
  </r>
  <r>
    <x v="2"/>
    <s v="Jay Fein"/>
  </r>
  <r>
    <x v="2"/>
    <s v="Eugene Moren"/>
  </r>
  <r>
    <x v="2"/>
    <s v="Stephanie Ulpright"/>
  </r>
  <r>
    <x v="2"/>
    <s v="Nick Zandusky"/>
  </r>
  <r>
    <x v="2"/>
    <s v="Susan Gilcrest"/>
  </r>
  <r>
    <x v="2"/>
    <s v="Thomas Seio"/>
  </r>
  <r>
    <x v="2"/>
    <s v="Khloe Miller"/>
  </r>
  <r>
    <x v="2"/>
    <s v="Adam Bellavance"/>
  </r>
  <r>
    <x v="2"/>
    <s v="Cynthia Voltz"/>
  </r>
  <r>
    <x v="2"/>
    <s v="Dean Katz"/>
  </r>
  <r>
    <x v="2"/>
    <s v="Patrick Gardner"/>
  </r>
  <r>
    <x v="2"/>
    <s v="Joseph Airdo"/>
  </r>
  <r>
    <x v="2"/>
    <s v="Laurel Beltran"/>
  </r>
  <r>
    <x v="2"/>
    <s v="Brian DeCherney"/>
  </r>
  <r>
    <x v="2"/>
    <s v="Chris Cortes"/>
  </r>
  <r>
    <x v="2"/>
    <s v="Greg Matthias"/>
  </r>
  <r>
    <x v="2"/>
    <s v="Hunter Glantz"/>
  </r>
  <r>
    <x v="2"/>
    <s v="Jamie Kunitz"/>
  </r>
  <r>
    <x v="2"/>
    <s v="Katherine Murray"/>
  </r>
  <r>
    <x v="2"/>
    <s v="Cindy Schnelling"/>
  </r>
  <r>
    <x v="2"/>
    <s v="Xylona Preis"/>
  </r>
  <r>
    <x v="2"/>
    <s v="Gary Zandusky"/>
  </r>
  <r>
    <x v="2"/>
    <s v="Joel Eaton"/>
  </r>
  <r>
    <x v="2"/>
    <s v="Rick Duston"/>
  </r>
  <r>
    <x v="2"/>
    <s v="Allen Goldenen"/>
  </r>
  <r>
    <x v="2"/>
    <s v="Carl Ludwig"/>
  </r>
  <r>
    <x v="2"/>
    <s v="Shirley Jackson"/>
  </r>
  <r>
    <x v="2"/>
    <s v="Mike Vittorini"/>
  </r>
  <r>
    <x v="2"/>
    <s v="John Murray"/>
  </r>
  <r>
    <x v="2"/>
    <s v="Eva Jacobs"/>
  </r>
  <r>
    <x v="2"/>
    <s v="Jonathan Doherty"/>
  </r>
  <r>
    <x v="2"/>
    <s v="Fred Hopkins"/>
  </r>
  <r>
    <x v="2"/>
    <s v="Brendan Murry"/>
  </r>
  <r>
    <x v="2"/>
    <s v="Adrian Barton"/>
  </r>
  <r>
    <x v="2"/>
    <s v="Sanjit Engle"/>
  </r>
  <r>
    <x v="2"/>
    <s v="Noel Staavos"/>
  </r>
  <r>
    <x v="2"/>
    <s v="Denny Joy"/>
  </r>
  <r>
    <x v="2"/>
    <s v="Bryan Davis"/>
  </r>
  <r>
    <x v="2"/>
    <s v="Cindy Chapman"/>
  </r>
  <r>
    <x v="2"/>
    <s v="Dan Lawera"/>
  </r>
  <r>
    <x v="2"/>
    <s v="Adam Shillingsburg"/>
  </r>
  <r>
    <x v="2"/>
    <s v="Nick Radford"/>
  </r>
  <r>
    <x v="2"/>
    <s v="Edward Hooks"/>
  </r>
  <r>
    <x v="2"/>
    <s v="Karen Carlisle"/>
  </r>
  <r>
    <x v="2"/>
    <s v="George Bell"/>
  </r>
  <r>
    <x v="2"/>
    <s v="Katherine Hughes"/>
  </r>
  <r>
    <x v="2"/>
    <s v="Erin Ashbrook"/>
  </r>
  <r>
    <x v="2"/>
    <s v="Barry FranzÃ¶sisch"/>
  </r>
  <r>
    <x v="2"/>
    <s v="Sonia Sunley"/>
  </r>
  <r>
    <x v="2"/>
    <s v="Sam Zeldin"/>
  </r>
  <r>
    <x v="2"/>
    <s v="Rob Lucas"/>
  </r>
  <r>
    <x v="2"/>
    <s v="Tom Ashbrook"/>
  </r>
  <r>
    <x v="2"/>
    <s v="Joe Elijah"/>
  </r>
  <r>
    <x v="2"/>
    <s v="Toby Gnade"/>
  </r>
  <r>
    <x v="2"/>
    <s v="Ross DeVincentis"/>
  </r>
  <r>
    <x v="2"/>
    <s v="Becky Martin"/>
  </r>
  <r>
    <x v="2"/>
    <s v="Lena Radford"/>
  </r>
  <r>
    <x v="2"/>
    <s v="Tim Taslimi"/>
  </r>
  <r>
    <x v="2"/>
    <s v="Liz Preis"/>
  </r>
  <r>
    <x v="2"/>
    <s v="Tamara Chand"/>
  </r>
  <r>
    <x v="2"/>
    <s v="Mike Kennedy"/>
  </r>
  <r>
    <x v="2"/>
    <s v="Keith Dawkins"/>
  </r>
  <r>
    <x v="2"/>
    <s v="Deborah Brumfield"/>
  </r>
  <r>
    <x v="2"/>
    <s v="Jamie Frazer"/>
  </r>
  <r>
    <x v="2"/>
    <s v="Alan Schoenberger"/>
  </r>
  <r>
    <x v="2"/>
    <s v="Pauline Webber"/>
  </r>
  <r>
    <x v="2"/>
    <s v="Christine Abelman"/>
  </r>
  <r>
    <x v="2"/>
    <s v="Bill Overfelt"/>
  </r>
  <r>
    <x v="2"/>
    <s v="Liz Carlisle"/>
  </r>
  <r>
    <x v="2"/>
    <s v="Brosina Hoffman"/>
  </r>
  <r>
    <x v="2"/>
    <s v="Jason Gross"/>
  </r>
  <r>
    <x v="2"/>
    <s v="Craig Carreira"/>
  </r>
  <r>
    <x v="2"/>
    <s v="Theresa Swint"/>
  </r>
  <r>
    <x v="2"/>
    <s v="Alex Avila"/>
  </r>
  <r>
    <x v="2"/>
    <s v="Carlos Soltero"/>
  </r>
  <r>
    <x v="2"/>
    <s v="Zuschuss Donatelli"/>
  </r>
  <r>
    <x v="2"/>
    <s v="Steven Roelle"/>
  </r>
  <r>
    <x v="2"/>
    <s v="Christy Brittain"/>
  </r>
  <r>
    <x v="2"/>
    <s v="Susan MacKendrick"/>
  </r>
  <r>
    <x v="2"/>
    <s v="Christine Phan"/>
  </r>
  <r>
    <x v="2"/>
    <s v="Guy Thornton"/>
  </r>
  <r>
    <x v="2"/>
    <s v="Filia McAdams"/>
  </r>
  <r>
    <x v="2"/>
    <s v="Alex Grayson"/>
  </r>
  <r>
    <x v="2"/>
    <s v="Paul Knutson"/>
  </r>
  <r>
    <x v="2"/>
    <s v="Julie Kriz"/>
  </r>
  <r>
    <x v="2"/>
    <s v="Jennifer Jackson"/>
  </r>
  <r>
    <x v="2"/>
    <s v="Craig Yedwab"/>
  </r>
  <r>
    <x v="2"/>
    <s v="Rob Beeghly"/>
  </r>
  <r>
    <x v="2"/>
    <s v="Matt Hagelstein"/>
  </r>
  <r>
    <x v="2"/>
    <s v="Hunter Lopez"/>
  </r>
  <r>
    <x v="2"/>
    <s v="Emily Burns"/>
  </r>
  <r>
    <x v="2"/>
    <s v="Tracy Poddar"/>
  </r>
  <r>
    <x v="2"/>
    <s v="Clay Ludtke"/>
  </r>
  <r>
    <x v="2"/>
    <s v="Sarah Foster"/>
  </r>
  <r>
    <x v="2"/>
    <s v="Phillip Flathmann"/>
  </r>
  <r>
    <x v="2"/>
    <s v="Arthur Prichep"/>
  </r>
  <r>
    <x v="2"/>
    <s v="Patrick Jones"/>
  </r>
  <r>
    <x v="2"/>
    <s v="Natalie Webber"/>
  </r>
  <r>
    <x v="2"/>
    <s v="Julie Prescott"/>
  </r>
  <r>
    <x v="2"/>
    <s v="Emily Grady"/>
  </r>
  <r>
    <x v="2"/>
    <s v="Caroline Jumper"/>
  </r>
  <r>
    <x v="2"/>
    <s v="Neoma Murray"/>
  </r>
  <r>
    <x v="2"/>
    <s v="Michael Moore"/>
  </r>
  <r>
    <x v="2"/>
    <s v="Gary McGarr"/>
  </r>
  <r>
    <x v="2"/>
    <s v="Roger Demir"/>
  </r>
  <r>
    <x v="2"/>
    <s v="Erica Bern"/>
  </r>
  <r>
    <x v="2"/>
    <s v="Ben Peterman"/>
  </r>
  <r>
    <x v="2"/>
    <s v="Tracy Blumstein"/>
  </r>
  <r>
    <x v="2"/>
    <s v="Maribeth Schnelling"/>
  </r>
  <r>
    <x v="2"/>
    <s v="Jennifer Braxton"/>
  </r>
  <r>
    <x v="2"/>
    <s v="Michael Granlund"/>
  </r>
  <r>
    <x v="2"/>
    <s v="Randy Ferguson"/>
  </r>
  <r>
    <x v="2"/>
    <s v="Eleni McCrary"/>
  </r>
  <r>
    <x v="2"/>
    <s v="Maria Etezadi"/>
  </r>
  <r>
    <x v="2"/>
    <s v="Evan Henry"/>
  </r>
  <r>
    <x v="2"/>
    <s v="Becky Castell"/>
  </r>
  <r>
    <x v="2"/>
    <s v="Ken Lonsdale"/>
  </r>
  <r>
    <x v="2"/>
    <s v="Edward Nazzal"/>
  </r>
  <r>
    <x v="2"/>
    <s v="Anna Andreadi"/>
  </r>
  <r>
    <x v="2"/>
    <s v="Rick Bensley"/>
  </r>
  <r>
    <x v="2"/>
    <s v="Max Ludwig"/>
  </r>
  <r>
    <x v="2"/>
    <s v="Ralph Arnett"/>
  </r>
  <r>
    <x v="2"/>
    <s v="Linda Cazamias"/>
  </r>
  <r>
    <x v="2"/>
    <s v="Ivan Liston"/>
  </r>
  <r>
    <x v="2"/>
    <s v="Christina VanderZanden"/>
  </r>
  <r>
    <x v="2"/>
    <s v="Delfina Latchford"/>
  </r>
  <r>
    <x v="2"/>
    <s v="Roy Phan"/>
  </r>
  <r>
    <x v="2"/>
    <s v="Mick Brown"/>
  </r>
  <r>
    <x v="2"/>
    <s v="Jeremy Pistek"/>
  </r>
  <r>
    <x v="2"/>
    <s v="Ionia McGrath"/>
  </r>
  <r>
    <x v="2"/>
    <s v="Mary O'Rourke"/>
  </r>
  <r>
    <x v="2"/>
    <s v="Daniel Raglin"/>
  </r>
  <r>
    <x v="2"/>
    <s v="Melanie Seite"/>
  </r>
  <r>
    <x v="2"/>
    <s v="Anna HÃ¤berlin"/>
  </r>
  <r>
    <x v="2"/>
    <s v="Roy Collins"/>
  </r>
  <r>
    <x v="2"/>
    <s v="Alejandro Savely"/>
  </r>
  <r>
    <x v="2"/>
    <s v="Lisa Hazard"/>
  </r>
  <r>
    <x v="2"/>
    <s v="Thomas Thornton"/>
  </r>
  <r>
    <x v="2"/>
    <s v="Maureen Fritzler"/>
  </r>
  <r>
    <x v="2"/>
    <s v="Carl Weiss"/>
  </r>
  <r>
    <x v="2"/>
    <s v="Elpida Rittenbach"/>
  </r>
  <r>
    <x v="2"/>
    <s v="Sally Matthias"/>
  </r>
  <r>
    <x v="2"/>
    <s v="Ellis Ballard"/>
  </r>
  <r>
    <x v="2"/>
    <s v="Liz MacKendrick"/>
  </r>
  <r>
    <x v="2"/>
    <s v="Kean Takahito"/>
  </r>
  <r>
    <x v="2"/>
    <s v="Anthony Johnson"/>
  </r>
  <r>
    <x v="2"/>
    <s v="Paul Prost"/>
  </r>
  <r>
    <x v="2"/>
    <s v="Annie Zypern"/>
  </r>
  <r>
    <x v="2"/>
    <s v="Rob Williams"/>
  </r>
  <r>
    <x v="2"/>
    <s v="Gary Mitchum"/>
  </r>
  <r>
    <x v="2"/>
    <s v="Justin Hirsh"/>
  </r>
  <r>
    <x v="2"/>
    <s v="Natalie DeCherney"/>
  </r>
  <r>
    <x v="2"/>
    <s v="Barry Franz"/>
  </r>
  <r>
    <x v="2"/>
    <s v="Darrin Martin"/>
  </r>
  <r>
    <x v="2"/>
    <s v="Amy Hunt"/>
  </r>
  <r>
    <x v="2"/>
    <s v="Lindsay Williams"/>
  </r>
  <r>
    <x v="2"/>
    <s v="Joni Sundaresam"/>
  </r>
  <r>
    <x v="2"/>
    <s v="Janet Lee"/>
  </r>
  <r>
    <x v="2"/>
    <s v="Chloris Kastensmidt"/>
  </r>
  <r>
    <x v="2"/>
    <s v="Ken Brennan"/>
  </r>
  <r>
    <x v="2"/>
    <s v="Pete Kriz"/>
  </r>
  <r>
    <x v="2"/>
    <s v="Toby Ritter"/>
  </r>
  <r>
    <x v="2"/>
    <s v="Brad Eason"/>
  </r>
  <r>
    <x v="2"/>
    <s v="Anthony Rawles"/>
  </r>
  <r>
    <x v="2"/>
    <s v="Marina Lichtenstein"/>
  </r>
  <r>
    <x v="2"/>
    <s v="Jasper Cacioppo"/>
  </r>
  <r>
    <x v="2"/>
    <s v="Gary Hansen"/>
  </r>
  <r>
    <x v="2"/>
    <s v="Joseph Holt"/>
  </r>
  <r>
    <x v="2"/>
    <s v="Don Miller"/>
  </r>
  <r>
    <x v="2"/>
    <s v="Mark Van Huff"/>
  </r>
  <r>
    <x v="2"/>
    <s v="Pete Takahito"/>
  </r>
  <r>
    <x v="2"/>
    <s v="Maribeth Dona"/>
  </r>
  <r>
    <x v="2"/>
    <s v="Elizabeth Moffitt"/>
  </r>
  <r>
    <x v="2"/>
    <s v="Dean Braden"/>
  </r>
  <r>
    <x v="2"/>
    <s v="Fred Wasserman"/>
  </r>
  <r>
    <x v="2"/>
    <s v="Christopher Schild"/>
  </r>
  <r>
    <x v="2"/>
    <s v="Emily Phan"/>
  </r>
  <r>
    <x v="2"/>
    <s v="Michelle Arnett"/>
  </r>
  <r>
    <x v="2"/>
    <s v="Evan Bailliet"/>
  </r>
  <r>
    <x v="2"/>
    <s v="Nora Preis"/>
  </r>
  <r>
    <x v="2"/>
    <s v="Logan Haushalter"/>
  </r>
  <r>
    <x v="2"/>
    <s v="Liz Willingham"/>
  </r>
  <r>
    <x v="2"/>
    <s v="Irene Maddox"/>
  </r>
  <r>
    <x v="2"/>
    <s v="Justin Ellison"/>
  </r>
  <r>
    <x v="2"/>
    <s v="James Galang"/>
  </r>
  <r>
    <x v="2"/>
    <s v="Aleksandra Gannaway"/>
  </r>
  <r>
    <x v="2"/>
    <s v="Tony Chapman"/>
  </r>
  <r>
    <x v="2"/>
    <s v="Theone Pippenger"/>
  </r>
  <r>
    <x v="2"/>
    <s v="Mike Pelletier"/>
  </r>
  <r>
    <x v="2"/>
    <s v="Harold Engle"/>
  </r>
  <r>
    <x v="2"/>
    <s v="Karen Bern"/>
  </r>
  <r>
    <x v="2"/>
    <s v="Julia Barnett"/>
  </r>
  <r>
    <x v="2"/>
    <s v="Lena Cacioppo"/>
  </r>
  <r>
    <x v="2"/>
    <s v="Valerie Mitchum"/>
  </r>
  <r>
    <x v="2"/>
    <s v="Art Ferguson"/>
  </r>
  <r>
    <x v="2"/>
    <s v="Gene McClure"/>
  </r>
  <r>
    <x v="2"/>
    <s v="Dave Brooks"/>
  </r>
  <r>
    <x v="2"/>
    <s v="Scot Coram"/>
  </r>
  <r>
    <x v="2"/>
    <s v="Clytie Kelty"/>
  </r>
  <r>
    <x v="2"/>
    <s v="Ross Baird"/>
  </r>
  <r>
    <x v="2"/>
    <s v="Vivek Gonzalez"/>
  </r>
  <r>
    <x v="2"/>
    <s v="Karl Braun"/>
  </r>
  <r>
    <x v="2"/>
    <s v="Bruce Geld"/>
  </r>
  <r>
    <x v="2"/>
    <s v="Yoseph Carroll"/>
  </r>
  <r>
    <x v="2"/>
    <s v="Jonathan Howell"/>
  </r>
  <r>
    <x v="2"/>
    <s v="Lindsay Shagiari"/>
  </r>
  <r>
    <x v="2"/>
    <s v="Kelly Lampkin"/>
  </r>
  <r>
    <x v="2"/>
    <s v="Greg Guthrie"/>
  </r>
  <r>
    <x v="2"/>
    <s v="Greg Tran"/>
  </r>
  <r>
    <x v="2"/>
    <s v="Dave Poirier"/>
  </r>
  <r>
    <x v="2"/>
    <s v="Anne Pryor"/>
  </r>
  <r>
    <x v="2"/>
    <s v="Dianna Wilson"/>
  </r>
  <r>
    <x v="2"/>
    <s v="Christina Anderson"/>
  </r>
  <r>
    <x v="2"/>
    <s v="Bobby Elias"/>
  </r>
  <r>
    <x v="2"/>
    <s v="Ed Braxton"/>
  </r>
  <r>
    <x v="2"/>
    <s v="Dorris liebe"/>
  </r>
  <r>
    <x v="2"/>
    <s v="Erin Smith"/>
  </r>
  <r>
    <x v="2"/>
    <s v="Alan Shonely"/>
  </r>
  <r>
    <x v="2"/>
    <s v="Frank Merwin"/>
  </r>
  <r>
    <x v="2"/>
    <s v="Roy Skaria"/>
  </r>
  <r>
    <x v="2"/>
    <s v="Steve Chapman"/>
  </r>
  <r>
    <x v="2"/>
    <s v="Raymond Messe"/>
  </r>
  <r>
    <x v="2"/>
    <s v="Christopher Conant"/>
  </r>
  <r>
    <x v="2"/>
    <s v="Chad Cunningham"/>
  </r>
  <r>
    <x v="2"/>
    <s v="Max Jones"/>
  </r>
  <r>
    <x v="2"/>
    <s v="Dorothy Wardle"/>
  </r>
  <r>
    <x v="2"/>
    <s v="Tim Brockman"/>
  </r>
  <r>
    <x v="2"/>
    <s v="Dionis Lloyd"/>
  </r>
  <r>
    <x v="2"/>
    <s v="Arthur Wiediger"/>
  </r>
  <r>
    <x v="2"/>
    <s v="Mick Crebagga"/>
  </r>
  <r>
    <x v="2"/>
    <s v="Eudokia Martin"/>
  </r>
  <r>
    <x v="2"/>
    <s v="Claudia Bergmann"/>
  </r>
  <r>
    <x v="2"/>
    <s v="Denise Monton"/>
  </r>
  <r>
    <x v="2"/>
    <s v="Penelope Sewall"/>
  </r>
  <r>
    <x v="2"/>
    <s v="Luke Weiss"/>
  </r>
  <r>
    <x v="2"/>
    <s v="Michael Chen"/>
  </r>
  <r>
    <x v="2"/>
    <s v="Lisa DeCherney"/>
  </r>
  <r>
    <x v="2"/>
    <s v="Jack O'Briant"/>
  </r>
  <r>
    <x v="2"/>
    <s v="Vivek Sundaresam"/>
  </r>
  <r>
    <x v="2"/>
    <s v="Cathy Hwang"/>
  </r>
  <r>
    <x v="2"/>
    <s v="Mark Haberlin"/>
  </r>
  <r>
    <x v="2"/>
    <s v="Zuschuss Carroll"/>
  </r>
  <r>
    <x v="2"/>
    <s v="Giulietta Baptist"/>
  </r>
  <r>
    <x v="2"/>
    <s v="Sanjit Jacobs"/>
  </r>
  <r>
    <x v="2"/>
    <s v="Stephanie Phelps"/>
  </r>
  <r>
    <x v="2"/>
    <s v="Jeremy Lonsdale"/>
  </r>
  <r>
    <x v="2"/>
    <s v="Logan Currie"/>
  </r>
  <r>
    <x v="2"/>
    <s v="Eugene Hildebrand"/>
  </r>
  <r>
    <x v="2"/>
    <s v="Christine Kargatis"/>
  </r>
  <r>
    <x v="2"/>
    <s v="Trudy Brown"/>
  </r>
  <r>
    <x v="2"/>
    <s v="Thea Hudgings"/>
  </r>
  <r>
    <x v="2"/>
    <s v="Jill Fjeld"/>
  </r>
  <r>
    <x v="2"/>
    <s v="Corinna Mitchell"/>
  </r>
  <r>
    <x v="2"/>
    <s v="Cathy Armstrong"/>
  </r>
  <r>
    <x v="2"/>
    <s v="Charles Crestani"/>
  </r>
  <r>
    <x v="2"/>
    <s v="Anna Gayman"/>
  </r>
  <r>
    <x v="2"/>
    <s v="Michael Grace"/>
  </r>
  <r>
    <x v="2"/>
    <s v="Ken Black"/>
  </r>
  <r>
    <x v="2"/>
    <s v="Jill Matthias"/>
  </r>
  <r>
    <x v="2"/>
    <s v="Pauline Johnson"/>
  </r>
  <r>
    <x v="2"/>
    <s v="Bart Watters"/>
  </r>
  <r>
    <x v="2"/>
    <s v="Peter McVee"/>
  </r>
  <r>
    <x v="2"/>
    <s v="Doug Bickford"/>
  </r>
  <r>
    <x v="2"/>
    <s v="Claire Gute"/>
  </r>
  <r>
    <x v="2"/>
    <s v="Gene Hale"/>
  </r>
  <r>
    <x v="2"/>
    <s v="Quincy Jones"/>
  </r>
  <r>
    <x v="2"/>
    <s v="Stefania Perrino"/>
  </r>
  <r>
    <x v="2"/>
    <s v="Lena Hernandez"/>
  </r>
  <r>
    <x v="2"/>
    <s v="Arthur Gainer"/>
  </r>
  <r>
    <x v="2"/>
    <s v="Laura Armstrong"/>
  </r>
  <r>
    <x v="2"/>
    <s v="Justin Ritter"/>
  </r>
  <r>
    <x v="2"/>
    <s v="Pamela Stobb"/>
  </r>
  <r>
    <x v="2"/>
    <s v="Edward Becker"/>
  </r>
  <r>
    <x v="2"/>
    <s v="Sean Wendt"/>
  </r>
  <r>
    <x v="2"/>
    <s v="Julia West"/>
  </r>
  <r>
    <x v="2"/>
    <s v="Paul Stevenson"/>
  </r>
  <r>
    <x v="2"/>
    <s v="Ricardo Sperren"/>
  </r>
  <r>
    <x v="2"/>
    <s v="Thea Hendricks"/>
  </r>
  <r>
    <x v="2"/>
    <s v="Toby Carlisle"/>
  </r>
  <r>
    <x v="2"/>
    <s v="Benjamin Farhat"/>
  </r>
  <r>
    <x v="2"/>
    <s v="Helen Andreada"/>
  </r>
  <r>
    <x v="2"/>
    <s v="Troy Staebel"/>
  </r>
  <r>
    <x v="2"/>
    <s v="Annie Thurman"/>
  </r>
  <r>
    <x v="2"/>
    <s v="Michael Paige"/>
  </r>
  <r>
    <x v="2"/>
    <s v="Sibella Parks"/>
  </r>
  <r>
    <x v="2"/>
    <s v="Maria Zettner"/>
  </r>
  <r>
    <x v="2"/>
    <s v="Philip Fox"/>
  </r>
  <r>
    <x v="2"/>
    <s v="Fred McMath"/>
  </r>
  <r>
    <x v="2"/>
    <s v="Damala Kotsonis"/>
  </r>
  <r>
    <x v="2"/>
    <s v="Paul MacIntyre"/>
  </r>
  <r>
    <x v="2"/>
    <s v="Joy Bell-"/>
  </r>
  <r>
    <x v="2"/>
    <s v="Karen Ferguson"/>
  </r>
  <r>
    <x v="2"/>
    <s v="Rick Huthwaite"/>
  </r>
  <r>
    <x v="2"/>
    <s v="Maya Herman"/>
  </r>
  <r>
    <x v="2"/>
    <s v="Brian Thompson"/>
  </r>
  <r>
    <x v="2"/>
    <s v="Olvera Toch"/>
  </r>
  <r>
    <x v="2"/>
    <s v="Allen Armold"/>
  </r>
  <r>
    <x v="2"/>
    <s v="Parhena Norris"/>
  </r>
  <r>
    <x v="2"/>
    <s v="Catherine Glotzbach"/>
  </r>
  <r>
    <x v="2"/>
    <s v="Kean Thornton"/>
  </r>
  <r>
    <x v="2"/>
    <s v="Dianna Vittorini"/>
  </r>
  <r>
    <x v="2"/>
    <s v="Corey Catlett"/>
  </r>
  <r>
    <x v="2"/>
    <s v="William Brown"/>
  </r>
  <r>
    <x v="2"/>
    <s v="Pamela Coakley"/>
  </r>
  <r>
    <x v="2"/>
    <s v="Chuck Clark"/>
  </r>
  <r>
    <x v="2"/>
    <s v="Debra Catini"/>
  </r>
  <r>
    <x v="2"/>
    <s v="Art Foster"/>
  </r>
  <r>
    <x v="2"/>
    <s v="Maxwell Schwartz"/>
  </r>
  <r>
    <x v="2"/>
    <s v="Kalyca Meade"/>
  </r>
  <r>
    <x v="2"/>
    <s v="Sally Hughsby"/>
  </r>
  <r>
    <x v="2"/>
    <s v="Arianne Irving"/>
  </r>
  <r>
    <x v="2"/>
    <s v="Ben Ferrer"/>
  </r>
  <r>
    <x v="2"/>
    <s v="Rose O'Brian"/>
  </r>
  <r>
    <x v="2"/>
    <s v="Seth Vernon"/>
  </r>
  <r>
    <x v="2"/>
    <s v="Aaron Bergman"/>
  </r>
  <r>
    <x v="2"/>
    <s v="Scott Williamson"/>
  </r>
  <r>
    <x v="2"/>
    <s v="Mark Hamilton"/>
  </r>
  <r>
    <x v="2"/>
    <s v="Sara Luxemburg"/>
  </r>
  <r>
    <x v="2"/>
    <s v="Deanra Eno"/>
  </r>
  <r>
    <x v="2"/>
    <s v="Mark Packer"/>
  </r>
  <r>
    <x v="2"/>
    <s v="Phillip Breyer"/>
  </r>
  <r>
    <x v="2"/>
    <s v="Brad Thomas"/>
  </r>
  <r>
    <x v="2"/>
    <s v="Ted Trevino"/>
  </r>
  <r>
    <x v="2"/>
    <s v="Mary Zewe"/>
  </r>
  <r>
    <x v="2"/>
    <s v="Erica Smith"/>
  </r>
  <r>
    <x v="2"/>
    <s v="Michelle Tran"/>
  </r>
  <r>
    <x v="2"/>
    <s v="Kelly Collister"/>
  </r>
  <r>
    <x v="2"/>
    <s v="Giulietta Dortch"/>
  </r>
  <r>
    <x v="2"/>
    <s v="Eugene Barchas"/>
  </r>
  <r>
    <x v="2"/>
    <s v="Ryan Crowe"/>
  </r>
  <r>
    <x v="2"/>
    <s v="Brenda Bowman"/>
  </r>
  <r>
    <x v="2"/>
    <s v="Berenike Kampe"/>
  </r>
  <r>
    <x v="2"/>
    <s v="Liz Pelletier"/>
  </r>
  <r>
    <x v="2"/>
    <s v="Sung Chung"/>
  </r>
  <r>
    <x v="2"/>
    <s v="Janet Molinari"/>
  </r>
  <r>
    <x v="2"/>
    <s v="Cynthia Arntzen"/>
  </r>
  <r>
    <x v="2"/>
    <s v="John Stevenson"/>
  </r>
  <r>
    <x v="2"/>
    <s v="Mike Caudle"/>
  </r>
  <r>
    <x v="2"/>
    <s v="Scot Wooten"/>
  </r>
  <r>
    <x v="2"/>
    <s v="Brian Dahlen"/>
  </r>
  <r>
    <x v="2"/>
    <s v="Beth Paige"/>
  </r>
  <r>
    <x v="2"/>
    <s v="Jason Fortune-"/>
  </r>
  <r>
    <x v="2"/>
    <s v="Vivek Grady"/>
  </r>
  <r>
    <x v="2"/>
    <s v="Harry Marie"/>
  </r>
  <r>
    <x v="2"/>
    <s v="Vivian Mathis"/>
  </r>
  <r>
    <x v="2"/>
    <s v="Darrin Van Huff"/>
  </r>
  <r>
    <x v="2"/>
    <s v="Stewart Carmichael"/>
  </r>
  <r>
    <x v="2"/>
    <s v="Steven Cartwright"/>
  </r>
  <r>
    <x v="2"/>
    <s v="Philisse Overcash"/>
  </r>
  <r>
    <x v="2"/>
    <s v="Craig Reiter"/>
  </r>
  <r>
    <x v="2"/>
    <s v="Kristen Hastings"/>
  </r>
  <r>
    <x v="2"/>
    <s v="Matt Collister"/>
  </r>
  <r>
    <x v="2"/>
    <s v="Maurice Satty"/>
  </r>
  <r>
    <x v="2"/>
    <s v="Frank Hawley"/>
  </r>
  <r>
    <x v="2"/>
    <s v="Susan Pistek"/>
  </r>
  <r>
    <x v="2"/>
    <s v="Jim Mitchum"/>
  </r>
  <r>
    <x v="2"/>
    <s v="Matthew Grinstein"/>
  </r>
  <r>
    <x v="2"/>
    <s v="Erin Creighton"/>
  </r>
  <r>
    <x v="2"/>
    <s v="Roy FranzÃ¶sisch"/>
  </r>
  <r>
    <x v="3"/>
    <s v="Guy Armstrong"/>
  </r>
  <r>
    <x v="3"/>
    <s v="Steven Cartwright"/>
  </r>
  <r>
    <x v="3"/>
    <s v="Dennis Pardue"/>
  </r>
  <r>
    <x v="3"/>
    <s v="Janet Martin"/>
  </r>
  <r>
    <x v="3"/>
    <s v="Adam Shillingsburg"/>
  </r>
  <r>
    <x v="3"/>
    <s v="Maribeth Schnelling"/>
  </r>
  <r>
    <x v="3"/>
    <s v="Nick Crebassa"/>
  </r>
  <r>
    <x v="3"/>
    <s v="John Castell"/>
  </r>
  <r>
    <x v="3"/>
    <s v="Barry FranzÃ¶sisch"/>
  </r>
  <r>
    <x v="3"/>
    <s v="George Bell"/>
  </r>
  <r>
    <x v="3"/>
    <s v="Sanjit Jacobs"/>
  </r>
  <r>
    <x v="3"/>
    <s v="Caroline Jumper"/>
  </r>
  <r>
    <x v="3"/>
    <s v="Arthur Gainer"/>
  </r>
  <r>
    <x v="3"/>
    <s v="Barry Blumstein"/>
  </r>
  <r>
    <x v="3"/>
    <s v="Fred Harton"/>
  </r>
  <r>
    <x v="3"/>
    <s v="Cynthia Voltz"/>
  </r>
  <r>
    <x v="3"/>
    <s v="Barry Weirich"/>
  </r>
  <r>
    <x v="3"/>
    <s v="Helen Wasserman"/>
  </r>
  <r>
    <x v="3"/>
    <s v="Karen Ferguson"/>
  </r>
  <r>
    <x v="3"/>
    <s v="Annie Thurman"/>
  </r>
  <r>
    <x v="3"/>
    <s v="Larry Hughes"/>
  </r>
  <r>
    <x v="3"/>
    <s v="Aaron Smayling"/>
  </r>
  <r>
    <x v="3"/>
    <s v="Heather Kirkland"/>
  </r>
  <r>
    <x v="3"/>
    <s v="Eric Murdock"/>
  </r>
  <r>
    <x v="3"/>
    <s v="Bradley Nguyen"/>
  </r>
  <r>
    <x v="3"/>
    <s v="Sung Shariari"/>
  </r>
  <r>
    <x v="3"/>
    <s v="Christine Kargatis"/>
  </r>
  <r>
    <x v="3"/>
    <s v="Cynthia Arntzen"/>
  </r>
  <r>
    <x v="3"/>
    <s v="Rick Wilson"/>
  </r>
  <r>
    <x v="3"/>
    <s v="Ken Heidel"/>
  </r>
  <r>
    <x v="3"/>
    <s v="Ellis Ballard"/>
  </r>
  <r>
    <x v="3"/>
    <s v="Neola Schneider"/>
  </r>
  <r>
    <x v="3"/>
    <s v="Corinna Mitchell"/>
  </r>
  <r>
    <x v="3"/>
    <s v="Dave Kipp"/>
  </r>
  <r>
    <x v="3"/>
    <s v="Tanja Norvell"/>
  </r>
  <r>
    <x v="3"/>
    <s v="Sarah Foster"/>
  </r>
  <r>
    <x v="3"/>
    <s v="Sandra Flanagan"/>
  </r>
  <r>
    <x v="3"/>
    <s v="Joseph Holt"/>
  </r>
  <r>
    <x v="3"/>
    <s v="Craig Carreira"/>
  </r>
  <r>
    <x v="3"/>
    <s v="Dianna Vittorini"/>
  </r>
  <r>
    <x v="3"/>
    <s v="Erica Hernandez"/>
  </r>
  <r>
    <x v="3"/>
    <s v="Sarah Jordon"/>
  </r>
  <r>
    <x v="3"/>
    <s v="Clay Cheatham"/>
  </r>
  <r>
    <x v="3"/>
    <s v="Ralph Arnett"/>
  </r>
  <r>
    <x v="3"/>
    <s v="Alan Dominguez"/>
  </r>
  <r>
    <x v="3"/>
    <s v="Matthew Grinstein"/>
  </r>
  <r>
    <x v="3"/>
    <s v="Maribeth Yedwab"/>
  </r>
  <r>
    <x v="3"/>
    <s v="Sean O'Donnell"/>
  </r>
  <r>
    <x v="3"/>
    <s v="Sally Hughsby"/>
  </r>
  <r>
    <x v="3"/>
    <s v="Max Ludwig"/>
  </r>
  <r>
    <x v="3"/>
    <s v="Sean Christensen"/>
  </r>
  <r>
    <x v="3"/>
    <s v="Trudy Schmidt"/>
  </r>
  <r>
    <x v="3"/>
    <s v="Fred Wasserman"/>
  </r>
  <r>
    <x v="3"/>
    <s v="Dorothy Wardle"/>
  </r>
  <r>
    <x v="3"/>
    <s v="John Lee"/>
  </r>
  <r>
    <x v="3"/>
    <s v="Bill Overfelt"/>
  </r>
  <r>
    <x v="3"/>
    <s v="Stewart Carmichael"/>
  </r>
  <r>
    <x v="3"/>
    <s v="Dorothy Badders"/>
  </r>
  <r>
    <x v="3"/>
    <s v="Joseph Airdo"/>
  </r>
  <r>
    <x v="3"/>
    <s v="Ken Dana"/>
  </r>
  <r>
    <x v="3"/>
    <s v="Roland Schwarz"/>
  </r>
  <r>
    <x v="3"/>
    <s v="Jamie Frazer"/>
  </r>
  <r>
    <x v="3"/>
    <s v="Tony Chapman"/>
  </r>
  <r>
    <x v="3"/>
    <s v="Alyssa Tate"/>
  </r>
  <r>
    <x v="3"/>
    <s v="Amy Hunt"/>
  </r>
  <r>
    <x v="3"/>
    <s v="Elizabeth Moffitt"/>
  </r>
  <r>
    <x v="3"/>
    <s v="Dorothy Dickinson"/>
  </r>
  <r>
    <x v="3"/>
    <s v="Alejandro Ballentine"/>
  </r>
  <r>
    <x v="3"/>
    <s v="Denny Ordway"/>
  </r>
  <r>
    <x v="3"/>
    <s v="Cari Schnelling"/>
  </r>
  <r>
    <x v="3"/>
    <s v="John Dryer"/>
  </r>
  <r>
    <x v="3"/>
    <s v="Adrian Hane"/>
  </r>
  <r>
    <x v="3"/>
    <s v="Dorris liebe"/>
  </r>
  <r>
    <x v="3"/>
    <s v="Bill Eplett"/>
  </r>
  <r>
    <x v="3"/>
    <s v="Ralph Kennedy"/>
  </r>
  <r>
    <x v="3"/>
    <s v="Phillip Flathmann"/>
  </r>
  <r>
    <x v="3"/>
    <s v="Ann Chong"/>
  </r>
  <r>
    <x v="3"/>
    <s v="Anthony Witt"/>
  </r>
  <r>
    <x v="3"/>
    <s v="Ted Butterfield"/>
  </r>
  <r>
    <x v="3"/>
    <s v="Jill Stevenson"/>
  </r>
  <r>
    <x v="3"/>
    <s v="Mick Crebagga"/>
  </r>
  <r>
    <x v="3"/>
    <s v="Janet Lee"/>
  </r>
  <r>
    <x v="3"/>
    <s v="Stephanie Ulpright"/>
  </r>
  <r>
    <x v="3"/>
    <s v="Alan Hwang"/>
  </r>
  <r>
    <x v="3"/>
    <s v="Luke Weiss"/>
  </r>
  <r>
    <x v="3"/>
    <s v="Marc Harrigan"/>
  </r>
  <r>
    <x v="3"/>
    <s v="Roland Fjeld"/>
  </r>
  <r>
    <x v="3"/>
    <s v="Becky Pak"/>
  </r>
  <r>
    <x v="3"/>
    <s v="Rob Williams"/>
  </r>
  <r>
    <x v="3"/>
    <s v="Frank Gastineau"/>
  </r>
  <r>
    <x v="3"/>
    <s v="Paul Van Hugh"/>
  </r>
  <r>
    <x v="3"/>
    <s v="Dean percer"/>
  </r>
  <r>
    <x v="3"/>
    <s v="Jane Waco"/>
  </r>
  <r>
    <x v="3"/>
    <s v="Juliana Krohn"/>
  </r>
  <r>
    <x v="3"/>
    <s v="Chad McGuire"/>
  </r>
  <r>
    <x v="3"/>
    <s v="Steve Chapman"/>
  </r>
  <r>
    <x v="3"/>
    <s v="Kalyca Meade"/>
  </r>
  <r>
    <x v="3"/>
    <s v="Nancy Lomonaco"/>
  </r>
  <r>
    <x v="3"/>
    <s v="Thomas Boland"/>
  </r>
  <r>
    <x v="3"/>
    <s v="Thea Hudgings"/>
  </r>
  <r>
    <x v="3"/>
    <s v="Joy Bell-"/>
  </r>
  <r>
    <x v="3"/>
    <s v="Anthony Rawles"/>
  </r>
  <r>
    <x v="3"/>
    <s v="Cindy Stewart"/>
  </r>
  <r>
    <x v="3"/>
    <s v="Greg Guthrie"/>
  </r>
  <r>
    <x v="3"/>
    <s v="Nora Paige"/>
  </r>
  <r>
    <x v="3"/>
    <s v="Sharelle Roach"/>
  </r>
  <r>
    <x v="3"/>
    <s v="Barry Gonzalez"/>
  </r>
  <r>
    <x v="3"/>
    <s v="Victoria Wilson"/>
  </r>
  <r>
    <x v="3"/>
    <s v="Joy Smith"/>
  </r>
  <r>
    <x v="3"/>
    <s v="Michael Kennedy"/>
  </r>
  <r>
    <x v="3"/>
    <s v="Alice McCarthy"/>
  </r>
  <r>
    <x v="3"/>
    <s v="Daniel Byrd"/>
  </r>
  <r>
    <x v="3"/>
    <s v="Giulietta Weimer"/>
  </r>
  <r>
    <x v="3"/>
    <s v="Brenda Bowman"/>
  </r>
  <r>
    <x v="3"/>
    <s v="Max Engle"/>
  </r>
  <r>
    <x v="3"/>
    <s v="Roy Phan"/>
  </r>
  <r>
    <x v="3"/>
    <s v="Bill Stewart"/>
  </r>
  <r>
    <x v="3"/>
    <s v="Susan Vittorini"/>
  </r>
  <r>
    <x v="3"/>
    <s v="Erin Smith"/>
  </r>
  <r>
    <x v="3"/>
    <s v="Kunst Miller"/>
  </r>
  <r>
    <x v="3"/>
    <s v="Delfina Latchford"/>
  </r>
  <r>
    <x v="3"/>
    <s v="Christopher Martinez"/>
  </r>
  <r>
    <x v="3"/>
    <s v="Matt Collins"/>
  </r>
  <r>
    <x v="3"/>
    <s v="Shahid Collister"/>
  </r>
  <r>
    <x v="3"/>
    <s v="Ross DeVincentis"/>
  </r>
  <r>
    <x v="3"/>
    <s v="Liz Preis"/>
  </r>
  <r>
    <x v="3"/>
    <s v="Richard Eichhorn"/>
  </r>
  <r>
    <x v="3"/>
    <s v="Emily Phan"/>
  </r>
  <r>
    <x v="3"/>
    <s v="Ed Jacobs"/>
  </r>
  <r>
    <x v="3"/>
    <s v="Bill Tyler"/>
  </r>
  <r>
    <x v="3"/>
    <s v="Katherine Hughes"/>
  </r>
  <r>
    <x v="3"/>
    <s v="Sue Ann Reed"/>
  </r>
  <r>
    <x v="3"/>
    <s v="Darren Budd"/>
  </r>
  <r>
    <x v="3"/>
    <s v="Mike Kennedy"/>
  </r>
  <r>
    <x v="3"/>
    <s v="Giulietta Dortch"/>
  </r>
  <r>
    <x v="3"/>
    <s v="Saphhira Shifley"/>
  </r>
  <r>
    <x v="3"/>
    <s v="Nick Radford"/>
  </r>
  <r>
    <x v="3"/>
    <s v="Katherine Nockton"/>
  </r>
  <r>
    <x v="3"/>
    <s v="Meg O'Connel"/>
  </r>
  <r>
    <x v="3"/>
    <s v="Chuck Sachs"/>
  </r>
  <r>
    <x v="3"/>
    <s v="Yana Sorensen"/>
  </r>
  <r>
    <x v="3"/>
    <s v="Rob Dowd"/>
  </r>
  <r>
    <x v="3"/>
    <s v="Frank Hawley"/>
  </r>
  <r>
    <x v="3"/>
    <s v="Christina Anderson"/>
  </r>
  <r>
    <x v="3"/>
    <s v="Sam Zeldin"/>
  </r>
  <r>
    <x v="3"/>
    <s v="Jim Kriz"/>
  </r>
  <r>
    <x v="3"/>
    <s v="Frank Merwin"/>
  </r>
  <r>
    <x v="3"/>
    <s v="Maria Bertelson"/>
  </r>
  <r>
    <x v="3"/>
    <s v="Michael Oakman"/>
  </r>
  <r>
    <x v="3"/>
    <s v="Tony Sayre"/>
  </r>
  <r>
    <x v="3"/>
    <s v="Charlotte Melton"/>
  </r>
  <r>
    <x v="3"/>
    <s v="Bruce Degenhardt"/>
  </r>
  <r>
    <x v="3"/>
    <s v="George Ashbrook"/>
  </r>
  <r>
    <x v="3"/>
    <s v="Adrian Barton"/>
  </r>
  <r>
    <x v="3"/>
    <s v="Scot Coram"/>
  </r>
  <r>
    <x v="3"/>
    <s v="Arthur Prichep"/>
  </r>
  <r>
    <x v="3"/>
    <s v="Aleksandra Gannaway"/>
  </r>
  <r>
    <x v="3"/>
    <s v="Sample Company A"/>
  </r>
  <r>
    <x v="3"/>
    <s v="Katrina Bavinger"/>
  </r>
  <r>
    <x v="3"/>
    <s v="Joe Kamberova"/>
  </r>
  <r>
    <x v="3"/>
    <s v="Muhammed Yedwab"/>
  </r>
  <r>
    <x v="3"/>
    <s v="Amy Cox"/>
  </r>
  <r>
    <x v="3"/>
    <s v="Hunter Lopez"/>
  </r>
  <r>
    <x v="3"/>
    <s v="Patrick O'Brill"/>
  </r>
  <r>
    <x v="3"/>
    <s v="Chuck Clark"/>
  </r>
  <r>
    <x v="3"/>
    <s v="Laurel Workman"/>
  </r>
  <r>
    <x v="3"/>
    <s v="Don Jones"/>
  </r>
  <r>
    <x v="3"/>
    <s v="Kimberly Carter"/>
  </r>
  <r>
    <x v="3"/>
    <s v="Julie Creighton"/>
  </r>
  <r>
    <x v="3"/>
    <s v="Denise Leinenbach"/>
  </r>
  <r>
    <x v="3"/>
    <s v="Daniel Lacy"/>
  </r>
  <r>
    <x v="3"/>
    <s v="Darrin Martin"/>
  </r>
  <r>
    <x v="3"/>
    <s v="Eva Jacobs"/>
  </r>
  <r>
    <x v="3"/>
    <s v="Patrick Jones"/>
  </r>
  <r>
    <x v="3"/>
    <s v="Paul Gonzalez"/>
  </r>
  <r>
    <x v="3"/>
    <s v="Beth Fritzler"/>
  </r>
  <r>
    <x v="3"/>
    <s v="Peter BÃ¼hler"/>
  </r>
  <r>
    <x v="3"/>
    <s v="Clay Rozendal"/>
  </r>
  <r>
    <x v="3"/>
    <s v="Justin MacKendrick"/>
  </r>
  <r>
    <x v="3"/>
    <s v="Jack O'Briant"/>
  </r>
  <r>
    <x v="3"/>
    <s v="Bruce Geld"/>
  </r>
  <r>
    <x v="3"/>
    <s v="Toby Carlisle"/>
  </r>
  <r>
    <x v="3"/>
    <s v="Natalie DeCherney"/>
  </r>
  <r>
    <x v="3"/>
    <s v="Mark Van Huff"/>
  </r>
  <r>
    <x v="3"/>
    <s v="Lena Cacioppo"/>
  </r>
  <r>
    <x v="3"/>
    <s v="Jay Fein"/>
  </r>
  <r>
    <x v="3"/>
    <s v="Sung Pak"/>
  </r>
  <r>
    <x v="3"/>
    <s v="Darren Powers"/>
  </r>
  <r>
    <x v="3"/>
    <s v="Tonja Turnell"/>
  </r>
  <r>
    <x v="3"/>
    <s v="Anne McFarland"/>
  </r>
  <r>
    <x v="3"/>
    <s v="Darrin Sayre"/>
  </r>
  <r>
    <x v="3"/>
    <s v="Penelope Sewall"/>
  </r>
  <r>
    <x v="3"/>
    <s v="Tom Ashbrook"/>
  </r>
  <r>
    <x v="3"/>
    <s v="Lindsay Williams"/>
  </r>
  <r>
    <x v="3"/>
    <s v="Shahid Hopkins"/>
  </r>
  <r>
    <x v="3"/>
    <s v="Chris Cortes"/>
  </r>
  <r>
    <x v="3"/>
    <s v="Dan Campbell"/>
  </r>
  <r>
    <x v="3"/>
    <s v="Carol Triggs"/>
  </r>
  <r>
    <x v="3"/>
    <s v="Michelle Lonsdale"/>
  </r>
  <r>
    <x v="3"/>
    <s v="Erin Mull"/>
  </r>
  <r>
    <x v="3"/>
    <s v="Harry Marie"/>
  </r>
  <r>
    <x v="3"/>
    <s v="Aimee Bixby"/>
  </r>
  <r>
    <x v="3"/>
    <s v="Greg Maxwell"/>
  </r>
  <r>
    <x v="3"/>
    <s v="Maribeth Dona"/>
  </r>
  <r>
    <x v="3"/>
    <s v="Michael Moore"/>
  </r>
  <r>
    <x v="3"/>
    <s v="Tiffany House"/>
  </r>
  <r>
    <x v="3"/>
    <s v="Pete Kriz"/>
  </r>
  <r>
    <x v="3"/>
    <s v="Vivian Mathis"/>
  </r>
  <r>
    <x v="3"/>
    <s v="Doug O'Connell"/>
  </r>
  <r>
    <x v="3"/>
    <s v="Julie Kriz"/>
  </r>
  <r>
    <x v="3"/>
    <s v="Paul Stevenson"/>
  </r>
  <r>
    <x v="3"/>
    <s v="Grant Thornton"/>
  </r>
  <r>
    <x v="3"/>
    <s v="James Lanier"/>
  </r>
  <r>
    <x v="3"/>
    <s v="Kelly Lampkin"/>
  </r>
  <r>
    <x v="3"/>
    <s v="Henry Goldwyn"/>
  </r>
  <r>
    <x v="3"/>
    <s v="Katherine Murray"/>
  </r>
  <r>
    <x v="3"/>
    <s v="Charles McCrossin"/>
  </r>
  <r>
    <x v="3"/>
    <s v="Darrin Van Huff"/>
  </r>
  <r>
    <x v="3"/>
    <s v="Michael Stewart"/>
  </r>
  <r>
    <x v="3"/>
    <s v="Christy Brittain"/>
  </r>
  <r>
    <x v="3"/>
    <s v="Theone Pippenger"/>
  </r>
  <r>
    <x v="3"/>
    <s v="Lena Radford"/>
  </r>
  <r>
    <x v="3"/>
    <s v="Larry Tron"/>
  </r>
  <r>
    <x v="3"/>
    <s v="Chris Selesnick"/>
  </r>
  <r>
    <x v="3"/>
    <s v="Katrina Edelman"/>
  </r>
  <r>
    <x v="3"/>
    <s v="Cassandra Brandow"/>
  </r>
  <r>
    <x v="3"/>
    <s v="Fred Chung"/>
  </r>
  <r>
    <x v="3"/>
    <s v="Julia Dunbar"/>
  </r>
  <r>
    <x v="3"/>
    <s v="Claudia Bergmann"/>
  </r>
  <r>
    <x v="3"/>
    <s v="Darren Koutras"/>
  </r>
  <r>
    <x v="3"/>
    <s v="Lisa Hazard"/>
  </r>
  <r>
    <x v="3"/>
    <s v="Arianne Irving"/>
  </r>
  <r>
    <x v="3"/>
    <s v="Noel Staavos"/>
  </r>
  <r>
    <x v="3"/>
    <s v="Linda Southworth"/>
  </r>
  <r>
    <x v="3"/>
    <s v="Damala Kotsonis"/>
  </r>
  <r>
    <x v="3"/>
    <s v="Pauline Webber"/>
  </r>
  <r>
    <x v="3"/>
    <s v="Nick Zandusky"/>
  </r>
  <r>
    <x v="3"/>
    <s v="Patrick O'Donnell"/>
  </r>
  <r>
    <x v="3"/>
    <s v="Christopher Schild"/>
  </r>
  <r>
    <x v="3"/>
    <s v="Michael Grace"/>
  </r>
  <r>
    <x v="3"/>
    <s v="Phillina Ober"/>
  </r>
  <r>
    <x v="3"/>
    <s v="Mike Pelletier"/>
  </r>
  <r>
    <x v="3"/>
    <s v="Todd Sumrall"/>
  </r>
  <r>
    <x v="3"/>
    <s v="Ross Baird"/>
  </r>
  <r>
    <x v="3"/>
    <s v="Troy Staebel"/>
  </r>
  <r>
    <x v="3"/>
    <s v="Ruben Ausman"/>
  </r>
  <r>
    <x v="3"/>
    <s v="Alan Haines"/>
  </r>
  <r>
    <x v="3"/>
    <s v="Anna Andreadi"/>
  </r>
  <r>
    <x v="3"/>
    <s v="Christina DeMoss"/>
  </r>
  <r>
    <x v="3"/>
    <s v="Adam Bellavance"/>
  </r>
  <r>
    <x v="3"/>
    <s v="Rob Beeghly"/>
  </r>
  <r>
    <x v="3"/>
    <s v="Naresj Patel"/>
  </r>
  <r>
    <x v="3"/>
    <s v="Quincy Jones"/>
  </r>
  <r>
    <x v="3"/>
    <s v="Suzanne McNair"/>
  </r>
  <r>
    <x v="3"/>
    <s v="Alan Barnes"/>
  </r>
  <r>
    <x v="3"/>
    <s v="Carlos Soltero"/>
  </r>
  <r>
    <x v="3"/>
    <s v="Patrick Bzostek"/>
  </r>
  <r>
    <x v="3"/>
    <s v="Bart Folk"/>
  </r>
  <r>
    <x v="3"/>
    <s v="Bryan Davis"/>
  </r>
  <r>
    <x v="3"/>
    <s v="Sibella Parks"/>
  </r>
  <r>
    <x v="3"/>
    <s v="Skye Norling"/>
  </r>
  <r>
    <x v="3"/>
    <s v="Roland Murray"/>
  </r>
  <r>
    <x v="3"/>
    <s v="Ben Ferrer"/>
  </r>
  <r>
    <x v="3"/>
    <s v="Frank Carlisle"/>
  </r>
  <r>
    <x v="3"/>
    <s v="Don Weiss"/>
  </r>
  <r>
    <x v="3"/>
    <s v="Charles Sheldon"/>
  </r>
  <r>
    <x v="3"/>
    <s v="Gary Zandusky"/>
  </r>
  <r>
    <x v="3"/>
    <s v="Mick Brown"/>
  </r>
  <r>
    <x v="3"/>
    <s v="Doug Bickford"/>
  </r>
  <r>
    <x v="3"/>
    <s v="Jeremy Farry"/>
  </r>
  <r>
    <x v="3"/>
    <s v="Gary Hansen"/>
  </r>
  <r>
    <x v="3"/>
    <s v="Fred Hopkins"/>
  </r>
  <r>
    <x v="3"/>
    <s v="Angele Hood"/>
  </r>
  <r>
    <x v="3"/>
    <s v="Seth Vernon"/>
  </r>
  <r>
    <x v="3"/>
    <s v="Todd Boyes"/>
  </r>
  <r>
    <x v="3"/>
    <s v="Gary Mitchum"/>
  </r>
  <r>
    <x v="3"/>
    <s v="Cyra Reiten"/>
  </r>
  <r>
    <x v="3"/>
    <s v="Muhammed MacIntyre"/>
  </r>
  <r>
    <x v="3"/>
    <s v="Xylona Preis"/>
  </r>
  <r>
    <x v="3"/>
    <s v="Mark Hamilton"/>
  </r>
  <r>
    <x v="3"/>
    <s v="Ashley Jarboe"/>
  </r>
  <r>
    <x v="3"/>
    <s v="Roger Barcio"/>
  </r>
  <r>
    <x v="3"/>
    <s v="Valerie Mitchum"/>
  </r>
  <r>
    <x v="3"/>
    <s v="Victoria Brennan"/>
  </r>
  <r>
    <x v="3"/>
    <s v="Zuschuss Carroll"/>
  </r>
  <r>
    <x v="3"/>
    <s v="Jill Fjeld"/>
  </r>
  <r>
    <x v="3"/>
    <s v="Maris LaWare"/>
  </r>
  <r>
    <x v="3"/>
    <s v="Carol Darley"/>
  </r>
  <r>
    <x v="3"/>
    <s v="Liz Carlisle"/>
  </r>
  <r>
    <x v="3"/>
    <s v="Christopher Conant"/>
  </r>
  <r>
    <x v="3"/>
    <s v="Harry Greene"/>
  </r>
  <r>
    <x v="3"/>
    <s v="Brad Norvell"/>
  </r>
  <r>
    <x v="3"/>
    <s v="Bart Watters"/>
  </r>
  <r>
    <x v="3"/>
    <s v="Thais Sissman"/>
  </r>
  <r>
    <x v="3"/>
    <s v="Michael Granlund"/>
  </r>
  <r>
    <x v="3"/>
    <s v="Hallie Redmond"/>
  </r>
  <r>
    <x v="3"/>
    <s v="Christine Sundaresam"/>
  </r>
  <r>
    <x v="3"/>
    <s v="Michael Paige"/>
  </r>
  <r>
    <x v="3"/>
    <s v="Rob Lucas"/>
  </r>
  <r>
    <x v="3"/>
    <s v="Fred McMath"/>
  </r>
  <r>
    <x v="3"/>
    <s v="Joni Wasserman"/>
  </r>
  <r>
    <x v="3"/>
    <s v="Jay Kimmel"/>
  </r>
  <r>
    <x v="3"/>
    <s v="Cindy Chapman"/>
  </r>
  <r>
    <x v="3"/>
    <s v="Chloris Kastensmidt"/>
  </r>
  <r>
    <x v="3"/>
    <s v="Jeremy Lonsdale"/>
  </r>
  <r>
    <x v="3"/>
    <s v="Jasper Cacioppo"/>
  </r>
  <r>
    <x v="3"/>
    <s v="Ruben Dartt"/>
  </r>
  <r>
    <x v="3"/>
    <s v="Stefania Perrino"/>
  </r>
  <r>
    <x v="3"/>
    <s v="Nicole Fjeld"/>
  </r>
  <r>
    <x v="3"/>
    <s v="Robert Dilbeck"/>
  </r>
  <r>
    <x v="3"/>
    <s v="Anna Gayman"/>
  </r>
  <r>
    <x v="3"/>
    <s v="Allen Goldenen"/>
  </r>
  <r>
    <x v="3"/>
    <s v="Trudy Glocke"/>
  </r>
  <r>
    <x v="3"/>
    <s v="Dario Medina"/>
  </r>
  <r>
    <x v="3"/>
    <s v="Allen Armold"/>
  </r>
  <r>
    <x v="3"/>
    <s v="Debra Catini"/>
  </r>
  <r>
    <x v="3"/>
    <s v="Mike Gockenbach"/>
  </r>
  <r>
    <x v="3"/>
    <s v="Dean Braden"/>
  </r>
  <r>
    <x v="3"/>
    <s v="Deborah Brumfield"/>
  </r>
  <r>
    <x v="3"/>
    <s v="Frank Preis"/>
  </r>
  <r>
    <x v="3"/>
    <s v="Erin Creighton"/>
  </r>
  <r>
    <x v="3"/>
    <s v="David Smith"/>
  </r>
  <r>
    <x v="3"/>
    <s v="Brosina Hoffman"/>
  </r>
  <r>
    <x v="3"/>
    <s v="Tracy Collins"/>
  </r>
  <r>
    <x v="3"/>
    <s v="Ricardo Sperren"/>
  </r>
  <r>
    <x v="3"/>
    <s v="Denise Monton"/>
  </r>
  <r>
    <x v="3"/>
    <s v="Nicole Hansen"/>
  </r>
  <r>
    <x v="3"/>
    <s v="Michelle Moray"/>
  </r>
  <r>
    <x v="3"/>
    <s v="Ed Braxton"/>
  </r>
  <r>
    <x v="3"/>
    <s v="Liz Willingham"/>
  </r>
  <r>
    <x v="3"/>
    <s v="Ben Wallace"/>
  </r>
  <r>
    <x v="3"/>
    <s v="Maureen Gastineau"/>
  </r>
  <r>
    <x v="3"/>
    <s v="Frank Olsen"/>
  </r>
  <r>
    <x v="3"/>
    <s v="Tamara Dahlen"/>
  </r>
  <r>
    <x v="3"/>
    <s v="Jenna Caffey"/>
  </r>
  <r>
    <x v="3"/>
    <s v="Vivek Gonzalez"/>
  </r>
  <r>
    <x v="3"/>
    <s v="Vicky Freymann"/>
  </r>
  <r>
    <x v="3"/>
    <s v="Harold Engle"/>
  </r>
  <r>
    <x v="3"/>
    <s v="Mathew Reese"/>
  </r>
  <r>
    <x v="3"/>
    <s v="Eugene Barchas"/>
  </r>
  <r>
    <x v="3"/>
    <s v="Alex Russell"/>
  </r>
  <r>
    <x v="3"/>
    <s v="Eudokia Martin"/>
  </r>
  <r>
    <x v="3"/>
    <s v="Barry Pond"/>
  </r>
  <r>
    <x v="3"/>
    <s v="Gary McGarr"/>
  </r>
  <r>
    <x v="3"/>
    <s v="Kean Nguyen"/>
  </r>
  <r>
    <x v="3"/>
    <s v="Keith Herrera"/>
  </r>
  <r>
    <x v="3"/>
    <s v="Luke Foster"/>
  </r>
  <r>
    <x v="3"/>
    <s v="Alan Schoenberger"/>
  </r>
  <r>
    <x v="3"/>
    <s v="Jeremy Pistek"/>
  </r>
  <r>
    <x v="3"/>
    <s v="Carl Weiss"/>
  </r>
  <r>
    <x v="3"/>
    <s v="Emily Grady"/>
  </r>
  <r>
    <x v="3"/>
    <s v="Max Jones"/>
  </r>
  <r>
    <x v="3"/>
    <s v="Beth Paige"/>
  </r>
  <r>
    <x v="3"/>
    <s v="Tom Prescott"/>
  </r>
  <r>
    <x v="3"/>
    <s v="Marina Lichtenstein"/>
  </r>
  <r>
    <x v="3"/>
    <s v="Sarah Bern"/>
  </r>
  <r>
    <x v="3"/>
    <s v="Karl Braun"/>
  </r>
  <r>
    <x v="3"/>
    <s v="Bryan Spruell"/>
  </r>
  <r>
    <x v="3"/>
    <s v="Ken Lonsdale"/>
  </r>
  <r>
    <x v="3"/>
    <s v="Noah Childs"/>
  </r>
  <r>
    <x v="3"/>
    <s v="Matt Connell"/>
  </r>
  <r>
    <x v="3"/>
    <s v="Laurel Beltran"/>
  </r>
  <r>
    <x v="3"/>
    <s v="John Huston"/>
  </r>
  <r>
    <x v="3"/>
    <s v="Sean Miller"/>
  </r>
  <r>
    <x v="3"/>
    <s v="Sean Braxton"/>
  </r>
  <r>
    <x v="3"/>
    <s v="Keith Dawkins"/>
  </r>
  <r>
    <x v="3"/>
    <s v="Grace Kelly"/>
  </r>
  <r>
    <x v="3"/>
    <s v="Logan Currie"/>
  </r>
  <r>
    <x v="3"/>
    <s v="Joy Daniels"/>
  </r>
  <r>
    <x v="3"/>
    <s v="Evan Bailliet"/>
  </r>
  <r>
    <x v="3"/>
    <s v="Cyma Kinney"/>
  </r>
  <r>
    <x v="3"/>
    <s v="Cathy Prescott"/>
  </r>
  <r>
    <x v="3"/>
    <s v="Parhena Norris"/>
  </r>
  <r>
    <x v="3"/>
    <s v="Jennifer Braxton"/>
  </r>
  <r>
    <x v="3"/>
    <s v="Matt Collister"/>
  </r>
  <r>
    <x v="3"/>
    <s v="Brian Moss"/>
  </r>
  <r>
    <x v="3"/>
    <s v="Joel Eaton"/>
  </r>
  <r>
    <x v="3"/>
    <s v="Jim Epp"/>
  </r>
  <r>
    <x v="3"/>
    <s v="Peter McVee"/>
  </r>
  <r>
    <x v="3"/>
    <s v="Ken Brennan"/>
  </r>
  <r>
    <x v="3"/>
    <s v="Laurel Elliston"/>
  </r>
  <r>
    <x v="3"/>
    <s v="Christine Abelman"/>
  </r>
  <r>
    <x v="3"/>
    <s v="Herbert Flentye"/>
  </r>
  <r>
    <x v="3"/>
    <s v="Lena Hernandez"/>
  </r>
  <r>
    <x v="3"/>
    <s v="Roger Demir"/>
  </r>
  <r>
    <x v="3"/>
    <s v="Michael Nguyen"/>
  </r>
  <r>
    <x v="3"/>
    <s v="Mick Hernandez"/>
  </r>
  <r>
    <x v="3"/>
    <s v="Emily Burns"/>
  </r>
  <r>
    <x v="3"/>
    <s v="Karen Seio"/>
  </r>
  <r>
    <x v="3"/>
    <s v="Candace McMahon"/>
  </r>
  <r>
    <x v="3"/>
    <s v="Russell D'Ascenzo"/>
  </r>
  <r>
    <x v="3"/>
    <s v="Mitch Gastineau"/>
  </r>
  <r>
    <x v="3"/>
    <s v="Dennis Bolton"/>
  </r>
  <r>
    <x v="3"/>
    <s v="Bruce Stewart"/>
  </r>
  <r>
    <x v="3"/>
    <s v="Michelle Tran"/>
  </r>
  <r>
    <x v="3"/>
    <s v="Carl Ludwig"/>
  </r>
  <r>
    <x v="3"/>
    <s v="Neil Ducich"/>
  </r>
  <r>
    <x v="3"/>
    <s v="Linda Cazamias"/>
  </r>
  <r>
    <x v="3"/>
    <s v="Bill Donatelli"/>
  </r>
  <r>
    <x v="3"/>
    <s v="George Zrebassa"/>
  </r>
  <r>
    <x v="3"/>
    <s v="Ivan Liston"/>
  </r>
  <r>
    <x v="3"/>
    <s v="Robert Waldorf"/>
  </r>
  <r>
    <x v="3"/>
    <s v="Shahid Shariari"/>
  </r>
  <r>
    <x v="3"/>
    <s v="Helen Abelman"/>
  </r>
  <r>
    <x v="3"/>
    <s v="Scot Wooten"/>
  </r>
  <r>
    <x v="3"/>
    <s v="Ann Blume"/>
  </r>
  <r>
    <x v="3"/>
    <s v="Edward Becker"/>
  </r>
  <r>
    <x v="3"/>
    <s v="Daniel Raglin"/>
  </r>
  <r>
    <x v="3"/>
    <s v="Thomas Brumley"/>
  </r>
  <r>
    <x v="3"/>
    <s v="Michael Chen"/>
  </r>
  <r>
    <x v="3"/>
    <s v="Gary Hwang"/>
  </r>
  <r>
    <x v="3"/>
    <s v="Maria Etezadi"/>
  </r>
  <r>
    <x v="3"/>
    <s v="Ben Peterman"/>
  </r>
  <r>
    <x v="3"/>
    <s v="Helen Andreada"/>
  </r>
  <r>
    <x v="3"/>
    <s v="Lindsay Shagiari"/>
  </r>
  <r>
    <x v="3"/>
    <s v="Brian Thompson"/>
  </r>
  <r>
    <x v="3"/>
    <s v="Alex Grayson"/>
  </r>
  <r>
    <x v="3"/>
    <s v="Justin Ellison"/>
  </r>
  <r>
    <x v="3"/>
    <s v="William Brown"/>
  </r>
  <r>
    <x v="3"/>
    <s v="Cari Sayre"/>
  </r>
  <r>
    <x v="3"/>
    <s v="Magdelene Morse"/>
  </r>
  <r>
    <x v="3"/>
    <s v="Jack Lebron"/>
  </r>
  <r>
    <x v="3"/>
    <s v="Henry MacAllister"/>
  </r>
  <r>
    <x v="3"/>
    <s v="Liz Pelletier"/>
  </r>
  <r>
    <x v="3"/>
    <s v="Becky Castell"/>
  </r>
  <r>
    <x v="3"/>
    <s v="Kristina Nunn"/>
  </r>
  <r>
    <x v="3"/>
    <s v="Tom Boeckenhauer"/>
  </r>
  <r>
    <x v="3"/>
    <s v="Zuschuss Donatelli"/>
  </r>
  <r>
    <x v="3"/>
    <s v="Natalie Webber"/>
  </r>
  <r>
    <x v="3"/>
    <s v="Karen Bern"/>
  </r>
  <r>
    <x v="3"/>
    <s v="Tom Stivers"/>
  </r>
  <r>
    <x v="3"/>
    <s v="Sylvia Foulston"/>
  </r>
  <r>
    <x v="3"/>
    <s v="Ryan Crowe"/>
  </r>
  <r>
    <x v="3"/>
    <s v="Jennifer Ferguson"/>
  </r>
  <r>
    <x v="3"/>
    <s v="Catherine Glotzbach"/>
  </r>
  <r>
    <x v="3"/>
    <s v="Meg Tillman"/>
  </r>
  <r>
    <x v="3"/>
    <s v="Michelle Huthwaite"/>
  </r>
  <r>
    <x v="3"/>
    <s v="Patrick Gardner"/>
  </r>
  <r>
    <x v="3"/>
    <s v="Mike Vittorini"/>
  </r>
  <r>
    <x v="3"/>
    <s v="Ralph Ritter"/>
  </r>
  <r>
    <x v="3"/>
    <s v="Alejandro Savely"/>
  </r>
  <r>
    <x v="3"/>
    <s v="Dennis Kane"/>
  </r>
  <r>
    <x v="3"/>
    <s v="Roy Skaria"/>
  </r>
  <r>
    <x v="3"/>
    <s v="Nona Balk"/>
  </r>
  <r>
    <x v="3"/>
    <s v="Richard Bierner"/>
  </r>
  <r>
    <x v="3"/>
    <s v="Dianna Arnett"/>
  </r>
  <r>
    <x v="3"/>
    <s v="David Bremer"/>
  </r>
  <r>
    <x v="3"/>
    <s v="Ken Black"/>
  </r>
  <r>
    <x v="3"/>
    <s v="Alyssa Crouse"/>
  </r>
  <r>
    <x v="3"/>
    <s v="Julie Prescott"/>
  </r>
  <r>
    <x v="3"/>
    <s v="Jonathan Howell"/>
  </r>
  <r>
    <x v="3"/>
    <s v="Lena Creighton"/>
  </r>
  <r>
    <x v="3"/>
    <s v="Hunter Glantz"/>
  </r>
  <r>
    <x v="3"/>
    <s v="Sarah Brown"/>
  </r>
  <r>
    <x v="3"/>
    <s v="Rick Hansen"/>
  </r>
  <r>
    <x v="3"/>
    <s v="Dana Kaydos"/>
  </r>
  <r>
    <x v="3"/>
    <s v="Jessica Myrick"/>
  </r>
  <r>
    <x v="3"/>
    <s v="John Murray"/>
  </r>
  <r>
    <x v="3"/>
    <s v="Steve Nguyen"/>
  </r>
  <r>
    <x v="3"/>
    <s v="Neil Knudson"/>
  </r>
  <r>
    <x v="3"/>
    <s v="Natalie Fritzler"/>
  </r>
  <r>
    <x v="3"/>
    <s v="Nathan Gelder"/>
  </r>
  <r>
    <x v="3"/>
    <s v="Nat Gilpin"/>
  </r>
  <r>
    <x v="3"/>
    <s v="Eugene Moren"/>
  </r>
  <r>
    <x v="3"/>
    <s v="Larry Black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7E6BD5-FA43-4082-B462-BC69E27B2AE8}"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B18" firstHeaderRow="1" firstDataRow="1" firstDataCol="1"/>
  <pivotFields count="11">
    <pivotField numFmtId="164" showAll="0"/>
    <pivotField numFmtId="1" showAll="0">
      <items count="5">
        <item x="0"/>
        <item x="1"/>
        <item x="2"/>
        <item x="3"/>
        <item t="default"/>
      </items>
    </pivotField>
    <pivotField numFmtId="1" showAll="0"/>
    <pivotField showAll="0"/>
    <pivotField showAll="0"/>
    <pivotField showAll="0">
      <items count="4">
        <item x="1"/>
        <item x="2"/>
        <item x="0"/>
        <item t="default"/>
      </items>
    </pivotField>
    <pivotField axis="axisRow" showAll="0" sortType="descending">
      <items count="18">
        <item x="0"/>
        <item x="10"/>
        <item x="11"/>
        <item x="9"/>
        <item x="16"/>
        <item x="1"/>
        <item x="12"/>
        <item x="13"/>
        <item x="4"/>
        <item x="5"/>
        <item x="8"/>
        <item x="14"/>
        <item x="3"/>
        <item x="2"/>
        <item x="6"/>
        <item x="15"/>
        <item x="7"/>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6"/>
    </i>
    <i>
      <x v="14"/>
    </i>
    <i>
      <x v="11"/>
    </i>
    <i>
      <x/>
    </i>
    <i>
      <x v="3"/>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593E3E-2FDA-4E01-85EC-4E2DAFC759A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1:D6" firstHeaderRow="1" firstDataRow="2" firstDataCol="1"/>
  <pivotFields count="11">
    <pivotField numFmtId="164" showAll="0"/>
    <pivotField axis="axisRow" numFmtId="1" showAll="0">
      <items count="5">
        <item x="0"/>
        <item x="1"/>
        <item x="2"/>
        <item x="3"/>
        <item t="default"/>
      </items>
    </pivotField>
    <pivotField numFmtId="1" showAll="0"/>
    <pivotField showAll="0"/>
    <pivotField showAll="0"/>
    <pivotField axis="axisCol" showAll="0">
      <items count="4">
        <item x="1"/>
        <item x="2"/>
        <item x="0"/>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3">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A31CBB-C553-4DD9-B69A-1E07472120F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B13" firstHeaderRow="1" firstDataRow="1" firstDataCol="1"/>
  <pivotFields count="11">
    <pivotField numFmtId="164" showAll="0"/>
    <pivotField numFmtId="1" showAll="0">
      <items count="5">
        <item x="0"/>
        <item x="1"/>
        <item x="2"/>
        <item x="3"/>
        <item t="default"/>
      </items>
    </pivotField>
    <pivotField axis="axisRow" numFmtId="1" showAll="0">
      <items count="13">
        <item x="11"/>
        <item x="0"/>
        <item x="1"/>
        <item x="2"/>
        <item x="10"/>
        <item x="3"/>
        <item x="4"/>
        <item x="5"/>
        <item x="6"/>
        <item x="7"/>
        <item x="8"/>
        <item x="9"/>
        <item t="default"/>
      </items>
    </pivotField>
    <pivotField showAll="0"/>
    <pivotField showAll="0"/>
    <pivotField showAll="0">
      <items count="4">
        <item x="1"/>
        <item x="2"/>
        <item x="0"/>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A6E22F-C918-48BD-BE03-8470EF09DD33}"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B739" firstHeaderRow="1" firstDataRow="1" firstDataCol="1"/>
  <pivotFields count="11">
    <pivotField numFmtId="164" showAll="0"/>
    <pivotField numFmtId="1" showAll="0"/>
    <pivotField numFmtId="1" showAll="0"/>
    <pivotField axis="axisRow" showAll="0" sortType="descending">
      <items count="739">
        <item x="184"/>
        <item x="650"/>
        <item x="522"/>
        <item x="472"/>
        <item x="443"/>
        <item x="659"/>
        <item x="124"/>
        <item x="478"/>
        <item x="382"/>
        <item x="394"/>
        <item x="444"/>
        <item x="378"/>
        <item x="290"/>
        <item x="374"/>
        <item x="567"/>
        <item x="583"/>
        <item x="386"/>
        <item x="549"/>
        <item x="481"/>
        <item x="176"/>
        <item x="362"/>
        <item x="84"/>
        <item x="87"/>
        <item x="299"/>
        <item x="419"/>
        <item x="456"/>
        <item x="361"/>
        <item x="107"/>
        <item x="377"/>
        <item x="43"/>
        <item x="53"/>
        <item x="488"/>
        <item x="163"/>
        <item x="703"/>
        <item x="728"/>
        <item x="661"/>
        <item x="16"/>
        <item x="35"/>
        <item x="431"/>
        <item x="42"/>
        <item x="691"/>
        <item x="72"/>
        <item x="93"/>
        <item x="504"/>
        <item x="465"/>
        <item x="252"/>
        <item x="572"/>
        <item x="447"/>
        <item x="662"/>
        <item x="254"/>
        <item x="426"/>
        <item x="255"/>
        <item x="404"/>
        <item x="294"/>
        <item x="600"/>
        <item x="71"/>
        <item x="14"/>
        <item x="358"/>
        <item x="574"/>
        <item x="535"/>
        <item x="149"/>
        <item x="311"/>
        <item x="494"/>
        <item x="701"/>
        <item x="190"/>
        <item x="610"/>
        <item x="171"/>
        <item x="217"/>
        <item x="380"/>
        <item x="300"/>
        <item x="556"/>
        <item x="304"/>
        <item x="250"/>
        <item x="82"/>
        <item x="688"/>
        <item x="86"/>
        <item x="332"/>
        <item x="479"/>
        <item x="660"/>
        <item x="543"/>
        <item x="109"/>
        <item x="375"/>
        <item x="677"/>
        <item x="594"/>
        <item x="480"/>
        <item x="111"/>
        <item x="348"/>
        <item x="307"/>
        <item x="629"/>
        <item x="0"/>
        <item x="651"/>
        <item x="401"/>
        <item x="530"/>
        <item x="150"/>
        <item x="490"/>
        <item x="525"/>
        <item x="144"/>
        <item x="239"/>
        <item x="452"/>
        <item x="277"/>
        <item x="234"/>
        <item x="367"/>
        <item x="588"/>
        <item x="81"/>
        <item x="531"/>
        <item x="55"/>
        <item x="718"/>
        <item x="723"/>
        <item x="340"/>
        <item x="44"/>
        <item x="528"/>
        <item x="235"/>
        <item x="208"/>
        <item x="398"/>
        <item x="710"/>
        <item x="189"/>
        <item x="553"/>
        <item x="695"/>
        <item x="323"/>
        <item x="405"/>
        <item x="603"/>
        <item x="122"/>
        <item x="597"/>
        <item x="668"/>
        <item x="138"/>
        <item x="437"/>
        <item x="694"/>
        <item x="303"/>
        <item x="471"/>
        <item x="268"/>
        <item x="116"/>
        <item x="519"/>
        <item x="183"/>
        <item x="593"/>
        <item x="699"/>
        <item x="52"/>
        <item x="542"/>
        <item x="45"/>
        <item x="441"/>
        <item x="384"/>
        <item x="596"/>
        <item x="675"/>
        <item x="351"/>
        <item x="409"/>
        <item x="418"/>
        <item x="236"/>
        <item x="681"/>
        <item x="532"/>
        <item x="500"/>
        <item x="503"/>
        <item x="612"/>
        <item x="336"/>
        <item x="654"/>
        <item x="50"/>
        <item x="690"/>
        <item x="492"/>
        <item x="438"/>
        <item x="9"/>
        <item x="347"/>
        <item x="371"/>
        <item x="509"/>
        <item x="461"/>
        <item x="186"/>
        <item x="640"/>
        <item x="315"/>
        <item x="182"/>
        <item x="499"/>
        <item x="36"/>
        <item x="523"/>
        <item x="705"/>
        <item x="428"/>
        <item x="134"/>
        <item x="533"/>
        <item x="446"/>
        <item x="516"/>
        <item x="27"/>
        <item x="325"/>
        <item x="251"/>
        <item x="314"/>
        <item x="349"/>
        <item x="69"/>
        <item x="450"/>
        <item x="240"/>
        <item x="638"/>
        <item x="1"/>
        <item x="319"/>
        <item x="337"/>
        <item x="592"/>
        <item x="322"/>
        <item x="114"/>
        <item x="151"/>
        <item x="63"/>
        <item x="385"/>
        <item x="136"/>
        <item x="579"/>
        <item x="373"/>
        <item x="287"/>
        <item x="146"/>
        <item x="100"/>
        <item x="627"/>
        <item x="28"/>
        <item x="159"/>
        <item x="687"/>
        <item x="94"/>
        <item x="725"/>
        <item x="194"/>
        <item x="135"/>
        <item x="451"/>
        <item x="231"/>
        <item x="89"/>
        <item x="258"/>
        <item x="473"/>
        <item x="8"/>
        <item x="599"/>
        <item x="685"/>
        <item x="137"/>
        <item x="515"/>
        <item x="289"/>
        <item x="658"/>
        <item x="598"/>
        <item x="12"/>
        <item x="324"/>
        <item x="442"/>
        <item x="457"/>
        <item x="305"/>
        <item x="227"/>
        <item x="211"/>
        <item x="676"/>
        <item x="400"/>
        <item x="297"/>
        <item x="561"/>
        <item x="432"/>
        <item x="68"/>
        <item x="570"/>
        <item x="569"/>
        <item x="131"/>
        <item x="241"/>
        <item x="359"/>
        <item x="170"/>
        <item x="37"/>
        <item x="47"/>
        <item x="328"/>
        <item x="555"/>
        <item x="202"/>
        <item x="630"/>
        <item x="29"/>
        <item x="643"/>
        <item x="693"/>
        <item x="56"/>
        <item x="436"/>
        <item x="512"/>
        <item x="477"/>
        <item x="429"/>
        <item x="74"/>
        <item x="501"/>
        <item x="560"/>
        <item x="270"/>
        <item x="346"/>
        <item x="485"/>
        <item x="665"/>
        <item x="164"/>
        <item x="430"/>
        <item x="237"/>
        <item x="201"/>
        <item x="262"/>
        <item x="647"/>
        <item x="372"/>
        <item x="470"/>
        <item x="580"/>
        <item x="83"/>
        <item x="424"/>
        <item x="554"/>
        <item x="273"/>
        <item x="141"/>
        <item x="453"/>
        <item x="244"/>
        <item x="177"/>
        <item x="408"/>
        <item x="726"/>
        <item x="506"/>
        <item x="132"/>
        <item x="5"/>
        <item x="720"/>
        <item x="167"/>
        <item x="397"/>
        <item x="256"/>
        <item x="126"/>
        <item x="591"/>
        <item x="267"/>
        <item x="160"/>
        <item x="548"/>
        <item x="2"/>
        <item x="279"/>
        <item x="586"/>
        <item x="165"/>
        <item x="711"/>
        <item x="391"/>
        <item x="257"/>
        <item x="454"/>
        <item x="288"/>
        <item x="648"/>
        <item x="460"/>
        <item x="352"/>
        <item x="518"/>
        <item x="526"/>
        <item x="298"/>
        <item x="565"/>
        <item x="381"/>
        <item x="464"/>
        <item x="15"/>
        <item x="226"/>
        <item x="18"/>
        <item x="25"/>
        <item x="505"/>
        <item x="392"/>
        <item x="541"/>
        <item x="283"/>
        <item x="666"/>
        <item x="576"/>
        <item x="644"/>
        <item x="634"/>
        <item x="355"/>
        <item x="635"/>
        <item x="544"/>
        <item x="577"/>
        <item x="520"/>
        <item x="271"/>
        <item x="716"/>
        <item x="321"/>
        <item x="399"/>
        <item x="396"/>
        <item x="350"/>
        <item x="330"/>
        <item x="606"/>
        <item x="249"/>
        <item x="734"/>
        <item x="474"/>
        <item x="286"/>
        <item x="609"/>
        <item x="73"/>
        <item x="491"/>
        <item x="230"/>
        <item x="498"/>
        <item x="203"/>
        <item x="536"/>
        <item x="33"/>
        <item x="527"/>
        <item x="407"/>
        <item x="646"/>
        <item x="341"/>
        <item x="127"/>
        <item x="370"/>
        <item x="192"/>
        <item x="342"/>
        <item x="529"/>
        <item x="206"/>
        <item x="513"/>
        <item x="508"/>
        <item x="155"/>
        <item x="76"/>
        <item x="713"/>
        <item x="313"/>
        <item x="243"/>
        <item x="621"/>
        <item x="115"/>
        <item x="672"/>
        <item x="365"/>
        <item x="696"/>
        <item x="486"/>
        <item x="667"/>
        <item x="368"/>
        <item x="60"/>
        <item x="383"/>
        <item x="582"/>
        <item x="329"/>
        <item x="49"/>
        <item x="613"/>
        <item x="415"/>
        <item x="439"/>
        <item x="219"/>
        <item x="293"/>
        <item x="622"/>
        <item x="722"/>
        <item x="345"/>
        <item x="7"/>
        <item x="51"/>
        <item x="534"/>
        <item x="425"/>
        <item x="65"/>
        <item x="684"/>
        <item x="75"/>
        <item x="423"/>
        <item x="296"/>
        <item x="223"/>
        <item x="207"/>
        <item x="333"/>
        <item x="145"/>
        <item x="269"/>
        <item x="356"/>
        <item x="590"/>
        <item x="435"/>
        <item x="105"/>
        <item x="475"/>
        <item x="657"/>
        <item x="23"/>
        <item x="284"/>
        <item x="484"/>
        <item x="686"/>
        <item x="445"/>
        <item x="38"/>
        <item x="6"/>
        <item x="737"/>
        <item x="649"/>
        <item x="17"/>
        <item x="280"/>
        <item x="524"/>
        <item x="507"/>
        <item x="13"/>
        <item x="306"/>
        <item x="366"/>
        <item x="497"/>
        <item x="19"/>
        <item x="212"/>
        <item x="564"/>
        <item x="697"/>
        <item x="335"/>
        <item x="589"/>
        <item x="575"/>
        <item x="602"/>
        <item x="218"/>
        <item x="196"/>
        <item x="59"/>
        <item x="571"/>
        <item x="632"/>
        <item x="539"/>
        <item x="10"/>
        <item x="285"/>
        <item x="246"/>
        <item x="316"/>
        <item x="413"/>
        <item x="178"/>
        <item x="310"/>
        <item x="156"/>
        <item x="730"/>
        <item x="222"/>
        <item x="664"/>
        <item x="213"/>
        <item x="157"/>
        <item x="455"/>
        <item x="148"/>
        <item x="199"/>
        <item x="655"/>
        <item x="113"/>
        <item x="709"/>
        <item x="101"/>
        <item x="282"/>
        <item x="110"/>
        <item x="578"/>
        <item x="566"/>
        <item x="104"/>
        <item x="118"/>
        <item x="85"/>
        <item x="215"/>
        <item x="66"/>
        <item x="641"/>
        <item x="34"/>
        <item x="410"/>
        <item x="98"/>
        <item x="242"/>
        <item x="568"/>
        <item x="714"/>
        <item x="449"/>
        <item x="103"/>
        <item x="301"/>
        <item x="467"/>
        <item x="562"/>
        <item x="91"/>
        <item x="624"/>
        <item x="680"/>
        <item x="421"/>
        <item x="232"/>
        <item x="133"/>
        <item x="64"/>
        <item x="608"/>
        <item x="558"/>
        <item x="673"/>
        <item x="476"/>
        <item x="281"/>
        <item x="339"/>
        <item x="353"/>
        <item x="389"/>
        <item x="581"/>
        <item x="210"/>
        <item x="692"/>
        <item x="274"/>
        <item x="631"/>
        <item x="123"/>
        <item x="463"/>
        <item x="721"/>
        <item x="440"/>
        <item x="369"/>
        <item x="540"/>
        <item x="427"/>
        <item x="395"/>
        <item x="724"/>
        <item x="403"/>
        <item x="468"/>
        <item x="706"/>
        <item x="517"/>
        <item x="669"/>
        <item x="422"/>
        <item x="108"/>
        <item x="736"/>
        <item x="22"/>
        <item x="266"/>
        <item x="448"/>
        <item x="77"/>
        <item x="97"/>
        <item x="117"/>
        <item x="158"/>
        <item x="20"/>
        <item x="735"/>
        <item x="653"/>
        <item x="331"/>
        <item x="645"/>
        <item x="191"/>
        <item x="48"/>
        <item x="247"/>
        <item x="39"/>
        <item x="343"/>
        <item x="433"/>
        <item x="153"/>
        <item x="670"/>
        <item x="185"/>
        <item x="142"/>
        <item x="67"/>
        <item x="625"/>
        <item x="626"/>
        <item x="614"/>
        <item x="434"/>
        <item x="700"/>
        <item x="233"/>
        <item x="552"/>
        <item x="58"/>
        <item x="698"/>
        <item x="143"/>
        <item x="275"/>
        <item x="102"/>
        <item x="26"/>
        <item x="106"/>
        <item x="224"/>
        <item x="489"/>
        <item x="302"/>
        <item x="205"/>
        <item x="187"/>
        <item x="364"/>
        <item x="601"/>
        <item x="338"/>
        <item x="291"/>
        <item x="308"/>
        <item x="689"/>
        <item x="130"/>
        <item x="611"/>
        <item x="317"/>
        <item x="620"/>
        <item x="483"/>
        <item x="99"/>
        <item x="628"/>
        <item x="551"/>
        <item x="376"/>
        <item x="11"/>
        <item x="417"/>
        <item x="563"/>
        <item x="510"/>
        <item x="731"/>
        <item x="559"/>
        <item x="514"/>
        <item x="276"/>
        <item x="30"/>
        <item x="140"/>
        <item x="261"/>
        <item x="80"/>
        <item x="195"/>
        <item x="209"/>
        <item x="733"/>
        <item x="623"/>
        <item x="245"/>
        <item x="363"/>
        <item x="387"/>
        <item x="550"/>
        <item x="40"/>
        <item x="344"/>
        <item x="154"/>
        <item x="573"/>
        <item x="502"/>
        <item x="327"/>
        <item x="727"/>
        <item x="707"/>
        <item x="57"/>
        <item x="172"/>
        <item x="702"/>
        <item x="180"/>
        <item x="390"/>
        <item x="79"/>
        <item x="537"/>
        <item x="152"/>
        <item x="312"/>
        <item x="129"/>
        <item x="595"/>
        <item x="204"/>
        <item x="128"/>
        <item x="21"/>
        <item x="90"/>
        <item x="487"/>
        <item x="179"/>
        <item x="264"/>
        <item x="263"/>
        <item x="41"/>
        <item x="120"/>
        <item x="683"/>
        <item x="259"/>
        <item x="54"/>
        <item x="272"/>
        <item x="605"/>
        <item x="679"/>
        <item x="88"/>
        <item x="168"/>
        <item x="732"/>
        <item x="393"/>
        <item x="416"/>
        <item x="587"/>
        <item x="357"/>
        <item x="162"/>
        <item x="253"/>
        <item x="193"/>
        <item x="656"/>
        <item x="719"/>
        <item x="388"/>
        <item x="615"/>
        <item x="265"/>
        <item x="4"/>
        <item x="61"/>
        <item x="197"/>
        <item x="671"/>
        <item x="326"/>
        <item x="420"/>
        <item x="354"/>
        <item x="161"/>
        <item x="248"/>
        <item x="318"/>
        <item x="619"/>
        <item x="495"/>
        <item x="469"/>
        <item x="139"/>
        <item x="92"/>
        <item x="221"/>
        <item x="95"/>
        <item x="411"/>
        <item x="482"/>
        <item x="166"/>
        <item x="78"/>
        <item x="147"/>
        <item x="62"/>
        <item x="639"/>
        <item x="46"/>
        <item x="496"/>
        <item x="379"/>
        <item x="678"/>
        <item x="633"/>
        <item x="406"/>
        <item x="652"/>
        <item x="521"/>
        <item x="547"/>
        <item x="642"/>
        <item x="674"/>
        <item x="24"/>
        <item x="360"/>
        <item x="198"/>
        <item x="715"/>
        <item x="214"/>
        <item x="334"/>
        <item x="260"/>
        <item x="663"/>
        <item x="220"/>
        <item x="712"/>
        <item x="616"/>
        <item x="607"/>
        <item x="585"/>
        <item x="545"/>
        <item x="228"/>
        <item x="729"/>
        <item x="238"/>
        <item x="414"/>
        <item x="121"/>
        <item x="229"/>
        <item x="538"/>
        <item x="32"/>
        <item x="617"/>
        <item x="462"/>
        <item x="31"/>
        <item x="225"/>
        <item x="704"/>
        <item x="493"/>
        <item x="309"/>
        <item x="70"/>
        <item x="717"/>
        <item x="295"/>
        <item x="458"/>
        <item x="584"/>
        <item x="682"/>
        <item x="557"/>
        <item x="96"/>
        <item x="125"/>
        <item x="320"/>
        <item x="292"/>
        <item x="200"/>
        <item x="618"/>
        <item x="173"/>
        <item x="466"/>
        <item x="412"/>
        <item x="112"/>
        <item x="188"/>
        <item x="169"/>
        <item x="3"/>
        <item x="402"/>
        <item x="708"/>
        <item x="174"/>
        <item x="278"/>
        <item x="216"/>
        <item x="636"/>
        <item x="181"/>
        <item x="637"/>
        <item x="119"/>
        <item x="175"/>
        <item x="459"/>
        <item x="511"/>
        <item x="604"/>
        <item x="546"/>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numFmtId="2" showAll="0"/>
    <pivotField numFmtId="1" showAll="0"/>
    <pivotField dataField="1" numFmtId="2" showAll="0"/>
  </pivotFields>
  <rowFields count="1">
    <field x="3"/>
  </rowFields>
  <rowItems count="738">
    <i>
      <x v="677"/>
    </i>
    <i>
      <x v="176"/>
    </i>
    <i>
      <x v="395"/>
    </i>
    <i>
      <x v="622"/>
    </i>
    <i>
      <x v="518"/>
    </i>
    <i>
      <x v="2"/>
    </i>
    <i>
      <x v="447"/>
    </i>
    <i>
      <x v="720"/>
    </i>
    <i>
      <x v="203"/>
    </i>
    <i>
      <x v="381"/>
    </i>
    <i>
      <x v="702"/>
    </i>
    <i>
      <x v="300"/>
    </i>
    <i>
      <x v="78"/>
    </i>
    <i>
      <x v="212"/>
    </i>
    <i>
      <x v="570"/>
    </i>
    <i>
      <x v="97"/>
    </i>
    <i>
      <x v="309"/>
    </i>
    <i>
      <x v="380"/>
    </i>
    <i>
      <x v="10"/>
    </i>
    <i>
      <x v="556"/>
    </i>
    <i>
      <x v="342"/>
    </i>
    <i>
      <x v="159"/>
    </i>
    <i>
      <x v="140"/>
    </i>
    <i>
      <x v="306"/>
    </i>
    <i>
      <x v="260"/>
    </i>
    <i>
      <x v="337"/>
    </i>
    <i>
      <x v="198"/>
    </i>
    <i>
      <x v="462"/>
    </i>
    <i>
      <x v="116"/>
    </i>
    <i>
      <x v="621"/>
    </i>
    <i>
      <x v="510"/>
    </i>
    <i>
      <x v="25"/>
    </i>
    <i>
      <x v="356"/>
    </i>
    <i>
      <x v="173"/>
    </i>
    <i>
      <x v="565"/>
    </i>
    <i>
      <x v="515"/>
    </i>
    <i>
      <x v="689"/>
    </i>
    <i>
      <x v="352"/>
    </i>
    <i>
      <x v="252"/>
    </i>
    <i>
      <x v="100"/>
    </i>
    <i>
      <x v="362"/>
    </i>
    <i>
      <x v="550"/>
    </i>
    <i>
      <x v="373"/>
    </i>
    <i>
      <x v="459"/>
    </i>
    <i>
      <x v="441"/>
    </i>
    <i>
      <x v="587"/>
    </i>
    <i>
      <x v="594"/>
    </i>
    <i>
      <x v="334"/>
    </i>
    <i>
      <x v="523"/>
    </i>
    <i>
      <x v="578"/>
    </i>
    <i>
      <x v="398"/>
    </i>
    <i>
      <x v="141"/>
    </i>
    <i>
      <x v="65"/>
    </i>
    <i>
      <x v="414"/>
    </i>
    <i>
      <x v="91"/>
    </i>
    <i>
      <x v="264"/>
    </i>
    <i>
      <x v="680"/>
    </i>
    <i>
      <x v="272"/>
    </i>
    <i>
      <x v="524"/>
    </i>
    <i>
      <x v="601"/>
    </i>
    <i>
      <x v="98"/>
    </i>
    <i>
      <x v="49"/>
    </i>
    <i>
      <x v="236"/>
    </i>
    <i>
      <x v="333"/>
    </i>
    <i>
      <x v="586"/>
    </i>
    <i>
      <x v="568"/>
    </i>
    <i>
      <x v="186"/>
    </i>
    <i>
      <x v="534"/>
    </i>
    <i>
      <x v="660"/>
    </i>
    <i>
      <x v="329"/>
    </i>
    <i>
      <x v="377"/>
    </i>
    <i>
      <x v="315"/>
    </i>
    <i>
      <x v="704"/>
    </i>
    <i>
      <x v="590"/>
    </i>
    <i>
      <x v="353"/>
    </i>
    <i>
      <x v="422"/>
    </i>
    <i>
      <x v="327"/>
    </i>
    <i>
      <x v="263"/>
    </i>
    <i>
      <x v="312"/>
    </i>
    <i>
      <x v="208"/>
    </i>
    <i>
      <x v="187"/>
    </i>
    <i>
      <x v="533"/>
    </i>
    <i>
      <x v="396"/>
    </i>
    <i>
      <x v="68"/>
    </i>
    <i>
      <x v="732"/>
    </i>
    <i>
      <x v="427"/>
    </i>
    <i>
      <x v="721"/>
    </i>
    <i>
      <x v="452"/>
    </i>
    <i>
      <x v="296"/>
    </i>
    <i>
      <x v="698"/>
    </i>
    <i>
      <x v="687"/>
    </i>
    <i>
      <x v="151"/>
    </i>
    <i>
      <x v="37"/>
    </i>
    <i>
      <x v="455"/>
    </i>
    <i>
      <x v="735"/>
    </i>
    <i>
      <x v="253"/>
    </i>
    <i>
      <x v="227"/>
    </i>
    <i>
      <x v="481"/>
    </i>
    <i>
      <x v="579"/>
    </i>
    <i>
      <x v="657"/>
    </i>
    <i>
      <x v="170"/>
    </i>
    <i>
      <x v="229"/>
    </i>
    <i>
      <x v="654"/>
    </i>
    <i>
      <x v="230"/>
    </i>
    <i>
      <x v="221"/>
    </i>
    <i>
      <x v="468"/>
    </i>
    <i>
      <x v="733"/>
    </i>
    <i>
      <x v="410"/>
    </i>
    <i>
      <x v="585"/>
    </i>
    <i>
      <x v="664"/>
    </i>
    <i>
      <x v="609"/>
    </i>
    <i>
      <x v="53"/>
    </i>
    <i>
      <x v="46"/>
    </i>
    <i>
      <x v="541"/>
    </i>
    <i>
      <x v="369"/>
    </i>
    <i>
      <x v="582"/>
    </i>
    <i>
      <x v="474"/>
    </i>
    <i>
      <x v="131"/>
    </i>
    <i>
      <x v="694"/>
    </i>
    <i>
      <x v="153"/>
    </i>
    <i>
      <x v="511"/>
    </i>
    <i>
      <x v="28"/>
    </i>
    <i>
      <x v="435"/>
    </i>
    <i>
      <x v="211"/>
    </i>
    <i>
      <x v="6"/>
    </i>
    <i>
      <x v="320"/>
    </i>
    <i>
      <x v="41"/>
    </i>
    <i>
      <x v="450"/>
    </i>
    <i>
      <x v="475"/>
    </i>
    <i>
      <x v="658"/>
    </i>
    <i>
      <x v="35"/>
    </i>
    <i>
      <x v="287"/>
    </i>
    <i>
      <x v="166"/>
    </i>
    <i>
      <x v="55"/>
    </i>
    <i>
      <x v="526"/>
    </i>
    <i>
      <x v="628"/>
    </i>
    <i>
      <x v="313"/>
    </i>
    <i>
      <x v="378"/>
    </i>
    <i>
      <x v="3"/>
    </i>
    <i>
      <x v="558"/>
    </i>
    <i>
      <x v="14"/>
    </i>
    <i>
      <x v="509"/>
    </i>
    <i>
      <x v="256"/>
    </i>
    <i>
      <x v="139"/>
    </i>
    <i>
      <x v="552"/>
    </i>
    <i>
      <x v="93"/>
    </i>
    <i>
      <x v="610"/>
    </i>
    <i>
      <x v="297"/>
    </i>
    <i>
      <x v="425"/>
    </i>
    <i>
      <x v="155"/>
    </i>
    <i>
      <x v="8"/>
    </i>
    <i>
      <x v="375"/>
    </i>
    <i>
      <x v="5"/>
    </i>
    <i>
      <x v="201"/>
    </i>
    <i>
      <x v="150"/>
    </i>
    <i>
      <x v="184"/>
    </i>
    <i>
      <x v="596"/>
    </i>
    <i>
      <x v="207"/>
    </i>
    <i>
      <x v="79"/>
    </i>
    <i>
      <x v="611"/>
    </i>
    <i>
      <x v="501"/>
    </i>
    <i>
      <x v="31"/>
    </i>
    <i>
      <x v="633"/>
    </i>
    <i>
      <x v="389"/>
    </i>
    <i>
      <x v="648"/>
    </i>
    <i>
      <x v="280"/>
    </i>
    <i>
      <x v="572"/>
    </i>
    <i>
      <x v="456"/>
    </i>
    <i>
      <x v="737"/>
    </i>
    <i>
      <x v="444"/>
    </i>
    <i>
      <x v="262"/>
    </i>
    <i>
      <x v="266"/>
    </i>
    <i>
      <x v="607"/>
    </i>
    <i>
      <x v="535"/>
    </i>
    <i>
      <x v="115"/>
    </i>
    <i>
      <x v="344"/>
    </i>
    <i>
      <x v="401"/>
    </i>
    <i>
      <x v="620"/>
    </i>
    <i>
      <x v="174"/>
    </i>
    <i>
      <x v="708"/>
    </i>
    <i>
      <x v="258"/>
    </i>
    <i>
      <x v="681"/>
    </i>
    <i>
      <x v="473"/>
    </i>
    <i>
      <x v="267"/>
    </i>
    <i>
      <x v="249"/>
    </i>
    <i>
      <x v="421"/>
    </i>
    <i>
      <x v="89"/>
    </i>
    <i>
      <x v="656"/>
    </i>
    <i>
      <x v="707"/>
    </i>
    <i>
      <x v="111"/>
    </i>
    <i>
      <x v="215"/>
    </i>
    <i>
      <x v="404"/>
    </i>
    <i>
      <x v="72"/>
    </i>
    <i>
      <x v="94"/>
    </i>
    <i>
      <x v="436"/>
    </i>
    <i>
      <x v="491"/>
    </i>
    <i>
      <x v="463"/>
    </i>
    <i>
      <x v="144"/>
    </i>
    <i>
      <x v="580"/>
    </i>
    <i>
      <x v="293"/>
    </i>
    <i>
      <x v="288"/>
    </i>
    <i>
      <x v="532"/>
    </i>
    <i>
      <x v="132"/>
    </i>
    <i>
      <x v="718"/>
    </i>
    <i>
      <x v="101"/>
    </i>
    <i>
      <x v="440"/>
    </i>
    <i>
      <x v="528"/>
    </i>
    <i>
      <x v="255"/>
    </i>
    <i>
      <x v="243"/>
    </i>
    <i>
      <x v="130"/>
    </i>
    <i>
      <x v="734"/>
    </i>
    <i>
      <x v="604"/>
    </i>
    <i>
      <x v="371"/>
    </i>
    <i>
      <x v="725"/>
    </i>
    <i>
      <x v="549"/>
    </i>
    <i>
      <x v="709"/>
    </i>
    <i>
      <x v="583"/>
    </i>
    <i>
      <x v="86"/>
    </i>
    <i>
      <x v="564"/>
    </i>
    <i>
      <x v="519"/>
    </i>
    <i>
      <x v="438"/>
    </i>
    <i>
      <x v="162"/>
    </i>
    <i>
      <x v="196"/>
    </i>
    <i>
      <x v="577"/>
    </i>
    <i>
      <x v="517"/>
    </i>
    <i>
      <x v="390"/>
    </i>
    <i>
      <x v="591"/>
    </i>
    <i>
      <x v="630"/>
    </i>
    <i>
      <x v="645"/>
    </i>
    <i>
      <x v="121"/>
    </i>
    <i>
      <x v="261"/>
    </i>
    <i>
      <x v="626"/>
    </i>
    <i>
      <x v="409"/>
    </i>
    <i>
      <x v="457"/>
    </i>
    <i>
      <x v="372"/>
    </i>
    <i>
      <x v="544"/>
    </i>
    <i>
      <x v="146"/>
    </i>
    <i>
      <x v="717"/>
    </i>
    <i>
      <x v="679"/>
    </i>
    <i>
      <x v="220"/>
    </i>
    <i>
      <x v="242"/>
    </i>
    <i>
      <x v="192"/>
    </i>
    <i>
      <x v="114"/>
    </i>
    <i>
      <x v="39"/>
    </i>
    <i>
      <x v="714"/>
    </i>
    <i>
      <x v="675"/>
    </i>
    <i>
      <x v="346"/>
    </i>
    <i>
      <x v="308"/>
    </i>
    <i>
      <x v="606"/>
    </i>
    <i>
      <x v="615"/>
    </i>
    <i>
      <x v="277"/>
    </i>
    <i>
      <x v="387"/>
    </i>
    <i>
      <x v="104"/>
    </i>
    <i>
      <x v="713"/>
    </i>
    <i>
      <x v="326"/>
    </i>
    <i>
      <x v="699"/>
    </i>
    <i>
      <x v="294"/>
    </i>
    <i>
      <x v="470"/>
    </i>
    <i>
      <x v="638"/>
    </i>
    <i>
      <x v="506"/>
    </i>
    <i>
      <x v="169"/>
    </i>
    <i>
      <x v="20"/>
    </i>
    <i>
      <x v="367"/>
    </i>
    <i>
      <x/>
    </i>
    <i>
      <x v="161"/>
    </i>
    <i>
      <x v="599"/>
    </i>
    <i>
      <x v="328"/>
    </i>
    <i>
      <x v="248"/>
    </i>
    <i>
      <x v="120"/>
    </i>
    <i>
      <x v="674"/>
    </i>
    <i>
      <x v="133"/>
    </i>
    <i>
      <x v="540"/>
    </i>
    <i>
      <x v="538"/>
    </i>
    <i>
      <x v="219"/>
    </i>
    <i>
      <x v="503"/>
    </i>
    <i>
      <x v="394"/>
    </i>
    <i>
      <x v="683"/>
    </i>
    <i>
      <x v="458"/>
    </i>
    <i>
      <x v="682"/>
    </i>
    <i>
      <x v="134"/>
    </i>
    <i>
      <x v="285"/>
    </i>
    <i>
      <x v="623"/>
    </i>
    <i>
      <x v="726"/>
    </i>
    <i>
      <x v="106"/>
    </i>
    <i>
      <x v="576"/>
    </i>
    <i>
      <x v="493"/>
    </i>
    <i>
      <x v="96"/>
    </i>
    <i>
      <x v="204"/>
    </i>
    <i>
      <x v="632"/>
    </i>
    <i>
      <x v="392"/>
    </i>
    <i>
      <x v="271"/>
    </i>
    <i>
      <x v="418"/>
    </i>
    <i>
      <x v="361"/>
    </i>
    <i>
      <x v="232"/>
    </i>
    <i>
      <x v="434"/>
    </i>
    <i>
      <x v="691"/>
    </i>
    <i>
      <x v="514"/>
    </i>
    <i>
      <x v="307"/>
    </i>
    <i>
      <x v="154"/>
    </i>
    <i>
      <x v="496"/>
    </i>
    <i>
      <x v="119"/>
    </i>
    <i>
      <x v="63"/>
    </i>
    <i>
      <x v="318"/>
    </i>
    <i>
      <x v="383"/>
    </i>
    <i>
      <x v="703"/>
    </i>
    <i>
      <x v="135"/>
    </i>
    <i>
      <x v="92"/>
    </i>
    <i>
      <x v="527"/>
    </i>
    <i>
      <x v="157"/>
    </i>
    <i>
      <x v="393"/>
    </i>
    <i>
      <x v="595"/>
    </i>
    <i>
      <x v="137"/>
    </i>
    <i>
      <x v="270"/>
    </i>
    <i>
      <x v="446"/>
    </i>
    <i>
      <x v="17"/>
    </i>
    <i>
      <x v="108"/>
    </i>
    <i>
      <x v="222"/>
    </i>
    <i>
      <x v="241"/>
    </i>
    <i>
      <x v="331"/>
    </i>
    <i>
      <x v="109"/>
    </i>
    <i>
      <x v="619"/>
    </i>
    <i>
      <x v="531"/>
    </i>
    <i>
      <x v="66"/>
    </i>
    <i>
      <x v="428"/>
    </i>
    <i>
      <x v="127"/>
    </i>
    <i>
      <x v="24"/>
    </i>
    <i>
      <x v="407"/>
    </i>
    <i>
      <x v="522"/>
    </i>
    <i>
      <x v="489"/>
    </i>
    <i>
      <x v="235"/>
    </i>
    <i>
      <x v="562"/>
    </i>
    <i>
      <x v="113"/>
    </i>
    <i>
      <x v="355"/>
    </i>
    <i>
      <x v="279"/>
    </i>
    <i>
      <x v="124"/>
    </i>
    <i>
      <x v="431"/>
    </i>
    <i>
      <x v="178"/>
    </i>
    <i>
      <x v="76"/>
    </i>
    <i>
      <x v="69"/>
    </i>
    <i>
      <x v="667"/>
    </i>
    <i>
      <x v="233"/>
    </i>
    <i>
      <x v="697"/>
    </i>
    <i>
      <x v="182"/>
    </i>
    <i>
      <x v="273"/>
    </i>
    <i>
      <x v="345"/>
    </i>
    <i>
      <x v="465"/>
    </i>
    <i>
      <x v="48"/>
    </i>
    <i>
      <x v="358"/>
    </i>
    <i>
      <x v="603"/>
    </i>
    <i>
      <x v="639"/>
    </i>
    <i>
      <x v="190"/>
    </i>
    <i>
      <x v="77"/>
    </i>
    <i>
      <x v="341"/>
    </i>
    <i>
      <x v="302"/>
    </i>
    <i>
      <x v="555"/>
    </i>
    <i>
      <x v="589"/>
    </i>
    <i>
      <x v="42"/>
    </i>
    <i>
      <x v="543"/>
    </i>
    <i>
      <x v="52"/>
    </i>
    <i>
      <x v="423"/>
    </i>
    <i>
      <x v="224"/>
    </i>
    <i>
      <x v="495"/>
    </i>
    <i>
      <x v="244"/>
    </i>
    <i>
      <x v="592"/>
    </i>
    <i>
      <x v="257"/>
    </i>
    <i>
      <x v="298"/>
    </i>
    <i>
      <x v="451"/>
    </i>
    <i>
      <x v="469"/>
    </i>
    <i>
      <x v="417"/>
    </i>
    <i>
      <x v="343"/>
    </i>
    <i>
      <x v="291"/>
    </i>
    <i>
      <x v="448"/>
    </i>
    <i>
      <x v="370"/>
    </i>
    <i>
      <x v="71"/>
    </i>
    <i>
      <x v="537"/>
    </i>
    <i>
      <x v="225"/>
    </i>
    <i>
      <x v="160"/>
    </i>
    <i>
      <x v="19"/>
    </i>
    <i>
      <x v="433"/>
    </i>
    <i>
      <x v="529"/>
    </i>
    <i>
      <x v="32"/>
    </i>
    <i>
      <x v="147"/>
    </i>
    <i>
      <x v="486"/>
    </i>
    <i>
      <x v="213"/>
    </i>
    <i>
      <x v="650"/>
    </i>
    <i>
      <x v="246"/>
    </i>
    <i>
      <x v="464"/>
    </i>
    <i>
      <x v="44"/>
    </i>
    <i>
      <x v="500"/>
    </i>
    <i>
      <x v="36"/>
    </i>
    <i>
      <x v="149"/>
    </i>
    <i>
      <x v="693"/>
    </i>
    <i>
      <x v="231"/>
    </i>
    <i>
      <x v="105"/>
    </i>
    <i>
      <x v="70"/>
    </i>
    <i>
      <x v="413"/>
    </i>
    <i>
      <x v="539"/>
    </i>
    <i>
      <x v="460"/>
    </i>
    <i>
      <x v="338"/>
    </i>
    <i>
      <x v="487"/>
    </i>
    <i>
      <x v="60"/>
    </i>
    <i>
      <x v="180"/>
    </i>
    <i>
      <x v="731"/>
    </i>
    <i>
      <x v="56"/>
    </i>
    <i>
      <x v="692"/>
    </i>
    <i>
      <x v="502"/>
    </i>
    <i>
      <x v="593"/>
    </i>
    <i>
      <x v="711"/>
    </i>
    <i>
      <x v="299"/>
    </i>
    <i>
      <x v="557"/>
    </i>
    <i>
      <x v="397"/>
    </i>
    <i>
      <x v="321"/>
    </i>
    <i>
      <x v="200"/>
    </i>
    <i>
      <x v="304"/>
    </i>
    <i>
      <x v="416"/>
    </i>
    <i>
      <x v="325"/>
    </i>
    <i>
      <x v="316"/>
    </i>
    <i>
      <x v="40"/>
    </i>
    <i>
      <x v="400"/>
    </i>
    <i>
      <x v="728"/>
    </i>
    <i>
      <x v="276"/>
    </i>
    <i>
      <x v="314"/>
    </i>
    <i>
      <x v="376"/>
    </i>
    <i>
      <x v="158"/>
    </i>
    <i>
      <x v="237"/>
    </i>
    <i>
      <x v="112"/>
    </i>
    <i>
      <x v="663"/>
    </i>
    <i>
      <x v="194"/>
    </i>
    <i>
      <x v="43"/>
    </i>
    <i>
      <x v="605"/>
    </i>
    <i>
      <x v="665"/>
    </i>
    <i>
      <x v="701"/>
    </i>
    <i>
      <x v="210"/>
    </i>
    <i>
      <x v="90"/>
    </i>
    <i>
      <x v="218"/>
    </i>
    <i>
      <x v="598"/>
    </i>
    <i>
      <x v="123"/>
    </i>
    <i>
      <x v="99"/>
    </i>
    <i>
      <x v="74"/>
    </i>
    <i>
      <x v="189"/>
    </i>
    <i>
      <x v="406"/>
    </i>
    <i>
      <x v="521"/>
    </i>
    <i>
      <x v="102"/>
    </i>
    <i>
      <x v="490"/>
    </i>
    <i>
      <x v="13"/>
    </i>
    <i>
      <x v="676"/>
    </i>
    <i>
      <x v="666"/>
    </i>
    <i>
      <x v="347"/>
    </i>
    <i>
      <x v="439"/>
    </i>
    <i>
      <x v="636"/>
    </i>
    <i>
      <x v="461"/>
    </i>
    <i>
      <x v="403"/>
    </i>
    <i>
      <x v="363"/>
    </i>
    <i>
      <x v="653"/>
    </i>
    <i>
      <x v="483"/>
    </i>
    <i>
      <x v="548"/>
    </i>
    <i>
      <x v="360"/>
    </i>
    <i>
      <x v="379"/>
    </i>
    <i>
      <x v="354"/>
    </i>
    <i>
      <x v="209"/>
    </i>
    <i>
      <x v="216"/>
    </i>
    <i>
      <x v="152"/>
    </i>
    <i>
      <x v="33"/>
    </i>
    <i>
      <x v="551"/>
    </i>
    <i>
      <x v="600"/>
    </i>
    <i>
      <x v="129"/>
    </i>
    <i>
      <x v="669"/>
    </i>
    <i>
      <x v="402"/>
    </i>
    <i>
      <x v="87"/>
    </i>
    <i>
      <x v="11"/>
    </i>
    <i>
      <x v="716"/>
    </i>
    <i>
      <x v="64"/>
    </i>
    <i>
      <x v="649"/>
    </i>
    <i>
      <x v="712"/>
    </i>
    <i>
      <x v="545"/>
    </i>
    <i>
      <x v="466"/>
    </i>
    <i>
      <x v="635"/>
    </i>
    <i>
      <x v="492"/>
    </i>
    <i>
      <x v="197"/>
    </i>
    <i>
      <x v="516"/>
    </i>
    <i>
      <x v="640"/>
    </i>
    <i>
      <x v="366"/>
    </i>
    <i>
      <x v="385"/>
    </i>
    <i>
      <x v="80"/>
    </i>
    <i>
      <x v="118"/>
    </i>
    <i>
      <x v="45"/>
    </i>
    <i>
      <x v="58"/>
    </i>
    <i>
      <x v="226"/>
    </i>
    <i>
      <x v="15"/>
    </i>
    <i>
      <x v="661"/>
    </i>
    <i>
      <x v="305"/>
    </i>
    <i>
      <x v="432"/>
    </i>
    <i>
      <x v="199"/>
    </i>
    <i>
      <x v="18"/>
    </i>
    <i>
      <x v="107"/>
    </i>
    <i>
      <x v="214"/>
    </i>
    <i>
      <x v="507"/>
    </i>
    <i>
      <x v="357"/>
    </i>
    <i>
      <x v="542"/>
    </i>
    <i>
      <x v="472"/>
    </i>
    <i>
      <x v="240"/>
    </i>
    <i>
      <x v="662"/>
    </i>
    <i>
      <x v="688"/>
    </i>
    <i>
      <x v="110"/>
    </i>
    <i>
      <x v="348"/>
    </i>
    <i>
      <x v="275"/>
    </i>
    <i>
      <x v="350"/>
    </i>
    <i>
      <x v="627"/>
    </i>
    <i>
      <x v="715"/>
    </i>
    <i>
      <x v="268"/>
    </i>
    <i>
      <x v="351"/>
    </i>
    <i>
      <x v="202"/>
    </i>
    <i>
      <x v="22"/>
    </i>
    <i>
      <x v="647"/>
    </i>
    <i>
      <x v="412"/>
    </i>
    <i>
      <x v="330"/>
    </i>
    <i>
      <x v="695"/>
    </i>
    <i>
      <x v="136"/>
    </i>
    <i>
      <x v="21"/>
    </i>
    <i>
      <x v="480"/>
    </i>
    <i>
      <x v="618"/>
    </i>
    <i>
      <x v="624"/>
    </i>
    <i>
      <x v="670"/>
    </i>
    <i>
      <x v="659"/>
    </i>
    <i>
      <x v="364"/>
    </i>
    <i>
      <x v="690"/>
    </i>
    <i>
      <x v="61"/>
    </i>
    <i>
      <x v="408"/>
    </i>
    <i>
      <x v="286"/>
    </i>
    <i>
      <x v="646"/>
    </i>
    <i>
      <x v="546"/>
    </i>
    <i>
      <x v="629"/>
    </i>
    <i>
      <x v="467"/>
    </i>
    <i>
      <x v="172"/>
    </i>
    <i>
      <x v="644"/>
    </i>
    <i>
      <x v="7"/>
    </i>
    <i>
      <x v="386"/>
    </i>
    <i>
      <x v="145"/>
    </i>
    <i>
      <x v="59"/>
    </i>
    <i>
      <x v="195"/>
    </i>
    <i>
      <x v="83"/>
    </i>
    <i>
      <x v="177"/>
    </i>
    <i>
      <x v="499"/>
    </i>
    <i>
      <x v="259"/>
    </i>
    <i>
      <x v="12"/>
    </i>
    <i>
      <x v="27"/>
    </i>
    <i>
      <x v="484"/>
    </i>
    <i>
      <x v="254"/>
    </i>
    <i>
      <x v="384"/>
    </i>
    <i>
      <x v="696"/>
    </i>
    <i>
      <x v="608"/>
    </i>
    <i>
      <x v="88"/>
    </i>
    <i>
      <x v="411"/>
    </i>
    <i>
      <x v="442"/>
    </i>
    <i>
      <x v="685"/>
    </i>
    <i>
      <x v="724"/>
    </i>
    <i>
      <x v="163"/>
    </i>
    <i>
      <x v="625"/>
    </i>
    <i>
      <x v="563"/>
    </i>
    <i>
      <x v="575"/>
    </i>
    <i>
      <x v="584"/>
    </i>
    <i>
      <x v="671"/>
    </i>
    <i>
      <x v="437"/>
    </i>
    <i>
      <x v="477"/>
    </i>
    <i>
      <x v="290"/>
    </i>
    <i>
      <x v="454"/>
    </i>
    <i>
      <x v="57"/>
    </i>
    <i>
      <x v="167"/>
    </i>
    <i>
      <x v="295"/>
    </i>
    <i>
      <x v="673"/>
    </i>
    <i>
      <x v="613"/>
    </i>
    <i>
      <x v="125"/>
    </i>
    <i>
      <x v="498"/>
    </i>
    <i>
      <x v="485"/>
    </i>
    <i>
      <x v="278"/>
    </i>
    <i>
      <x v="710"/>
    </i>
    <i>
      <x v="513"/>
    </i>
    <i>
      <x v="317"/>
    </i>
    <i>
      <x v="282"/>
    </i>
    <i>
      <x v="476"/>
    </i>
    <i>
      <x v="335"/>
    </i>
    <i>
      <x v="729"/>
    </i>
    <i>
      <x v="84"/>
    </i>
    <i>
      <x v="29"/>
    </i>
    <i>
      <x v="479"/>
    </i>
    <i>
      <x v="311"/>
    </i>
    <i>
      <x v="239"/>
    </i>
    <i>
      <x v="668"/>
    </i>
    <i>
      <x v="336"/>
    </i>
    <i>
      <x v="700"/>
    </i>
    <i>
      <x v="567"/>
    </i>
    <i>
      <x v="612"/>
    </i>
    <i>
      <x v="560"/>
    </i>
    <i>
      <x v="193"/>
    </i>
    <i>
      <x v="520"/>
    </i>
    <i>
      <x v="505"/>
    </i>
    <i>
      <x v="504"/>
    </i>
    <i>
      <x v="684"/>
    </i>
    <i>
      <x v="652"/>
    </i>
    <i>
      <x v="643"/>
    </i>
    <i>
      <x v="497"/>
    </i>
    <i>
      <x v="443"/>
    </i>
    <i>
      <x v="597"/>
    </i>
    <i>
      <x v="126"/>
    </i>
    <i>
      <x v="391"/>
    </i>
    <i>
      <x v="324"/>
    </i>
    <i>
      <x v="168"/>
    </i>
    <i>
      <x v="588"/>
    </i>
    <i>
      <x v="382"/>
    </i>
    <i>
      <x v="420"/>
    </i>
    <i>
      <x v="50"/>
    </i>
    <i>
      <x v="217"/>
    </i>
    <i>
      <x v="573"/>
    </i>
    <i>
      <x v="554"/>
    </i>
    <i>
      <x v="359"/>
    </i>
    <i>
      <x v="678"/>
    </i>
    <i>
      <x v="143"/>
    </i>
    <i>
      <x v="85"/>
    </i>
    <i>
      <x v="322"/>
    </i>
    <i>
      <x v="95"/>
    </i>
    <i>
      <x v="453"/>
    </i>
    <i>
      <x v="82"/>
    </i>
    <i>
      <x v="581"/>
    </i>
    <i>
      <x v="223"/>
    </i>
    <i>
      <x v="247"/>
    </i>
    <i>
      <x v="185"/>
    </i>
    <i>
      <x v="250"/>
    </i>
    <i>
      <x v="122"/>
    </i>
    <i>
      <x v="559"/>
    </i>
    <i>
      <x v="265"/>
    </i>
    <i>
      <x v="569"/>
    </i>
    <i>
      <x v="128"/>
    </i>
    <i>
      <x v="426"/>
    </i>
    <i>
      <x v="289"/>
    </i>
    <i>
      <x v="181"/>
    </i>
    <i>
      <x v="47"/>
    </i>
    <i>
      <x v="566"/>
    </i>
    <i>
      <x v="9"/>
    </i>
    <i>
      <x v="323"/>
    </i>
    <i>
      <x v="191"/>
    </i>
    <i>
      <x v="445"/>
    </i>
    <i>
      <x v="310"/>
    </i>
    <i>
      <x v="205"/>
    </i>
    <i>
      <x v="303"/>
    </i>
    <i>
      <x v="482"/>
    </i>
    <i>
      <x v="616"/>
    </i>
    <i>
      <x v="175"/>
    </i>
    <i>
      <x v="631"/>
    </i>
    <i>
      <x v="399"/>
    </i>
    <i>
      <x v="251"/>
    </i>
    <i>
      <x v="179"/>
    </i>
    <i>
      <x v="62"/>
    </i>
    <i>
      <x v="478"/>
    </i>
    <i>
      <x v="206"/>
    </i>
    <i>
      <x v="340"/>
    </i>
    <i>
      <x v="171"/>
    </i>
    <i>
      <x v="332"/>
    </i>
    <i>
      <x v="4"/>
    </i>
    <i>
      <x v="574"/>
    </i>
    <i>
      <x v="730"/>
    </i>
    <i>
      <x v="488"/>
    </i>
    <i>
      <x v="23"/>
    </i>
    <i>
      <x v="419"/>
    </i>
    <i>
      <x v="571"/>
    </i>
    <i>
      <x v="512"/>
    </i>
    <i>
      <x v="430"/>
    </i>
    <i>
      <x v="368"/>
    </i>
    <i>
      <x v="274"/>
    </i>
    <i>
      <x v="617"/>
    </i>
    <i>
      <x v="81"/>
    </i>
    <i>
      <x v="388"/>
    </i>
    <i>
      <x v="508"/>
    </i>
    <i>
      <x v="103"/>
    </i>
    <i>
      <x v="284"/>
    </i>
    <i>
      <x v="269"/>
    </i>
    <i>
      <x v="723"/>
    </i>
    <i>
      <x v="614"/>
    </i>
    <i>
      <x v="73"/>
    </i>
    <i>
      <x v="641"/>
    </i>
    <i>
      <x v="30"/>
    </i>
    <i>
      <x v="228"/>
    </i>
    <i>
      <x v="637"/>
    </i>
    <i>
      <x v="156"/>
    </i>
    <i>
      <x v="292"/>
    </i>
    <i>
      <x v="374"/>
    </i>
    <i>
      <x v="686"/>
    </i>
    <i>
      <x v="553"/>
    </i>
    <i>
      <x v="405"/>
    </i>
    <i>
      <x v="536"/>
    </i>
    <i>
      <x v="722"/>
    </i>
    <i>
      <x v="706"/>
    </i>
    <i>
      <x v="719"/>
    </i>
    <i>
      <x v="672"/>
    </i>
    <i>
      <x v="429"/>
    </i>
    <i>
      <x v="245"/>
    </i>
    <i>
      <x v="34"/>
    </i>
    <i>
      <x v="339"/>
    </i>
    <i>
      <x v="117"/>
    </i>
    <i>
      <x v="51"/>
    </i>
    <i>
      <x v="54"/>
    </i>
    <i>
      <x v="525"/>
    </i>
    <i>
      <x v="164"/>
    </i>
    <i>
      <x v="234"/>
    </i>
    <i>
      <x v="349"/>
    </i>
    <i>
      <x v="148"/>
    </i>
    <i>
      <x v="238"/>
    </i>
    <i>
      <x v="75"/>
    </i>
    <i>
      <x v="449"/>
    </i>
    <i>
      <x v="38"/>
    </i>
    <i>
      <x v="26"/>
    </i>
    <i>
      <x v="424"/>
    </i>
    <i>
      <x v="655"/>
    </i>
    <i>
      <x v="1"/>
    </i>
    <i>
      <x v="530"/>
    </i>
    <i>
      <x v="165"/>
    </i>
    <i>
      <x v="319"/>
    </i>
    <i>
      <x v="471"/>
    </i>
    <i>
      <x v="142"/>
    </i>
    <i>
      <x v="634"/>
    </i>
    <i>
      <x v="494"/>
    </i>
    <i>
      <x v="415"/>
    </i>
    <i>
      <x v="705"/>
    </i>
    <i>
      <x v="183"/>
    </i>
    <i>
      <x v="642"/>
    </i>
    <i>
      <x v="281"/>
    </i>
    <i>
      <x v="16"/>
    </i>
    <i>
      <x v="365"/>
    </i>
    <i>
      <x v="547"/>
    </i>
    <i>
      <x v="651"/>
    </i>
    <i>
      <x v="602"/>
    </i>
    <i>
      <x v="727"/>
    </i>
    <i>
      <x v="188"/>
    </i>
    <i>
      <x v="138"/>
    </i>
    <i>
      <x v="561"/>
    </i>
    <i>
      <x v="736"/>
    </i>
    <i>
      <x v="67"/>
    </i>
    <i>
      <x v="301"/>
    </i>
    <i>
      <x v="283"/>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E6BA30-E389-479F-8D92-82164E366B4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0" firstHeaderRow="1" firstDataRow="1" firstDataCol="1"/>
  <pivotFields count="11">
    <pivotField numFmtId="164" showAll="0"/>
    <pivotField numFmtId="1" showAll="0">
      <items count="5">
        <item x="0"/>
        <item x="1"/>
        <item x="2"/>
        <item x="3"/>
        <item t="default"/>
      </items>
    </pivotField>
    <pivotField numFmtId="1" showAll="0"/>
    <pivotField showAll="0"/>
    <pivotField axis="axisRow" showAll="0">
      <items count="49">
        <item x="34"/>
        <item x="23"/>
        <item x="9"/>
        <item x="5"/>
        <item x="15"/>
        <item x="25"/>
        <item x="37"/>
        <item x="44"/>
        <item x="11"/>
        <item x="19"/>
        <item x="36"/>
        <item x="3"/>
        <item x="33"/>
        <item x="43"/>
        <item x="39"/>
        <item x="17"/>
        <item x="30"/>
        <item x="31"/>
        <item x="24"/>
        <item x="6"/>
        <item x="10"/>
        <item x="7"/>
        <item x="32"/>
        <item x="22"/>
        <item x="38"/>
        <item x="27"/>
        <item x="14"/>
        <item x="41"/>
        <item x="8"/>
        <item x="35"/>
        <item x="2"/>
        <item x="12"/>
        <item x="18"/>
        <item x="28"/>
        <item x="16"/>
        <item x="13"/>
        <item x="40"/>
        <item x="29"/>
        <item x="46"/>
        <item x="26"/>
        <item x="4"/>
        <item x="21"/>
        <item x="42"/>
        <item x="20"/>
        <item x="1"/>
        <item x="47"/>
        <item x="0"/>
        <item x="45"/>
        <item t="default"/>
      </items>
    </pivotField>
    <pivotField showAll="0">
      <items count="4">
        <item x="1"/>
        <item x="2"/>
        <item x="0"/>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905C98-CD3A-42A7-9552-FF7BC6C19F7B}" name="PivotTable8"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1:E5"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E2B299A-BF9D-46DF-9A44-1A0EB6445EC8}" sourceName="Year">
  <pivotTables>
    <pivotTable tabId="4" name="PivotTable5"/>
    <pivotTable tabId="2" name="PivotTable1"/>
    <pivotTable tabId="6" name="PivotTable7"/>
  </pivotTables>
  <data>
    <tabular pivotCacheId="114261463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C34FF5C-BFD4-42F5-8A5E-E25A902E9961}" sourceName="Category">
  <pivotTables>
    <pivotTable tabId="6" name="PivotTable7"/>
    <pivotTable tabId="4" name="PivotTable5"/>
    <pivotTable tabId="5" name="PivotTable6"/>
    <pivotTable tabId="2" name="PivotTable1"/>
  </pivotTables>
  <data>
    <tabular pivotCacheId="114261463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EEF35FE-15A8-45E7-B23C-8581FA8F5B97}" cache="Slicer_Year" caption="Year" columnCount="4" style="SlicerStyleOther1" rowHeight="241300"/>
  <slicer name="Category" xr10:uid="{CA5B87F8-7AD3-4415-A449-E2FBD725DDBD}" cache="Slicer_Category" caption="Category" columnCount="3"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4D9FA8-F483-4573-A450-32E1AB77D5DE}" name="salesdata" displayName="salesdata" ref="A1:K4043" totalsRowShown="0">
  <autoFilter ref="A1:K4043" xr:uid="{504D9FA8-F483-4573-A450-32E1AB77D5DE}"/>
  <tableColumns count="11">
    <tableColumn id="1" xr3:uid="{5FFC2D13-2C16-4DD1-8661-EC279AC9551E}" name="Order Date" dataDxfId="6"/>
    <tableColumn id="13" xr3:uid="{A9AD56F3-AE8C-4F11-9C98-BA73B581C4B4}" name="Year" dataDxfId="5">
      <calculatedColumnFormula>YEAR(A2)</calculatedColumnFormula>
    </tableColumn>
    <tableColumn id="12" xr3:uid="{C0BED694-22CF-4713-B092-08D9D725522F}" name="Month" dataDxfId="4">
      <calculatedColumnFormula>MONTH(A2)</calculatedColumnFormula>
    </tableColumn>
    <tableColumn id="4" xr3:uid="{1714C179-635D-404F-864C-714BC078917F}" name="Customer Name"/>
    <tableColumn id="5" xr3:uid="{17FD98E4-D3E3-44B2-A9DB-90C2B709B43B}" name="State"/>
    <tableColumn id="6" xr3:uid="{A9F6CCCF-6E16-4F39-BFB3-DE27668D06DB}" name="Category"/>
    <tableColumn id="7" xr3:uid="{592AA087-42FF-40D4-8CFD-8A329F79919A}" name="Sub-Category"/>
    <tableColumn id="8" xr3:uid="{956034B6-F3FE-4F37-BA50-8D548534EA29}" name="Product Name"/>
    <tableColumn id="9" xr3:uid="{EDE9DBC3-653A-4580-B297-3C20B8772FB9}" name="Sales" dataDxfId="3"/>
    <tableColumn id="10" xr3:uid="{FF08EE1D-9682-4D55-8935-D62A8BC8D69D}" name="Quantity" dataDxfId="2"/>
    <tableColumn id="11" xr3:uid="{D42E8C73-9607-4246-86C0-41224AEC6175}" name="Profit"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79EDCD-4F5E-4A09-8D7D-63256AB9D334}" name="customercount" displayName="customercount" ref="A1:B1474" totalsRowShown="0">
  <autoFilter ref="A1:B1474" xr:uid="{C379EDCD-4F5E-4A09-8D7D-63256AB9D334}"/>
  <tableColumns count="2">
    <tableColumn id="1" xr3:uid="{DDD01A50-4A84-4D6B-896A-C7579FAA2E44}" name="Year" dataDxfId="0"/>
    <tableColumn id="2" xr3:uid="{FFC953EC-D7BC-4691-A0A9-46DED865F552}"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B2686-8064-423A-8EB9-B19BA676F03E}">
  <dimension ref="A1:K4043"/>
  <sheetViews>
    <sheetView workbookViewId="0">
      <selection activeCell="D1" sqref="D1"/>
    </sheetView>
  </sheetViews>
  <sheetFormatPr defaultRowHeight="14.5" x14ac:dyDescent="0.35"/>
  <cols>
    <col min="1" max="1" width="12.1796875" style="1" customWidth="1"/>
    <col min="2" max="3" width="12.1796875" style="3" customWidth="1"/>
    <col min="4" max="4" width="16.36328125" customWidth="1"/>
    <col min="6" max="6" width="10.26953125" customWidth="1"/>
    <col min="7" max="7" width="14" customWidth="1"/>
    <col min="8" max="8" width="14.81640625" customWidth="1"/>
    <col min="9" max="9" width="8.7265625" style="2"/>
    <col min="10" max="10" width="10.1796875" style="3" customWidth="1"/>
    <col min="11" max="11" width="8.7265625" style="2"/>
  </cols>
  <sheetData>
    <row r="1" spans="1:11" x14ac:dyDescent="0.35">
      <c r="A1" s="1" t="s">
        <v>0</v>
      </c>
      <c r="B1" s="3" t="s">
        <v>1</v>
      </c>
      <c r="C1" s="3" t="s">
        <v>2</v>
      </c>
      <c r="D1" t="s">
        <v>3</v>
      </c>
      <c r="E1" t="s">
        <v>4</v>
      </c>
      <c r="F1" t="s">
        <v>5</v>
      </c>
      <c r="G1" t="s">
        <v>6</v>
      </c>
      <c r="H1" t="s">
        <v>7</v>
      </c>
      <c r="I1" s="2" t="s">
        <v>8</v>
      </c>
      <c r="J1" s="3" t="s">
        <v>9</v>
      </c>
      <c r="K1" s="2" t="s">
        <v>10</v>
      </c>
    </row>
    <row r="2" spans="1:11" x14ac:dyDescent="0.35">
      <c r="A2" s="1">
        <v>41671</v>
      </c>
      <c r="B2" s="3">
        <f t="shared" ref="B2:B65" si="0">YEAR(A2)</f>
        <v>2014</v>
      </c>
      <c r="C2" s="3">
        <f t="shared" ref="C2:C65" si="1">MONTH(A2)</f>
        <v>2</v>
      </c>
      <c r="D2" t="s">
        <v>11</v>
      </c>
      <c r="E2" t="s">
        <v>12</v>
      </c>
      <c r="F2" t="s">
        <v>13</v>
      </c>
      <c r="G2" t="s">
        <v>14</v>
      </c>
      <c r="H2" t="s">
        <v>15</v>
      </c>
      <c r="I2" s="2">
        <v>468.9</v>
      </c>
      <c r="J2" s="3">
        <v>6</v>
      </c>
      <c r="K2" s="2">
        <v>206.32</v>
      </c>
    </row>
    <row r="3" spans="1:11" x14ac:dyDescent="0.35">
      <c r="A3" s="1">
        <v>41699</v>
      </c>
      <c r="B3" s="3">
        <f t="shared" si="0"/>
        <v>2014</v>
      </c>
      <c r="C3" s="3">
        <f t="shared" si="1"/>
        <v>3</v>
      </c>
      <c r="D3" t="s">
        <v>16</v>
      </c>
      <c r="E3" t="s">
        <v>17</v>
      </c>
      <c r="F3" t="s">
        <v>18</v>
      </c>
      <c r="G3" t="s">
        <v>19</v>
      </c>
      <c r="H3" t="s">
        <v>20</v>
      </c>
      <c r="I3" s="2">
        <v>457.57</v>
      </c>
      <c r="J3" s="3">
        <v>2</v>
      </c>
      <c r="K3" s="2">
        <v>51.48</v>
      </c>
    </row>
    <row r="4" spans="1:11" x14ac:dyDescent="0.35">
      <c r="A4" s="1">
        <v>41699</v>
      </c>
      <c r="B4" s="3">
        <f t="shared" si="0"/>
        <v>2014</v>
      </c>
      <c r="C4" s="3">
        <f t="shared" si="1"/>
        <v>3</v>
      </c>
      <c r="D4" t="s">
        <v>21</v>
      </c>
      <c r="E4" t="s">
        <v>22</v>
      </c>
      <c r="F4" t="s">
        <v>13</v>
      </c>
      <c r="G4" t="s">
        <v>23</v>
      </c>
      <c r="H4" t="s">
        <v>24</v>
      </c>
      <c r="I4" s="2">
        <v>5.94</v>
      </c>
      <c r="J4" s="3">
        <v>3</v>
      </c>
      <c r="K4" s="2">
        <v>1.6</v>
      </c>
    </row>
    <row r="5" spans="1:11" x14ac:dyDescent="0.35">
      <c r="A5" s="1">
        <v>41699</v>
      </c>
      <c r="B5" s="3">
        <f t="shared" si="0"/>
        <v>2014</v>
      </c>
      <c r="C5" s="3">
        <f t="shared" si="1"/>
        <v>3</v>
      </c>
      <c r="D5" t="s">
        <v>25</v>
      </c>
      <c r="E5" t="s">
        <v>26</v>
      </c>
      <c r="F5" t="s">
        <v>18</v>
      </c>
      <c r="G5" t="s">
        <v>19</v>
      </c>
      <c r="H5" t="s">
        <v>27</v>
      </c>
      <c r="I5" s="2">
        <v>634.12</v>
      </c>
      <c r="J5" s="3">
        <v>6</v>
      </c>
      <c r="K5" s="2">
        <v>-172.12</v>
      </c>
    </row>
    <row r="6" spans="1:11" x14ac:dyDescent="0.35">
      <c r="A6" s="1">
        <v>41699</v>
      </c>
      <c r="B6" s="3">
        <f t="shared" si="0"/>
        <v>2014</v>
      </c>
      <c r="C6" s="3">
        <f t="shared" si="1"/>
        <v>3</v>
      </c>
      <c r="D6" t="s">
        <v>25</v>
      </c>
      <c r="E6" t="s">
        <v>26</v>
      </c>
      <c r="F6" t="s">
        <v>28</v>
      </c>
      <c r="G6" t="s">
        <v>29</v>
      </c>
      <c r="H6" t="s">
        <v>30</v>
      </c>
      <c r="I6" s="2">
        <v>17.47</v>
      </c>
      <c r="J6" s="3">
        <v>3</v>
      </c>
      <c r="K6" s="2">
        <v>5.68</v>
      </c>
    </row>
    <row r="7" spans="1:11" x14ac:dyDescent="0.35">
      <c r="A7" s="1">
        <v>41699</v>
      </c>
      <c r="B7" s="3">
        <f t="shared" si="0"/>
        <v>2014</v>
      </c>
      <c r="C7" s="3">
        <f t="shared" si="1"/>
        <v>3</v>
      </c>
      <c r="D7" t="s">
        <v>31</v>
      </c>
      <c r="E7" t="s">
        <v>32</v>
      </c>
      <c r="F7" t="s">
        <v>28</v>
      </c>
      <c r="G7" t="s">
        <v>33</v>
      </c>
      <c r="H7" t="s">
        <v>34</v>
      </c>
      <c r="I7" s="2">
        <v>18.84</v>
      </c>
      <c r="J7" s="3">
        <v>5</v>
      </c>
      <c r="K7" s="2">
        <v>-3.53</v>
      </c>
    </row>
    <row r="8" spans="1:11" x14ac:dyDescent="0.35">
      <c r="A8" s="1">
        <v>41699</v>
      </c>
      <c r="B8" s="3">
        <f t="shared" si="0"/>
        <v>2014</v>
      </c>
      <c r="C8" s="3">
        <f t="shared" si="1"/>
        <v>3</v>
      </c>
      <c r="D8" t="s">
        <v>31</v>
      </c>
      <c r="E8" t="s">
        <v>32</v>
      </c>
      <c r="F8" t="s">
        <v>18</v>
      </c>
      <c r="G8" t="s">
        <v>19</v>
      </c>
      <c r="H8" t="s">
        <v>35</v>
      </c>
      <c r="I8" s="2">
        <v>362.25</v>
      </c>
      <c r="J8" s="3">
        <v>6</v>
      </c>
      <c r="K8" s="2">
        <v>0</v>
      </c>
    </row>
    <row r="9" spans="1:11" x14ac:dyDescent="0.35">
      <c r="A9" s="1">
        <v>41699</v>
      </c>
      <c r="B9" s="3">
        <f t="shared" si="0"/>
        <v>2014</v>
      </c>
      <c r="C9" s="3">
        <f t="shared" si="1"/>
        <v>3</v>
      </c>
      <c r="D9" t="s">
        <v>31</v>
      </c>
      <c r="E9" t="s">
        <v>32</v>
      </c>
      <c r="F9" t="s">
        <v>18</v>
      </c>
      <c r="G9" t="s">
        <v>36</v>
      </c>
      <c r="H9" t="s">
        <v>37</v>
      </c>
      <c r="I9" s="2">
        <v>63.55</v>
      </c>
      <c r="J9" s="3">
        <v>6</v>
      </c>
      <c r="K9" s="2">
        <v>-34.950000000000003</v>
      </c>
    </row>
    <row r="10" spans="1:11" x14ac:dyDescent="0.35">
      <c r="A10" s="1">
        <v>41699</v>
      </c>
      <c r="B10" s="3">
        <f t="shared" si="0"/>
        <v>2014</v>
      </c>
      <c r="C10" s="3">
        <f t="shared" si="1"/>
        <v>3</v>
      </c>
      <c r="D10" t="s">
        <v>31</v>
      </c>
      <c r="E10" t="s">
        <v>32</v>
      </c>
      <c r="F10" t="s">
        <v>28</v>
      </c>
      <c r="G10" t="s">
        <v>38</v>
      </c>
      <c r="H10" t="s">
        <v>39</v>
      </c>
      <c r="I10" s="2">
        <v>129.55000000000001</v>
      </c>
      <c r="J10" s="3">
        <v>3</v>
      </c>
      <c r="K10" s="2">
        <v>-22.67</v>
      </c>
    </row>
    <row r="11" spans="1:11" x14ac:dyDescent="0.35">
      <c r="A11" s="1">
        <v>41699</v>
      </c>
      <c r="B11" s="3">
        <f t="shared" si="0"/>
        <v>2014</v>
      </c>
      <c r="C11" s="3">
        <f t="shared" si="1"/>
        <v>3</v>
      </c>
      <c r="D11" t="s">
        <v>40</v>
      </c>
      <c r="E11" t="s">
        <v>32</v>
      </c>
      <c r="F11" t="s">
        <v>28</v>
      </c>
      <c r="G11" t="s">
        <v>38</v>
      </c>
      <c r="H11" t="s">
        <v>41</v>
      </c>
      <c r="I11" s="2">
        <v>137.35</v>
      </c>
      <c r="J11" s="3">
        <v>3</v>
      </c>
      <c r="K11" s="2">
        <v>8.58</v>
      </c>
    </row>
    <row r="12" spans="1:11" x14ac:dyDescent="0.35">
      <c r="A12" s="1">
        <v>41699</v>
      </c>
      <c r="B12" s="3">
        <f t="shared" si="0"/>
        <v>2014</v>
      </c>
      <c r="C12" s="3">
        <f t="shared" si="1"/>
        <v>3</v>
      </c>
      <c r="D12" t="s">
        <v>40</v>
      </c>
      <c r="E12" t="s">
        <v>32</v>
      </c>
      <c r="F12" t="s">
        <v>18</v>
      </c>
      <c r="G12" t="s">
        <v>42</v>
      </c>
      <c r="H12" t="s">
        <v>43</v>
      </c>
      <c r="I12" s="2">
        <v>376.51</v>
      </c>
      <c r="J12" s="3">
        <v>3</v>
      </c>
      <c r="K12" s="2">
        <v>-43.03</v>
      </c>
    </row>
    <row r="13" spans="1:11" x14ac:dyDescent="0.35">
      <c r="A13" s="1">
        <v>41730</v>
      </c>
      <c r="B13" s="3">
        <f t="shared" si="0"/>
        <v>2014</v>
      </c>
      <c r="C13" s="3">
        <f t="shared" si="1"/>
        <v>4</v>
      </c>
      <c r="D13" t="s">
        <v>44</v>
      </c>
      <c r="E13" t="s">
        <v>45</v>
      </c>
      <c r="F13" t="s">
        <v>28</v>
      </c>
      <c r="G13" t="s">
        <v>46</v>
      </c>
      <c r="H13" t="s">
        <v>47</v>
      </c>
      <c r="I13" s="2">
        <v>29.6</v>
      </c>
      <c r="J13" s="3">
        <v>2</v>
      </c>
      <c r="K13" s="2">
        <v>14.8</v>
      </c>
    </row>
    <row r="14" spans="1:11" x14ac:dyDescent="0.35">
      <c r="A14" s="1">
        <v>41730</v>
      </c>
      <c r="B14" s="3">
        <f t="shared" si="0"/>
        <v>2014</v>
      </c>
      <c r="C14" s="3">
        <f t="shared" si="1"/>
        <v>4</v>
      </c>
      <c r="D14" t="s">
        <v>44</v>
      </c>
      <c r="E14" t="s">
        <v>45</v>
      </c>
      <c r="F14" t="s">
        <v>28</v>
      </c>
      <c r="G14" t="s">
        <v>48</v>
      </c>
      <c r="H14" t="s">
        <v>49</v>
      </c>
      <c r="I14" s="2">
        <v>17.09</v>
      </c>
      <c r="J14" s="3">
        <v>4</v>
      </c>
      <c r="K14" s="2">
        <v>5.55</v>
      </c>
    </row>
    <row r="15" spans="1:11" x14ac:dyDescent="0.35">
      <c r="A15" s="1">
        <v>41730</v>
      </c>
      <c r="B15" s="3">
        <f t="shared" si="0"/>
        <v>2014</v>
      </c>
      <c r="C15" s="3">
        <f t="shared" si="1"/>
        <v>4</v>
      </c>
      <c r="D15" t="s">
        <v>50</v>
      </c>
      <c r="E15" t="s">
        <v>51</v>
      </c>
      <c r="F15" t="s">
        <v>28</v>
      </c>
      <c r="G15" t="s">
        <v>38</v>
      </c>
      <c r="H15" t="s">
        <v>52</v>
      </c>
      <c r="I15" s="2">
        <v>66.959999999999994</v>
      </c>
      <c r="J15" s="3">
        <v>4</v>
      </c>
      <c r="K15" s="2">
        <v>2.68</v>
      </c>
    </row>
    <row r="16" spans="1:11" x14ac:dyDescent="0.35">
      <c r="A16" s="1">
        <v>41730</v>
      </c>
      <c r="B16" s="3">
        <f t="shared" si="0"/>
        <v>2014</v>
      </c>
      <c r="C16" s="3">
        <f t="shared" si="1"/>
        <v>4</v>
      </c>
      <c r="D16" t="s">
        <v>50</v>
      </c>
      <c r="E16" t="s">
        <v>51</v>
      </c>
      <c r="F16" t="s">
        <v>28</v>
      </c>
      <c r="G16" t="s">
        <v>48</v>
      </c>
      <c r="H16" t="s">
        <v>53</v>
      </c>
      <c r="I16" s="2">
        <v>6.24</v>
      </c>
      <c r="J16" s="3">
        <v>2</v>
      </c>
      <c r="K16" s="2">
        <v>3.06</v>
      </c>
    </row>
    <row r="17" spans="1:11" x14ac:dyDescent="0.35">
      <c r="A17" s="1">
        <v>41791</v>
      </c>
      <c r="B17" s="3">
        <f t="shared" si="0"/>
        <v>2014</v>
      </c>
      <c r="C17" s="3">
        <f t="shared" si="1"/>
        <v>6</v>
      </c>
      <c r="D17" t="s">
        <v>54</v>
      </c>
      <c r="E17" t="s">
        <v>55</v>
      </c>
      <c r="F17" t="s">
        <v>18</v>
      </c>
      <c r="G17" t="s">
        <v>19</v>
      </c>
      <c r="H17" t="s">
        <v>20</v>
      </c>
      <c r="I17" s="2">
        <v>2001.86</v>
      </c>
      <c r="J17" s="3">
        <v>7</v>
      </c>
      <c r="K17" s="2">
        <v>580.54</v>
      </c>
    </row>
    <row r="18" spans="1:11" x14ac:dyDescent="0.35">
      <c r="A18" s="1">
        <v>41791</v>
      </c>
      <c r="B18" s="3">
        <f t="shared" si="0"/>
        <v>2014</v>
      </c>
      <c r="C18" s="3">
        <f t="shared" si="1"/>
        <v>6</v>
      </c>
      <c r="D18" t="s">
        <v>54</v>
      </c>
      <c r="E18" t="s">
        <v>55</v>
      </c>
      <c r="F18" t="s">
        <v>28</v>
      </c>
      <c r="G18" t="s">
        <v>38</v>
      </c>
      <c r="H18" t="s">
        <v>56</v>
      </c>
      <c r="I18" s="2">
        <v>166.72</v>
      </c>
      <c r="J18" s="3">
        <v>2</v>
      </c>
      <c r="K18" s="2">
        <v>41.68</v>
      </c>
    </row>
    <row r="19" spans="1:11" x14ac:dyDescent="0.35">
      <c r="A19" s="1">
        <v>41791</v>
      </c>
      <c r="B19" s="3">
        <f t="shared" si="0"/>
        <v>2014</v>
      </c>
      <c r="C19" s="3">
        <f t="shared" si="1"/>
        <v>6</v>
      </c>
      <c r="D19" t="s">
        <v>54</v>
      </c>
      <c r="E19" t="s">
        <v>55</v>
      </c>
      <c r="F19" t="s">
        <v>28</v>
      </c>
      <c r="G19" t="s">
        <v>29</v>
      </c>
      <c r="H19" t="s">
        <v>57</v>
      </c>
      <c r="I19" s="2">
        <v>47.88</v>
      </c>
      <c r="J19" s="3">
        <v>6</v>
      </c>
      <c r="K19" s="2">
        <v>23.94</v>
      </c>
    </row>
    <row r="20" spans="1:11" x14ac:dyDescent="0.35">
      <c r="A20" s="1">
        <v>41791</v>
      </c>
      <c r="B20" s="3">
        <f t="shared" si="0"/>
        <v>2014</v>
      </c>
      <c r="C20" s="3">
        <f t="shared" si="1"/>
        <v>6</v>
      </c>
      <c r="D20" t="s">
        <v>54</v>
      </c>
      <c r="E20" t="s">
        <v>55</v>
      </c>
      <c r="F20" t="s">
        <v>28</v>
      </c>
      <c r="G20" t="s">
        <v>58</v>
      </c>
      <c r="H20" t="s">
        <v>59</v>
      </c>
      <c r="I20" s="2">
        <v>1503.25</v>
      </c>
      <c r="J20" s="3">
        <v>5</v>
      </c>
      <c r="K20" s="2">
        <v>496.07</v>
      </c>
    </row>
    <row r="21" spans="1:11" x14ac:dyDescent="0.35">
      <c r="A21" s="1">
        <v>41791</v>
      </c>
      <c r="B21" s="3">
        <f t="shared" si="0"/>
        <v>2014</v>
      </c>
      <c r="C21" s="3">
        <f t="shared" si="1"/>
        <v>6</v>
      </c>
      <c r="D21" t="s">
        <v>54</v>
      </c>
      <c r="E21" t="s">
        <v>55</v>
      </c>
      <c r="F21" t="s">
        <v>28</v>
      </c>
      <c r="G21" t="s">
        <v>29</v>
      </c>
      <c r="H21" t="s">
        <v>60</v>
      </c>
      <c r="I21" s="2">
        <v>25.92</v>
      </c>
      <c r="J21" s="3">
        <v>4</v>
      </c>
      <c r="K21" s="2">
        <v>12.44</v>
      </c>
    </row>
    <row r="22" spans="1:11" x14ac:dyDescent="0.35">
      <c r="A22" s="1">
        <v>41791</v>
      </c>
      <c r="B22" s="3">
        <f t="shared" si="0"/>
        <v>2014</v>
      </c>
      <c r="C22" s="3">
        <f t="shared" si="1"/>
        <v>6</v>
      </c>
      <c r="D22" t="s">
        <v>61</v>
      </c>
      <c r="E22" t="s">
        <v>62</v>
      </c>
      <c r="F22" t="s">
        <v>28</v>
      </c>
      <c r="G22" t="s">
        <v>48</v>
      </c>
      <c r="H22" t="s">
        <v>63</v>
      </c>
      <c r="I22" s="2">
        <v>45.48</v>
      </c>
      <c r="J22" s="3">
        <v>3</v>
      </c>
      <c r="K22" s="2">
        <v>20.92</v>
      </c>
    </row>
    <row r="23" spans="1:11" x14ac:dyDescent="0.35">
      <c r="A23" s="1">
        <v>41791</v>
      </c>
      <c r="B23" s="3">
        <f t="shared" si="0"/>
        <v>2014</v>
      </c>
      <c r="C23" s="3">
        <f t="shared" si="1"/>
        <v>6</v>
      </c>
      <c r="D23" t="s">
        <v>61</v>
      </c>
      <c r="E23" t="s">
        <v>62</v>
      </c>
      <c r="F23" t="s">
        <v>28</v>
      </c>
      <c r="G23" t="s">
        <v>64</v>
      </c>
      <c r="H23" t="s">
        <v>65</v>
      </c>
      <c r="I23" s="2">
        <v>289.2</v>
      </c>
      <c r="J23" s="3">
        <v>6</v>
      </c>
      <c r="K23" s="2">
        <v>83.87</v>
      </c>
    </row>
    <row r="24" spans="1:11" x14ac:dyDescent="0.35">
      <c r="A24" s="1">
        <v>41791</v>
      </c>
      <c r="B24" s="3">
        <f t="shared" si="0"/>
        <v>2014</v>
      </c>
      <c r="C24" s="3">
        <f t="shared" si="1"/>
        <v>6</v>
      </c>
      <c r="D24" t="s">
        <v>66</v>
      </c>
      <c r="E24" t="s">
        <v>67</v>
      </c>
      <c r="F24" t="s">
        <v>18</v>
      </c>
      <c r="G24" t="s">
        <v>36</v>
      </c>
      <c r="H24" t="s">
        <v>68</v>
      </c>
      <c r="I24" s="2">
        <v>22.2</v>
      </c>
      <c r="J24" s="3">
        <v>6</v>
      </c>
      <c r="K24" s="2">
        <v>9.1</v>
      </c>
    </row>
    <row r="25" spans="1:11" x14ac:dyDescent="0.35">
      <c r="A25" s="1">
        <v>41791</v>
      </c>
      <c r="B25" s="3">
        <f t="shared" si="0"/>
        <v>2014</v>
      </c>
      <c r="C25" s="3">
        <f t="shared" si="1"/>
        <v>6</v>
      </c>
      <c r="D25" t="s">
        <v>66</v>
      </c>
      <c r="E25" t="s">
        <v>67</v>
      </c>
      <c r="F25" t="s">
        <v>13</v>
      </c>
      <c r="G25" t="s">
        <v>23</v>
      </c>
      <c r="H25" t="s">
        <v>69</v>
      </c>
      <c r="I25" s="2">
        <v>881.93</v>
      </c>
      <c r="J25" s="3">
        <v>7</v>
      </c>
      <c r="K25" s="2">
        <v>229.3</v>
      </c>
    </row>
    <row r="26" spans="1:11" x14ac:dyDescent="0.35">
      <c r="A26" s="1">
        <v>41791</v>
      </c>
      <c r="B26" s="3">
        <f t="shared" si="0"/>
        <v>2014</v>
      </c>
      <c r="C26" s="3">
        <f t="shared" si="1"/>
        <v>6</v>
      </c>
      <c r="D26" t="s">
        <v>70</v>
      </c>
      <c r="E26" t="s">
        <v>71</v>
      </c>
      <c r="F26" t="s">
        <v>28</v>
      </c>
      <c r="G26" t="s">
        <v>48</v>
      </c>
      <c r="H26" t="s">
        <v>72</v>
      </c>
      <c r="I26" s="2">
        <v>138.56</v>
      </c>
      <c r="J26" s="3">
        <v>4</v>
      </c>
      <c r="K26" s="2">
        <v>66.510000000000005</v>
      </c>
    </row>
    <row r="27" spans="1:11" x14ac:dyDescent="0.35">
      <c r="A27" s="1">
        <v>41791</v>
      </c>
      <c r="B27" s="3">
        <f t="shared" si="0"/>
        <v>2014</v>
      </c>
      <c r="C27" s="3">
        <f t="shared" si="1"/>
        <v>6</v>
      </c>
      <c r="D27" t="s">
        <v>70</v>
      </c>
      <c r="E27" t="s">
        <v>71</v>
      </c>
      <c r="F27" t="s">
        <v>28</v>
      </c>
      <c r="G27" t="s">
        <v>58</v>
      </c>
      <c r="H27" t="s">
        <v>73</v>
      </c>
      <c r="I27" s="2">
        <v>65.52</v>
      </c>
      <c r="J27" s="3">
        <v>5</v>
      </c>
      <c r="K27" s="2">
        <v>12.38</v>
      </c>
    </row>
    <row r="28" spans="1:11" x14ac:dyDescent="0.35">
      <c r="A28" s="1">
        <v>41821</v>
      </c>
      <c r="B28" s="3">
        <f t="shared" si="0"/>
        <v>2014</v>
      </c>
      <c r="C28" s="3">
        <f t="shared" si="1"/>
        <v>7</v>
      </c>
      <c r="D28" t="s">
        <v>74</v>
      </c>
      <c r="E28" t="s">
        <v>17</v>
      </c>
      <c r="F28" t="s">
        <v>28</v>
      </c>
      <c r="G28" t="s">
        <v>48</v>
      </c>
      <c r="H28" t="s">
        <v>75</v>
      </c>
      <c r="I28" s="2">
        <v>19.920000000000002</v>
      </c>
      <c r="J28" s="3">
        <v>5</v>
      </c>
      <c r="K28" s="2">
        <v>6.97</v>
      </c>
    </row>
    <row r="29" spans="1:11" x14ac:dyDescent="0.35">
      <c r="A29" s="1">
        <v>41821</v>
      </c>
      <c r="B29" s="3">
        <f t="shared" si="0"/>
        <v>2014</v>
      </c>
      <c r="C29" s="3">
        <f t="shared" si="1"/>
        <v>7</v>
      </c>
      <c r="D29" t="s">
        <v>76</v>
      </c>
      <c r="E29" t="s">
        <v>77</v>
      </c>
      <c r="F29" t="s">
        <v>13</v>
      </c>
      <c r="G29" t="s">
        <v>23</v>
      </c>
      <c r="H29" t="s">
        <v>78</v>
      </c>
      <c r="I29" s="2">
        <v>575.91999999999996</v>
      </c>
      <c r="J29" s="3">
        <v>2</v>
      </c>
      <c r="K29" s="2">
        <v>71.989999999999995</v>
      </c>
    </row>
    <row r="30" spans="1:11" x14ac:dyDescent="0.35">
      <c r="A30" s="1">
        <v>41821</v>
      </c>
      <c r="B30" s="3">
        <f t="shared" si="0"/>
        <v>2014</v>
      </c>
      <c r="C30" s="3">
        <f t="shared" si="1"/>
        <v>7</v>
      </c>
      <c r="D30" t="s">
        <v>76</v>
      </c>
      <c r="E30" t="s">
        <v>77</v>
      </c>
      <c r="F30" t="s">
        <v>28</v>
      </c>
      <c r="G30" t="s">
        <v>48</v>
      </c>
      <c r="H30" t="s">
        <v>79</v>
      </c>
      <c r="I30" s="2">
        <v>5.18</v>
      </c>
      <c r="J30" s="3">
        <v>6</v>
      </c>
      <c r="K30" s="2">
        <v>-3.63</v>
      </c>
    </row>
    <row r="31" spans="1:11" x14ac:dyDescent="0.35">
      <c r="A31" s="1">
        <v>41852</v>
      </c>
      <c r="B31" s="3">
        <f t="shared" si="0"/>
        <v>2014</v>
      </c>
      <c r="C31" s="3">
        <f t="shared" si="1"/>
        <v>8</v>
      </c>
      <c r="D31" t="s">
        <v>80</v>
      </c>
      <c r="E31" t="s">
        <v>81</v>
      </c>
      <c r="F31" t="s">
        <v>28</v>
      </c>
      <c r="G31" t="s">
        <v>46</v>
      </c>
      <c r="H31" t="s">
        <v>82</v>
      </c>
      <c r="I31" s="2">
        <v>17.54</v>
      </c>
      <c r="J31" s="3">
        <v>3</v>
      </c>
      <c r="K31" s="2">
        <v>5.92</v>
      </c>
    </row>
    <row r="32" spans="1:11" x14ac:dyDescent="0.35">
      <c r="A32" s="1">
        <v>41852</v>
      </c>
      <c r="B32" s="3">
        <f t="shared" si="0"/>
        <v>2014</v>
      </c>
      <c r="C32" s="3">
        <f t="shared" si="1"/>
        <v>8</v>
      </c>
      <c r="D32" t="s">
        <v>80</v>
      </c>
      <c r="E32" t="s">
        <v>81</v>
      </c>
      <c r="F32" t="s">
        <v>18</v>
      </c>
      <c r="G32" t="s">
        <v>36</v>
      </c>
      <c r="H32" t="s">
        <v>83</v>
      </c>
      <c r="I32" s="2">
        <v>44.13</v>
      </c>
      <c r="J32" s="3">
        <v>4</v>
      </c>
      <c r="K32" s="2">
        <v>12.14</v>
      </c>
    </row>
    <row r="33" spans="1:11" x14ac:dyDescent="0.35">
      <c r="A33" s="1">
        <v>41852</v>
      </c>
      <c r="B33" s="3">
        <f t="shared" si="0"/>
        <v>2014</v>
      </c>
      <c r="C33" s="3">
        <f t="shared" si="1"/>
        <v>8</v>
      </c>
      <c r="D33" t="s">
        <v>80</v>
      </c>
      <c r="E33" t="s">
        <v>81</v>
      </c>
      <c r="F33" t="s">
        <v>28</v>
      </c>
      <c r="G33" t="s">
        <v>58</v>
      </c>
      <c r="H33" t="s">
        <v>84</v>
      </c>
      <c r="I33" s="2">
        <v>62.92</v>
      </c>
      <c r="J33" s="3">
        <v>1</v>
      </c>
      <c r="K33" s="2">
        <v>10.220000000000001</v>
      </c>
    </row>
    <row r="34" spans="1:11" x14ac:dyDescent="0.35">
      <c r="A34" s="1">
        <v>41852</v>
      </c>
      <c r="B34" s="3">
        <f t="shared" si="0"/>
        <v>2014</v>
      </c>
      <c r="C34" s="3">
        <f t="shared" si="1"/>
        <v>8</v>
      </c>
      <c r="D34" t="s">
        <v>80</v>
      </c>
      <c r="E34" t="s">
        <v>81</v>
      </c>
      <c r="F34" t="s">
        <v>28</v>
      </c>
      <c r="G34" t="s">
        <v>29</v>
      </c>
      <c r="H34" t="s">
        <v>85</v>
      </c>
      <c r="I34" s="2">
        <v>78.3</v>
      </c>
      <c r="J34" s="3">
        <v>2</v>
      </c>
      <c r="K34" s="2">
        <v>29.36</v>
      </c>
    </row>
    <row r="35" spans="1:11" x14ac:dyDescent="0.35">
      <c r="A35" s="1">
        <v>41852</v>
      </c>
      <c r="B35" s="3">
        <f t="shared" si="0"/>
        <v>2014</v>
      </c>
      <c r="C35" s="3">
        <f t="shared" si="1"/>
        <v>8</v>
      </c>
      <c r="D35" t="s">
        <v>86</v>
      </c>
      <c r="E35" t="s">
        <v>45</v>
      </c>
      <c r="F35" t="s">
        <v>28</v>
      </c>
      <c r="G35" t="s">
        <v>48</v>
      </c>
      <c r="H35" t="s">
        <v>87</v>
      </c>
      <c r="I35" s="2">
        <v>19.75</v>
      </c>
      <c r="J35" s="3">
        <v>3</v>
      </c>
      <c r="K35" s="2">
        <v>6.91</v>
      </c>
    </row>
    <row r="36" spans="1:11" x14ac:dyDescent="0.35">
      <c r="A36" s="1">
        <v>41852</v>
      </c>
      <c r="B36" s="3">
        <f t="shared" si="0"/>
        <v>2014</v>
      </c>
      <c r="C36" s="3">
        <f t="shared" si="1"/>
        <v>8</v>
      </c>
      <c r="D36" t="s">
        <v>88</v>
      </c>
      <c r="E36" t="s">
        <v>89</v>
      </c>
      <c r="F36" t="s">
        <v>28</v>
      </c>
      <c r="G36" t="s">
        <v>33</v>
      </c>
      <c r="H36" t="s">
        <v>90</v>
      </c>
      <c r="I36" s="2">
        <v>5.68</v>
      </c>
      <c r="J36" s="3">
        <v>2</v>
      </c>
      <c r="K36" s="2">
        <v>1.92</v>
      </c>
    </row>
    <row r="37" spans="1:11" x14ac:dyDescent="0.35">
      <c r="A37" s="1">
        <v>41883</v>
      </c>
      <c r="B37" s="3">
        <f t="shared" si="0"/>
        <v>2014</v>
      </c>
      <c r="C37" s="3">
        <f t="shared" si="1"/>
        <v>9</v>
      </c>
      <c r="D37" t="s">
        <v>91</v>
      </c>
      <c r="E37" t="s">
        <v>45</v>
      </c>
      <c r="F37" t="s">
        <v>28</v>
      </c>
      <c r="G37" t="s">
        <v>64</v>
      </c>
      <c r="H37" t="s">
        <v>92</v>
      </c>
      <c r="I37" s="2">
        <v>53.94</v>
      </c>
      <c r="J37" s="3">
        <v>3</v>
      </c>
      <c r="K37" s="2">
        <v>15.64</v>
      </c>
    </row>
    <row r="38" spans="1:11" x14ac:dyDescent="0.35">
      <c r="A38" s="1">
        <v>41883</v>
      </c>
      <c r="B38" s="3">
        <f t="shared" si="0"/>
        <v>2014</v>
      </c>
      <c r="C38" s="3">
        <f t="shared" si="1"/>
        <v>9</v>
      </c>
      <c r="D38" t="s">
        <v>93</v>
      </c>
      <c r="E38" t="s">
        <v>32</v>
      </c>
      <c r="F38" t="s">
        <v>28</v>
      </c>
      <c r="G38" t="s">
        <v>48</v>
      </c>
      <c r="H38" t="s">
        <v>94</v>
      </c>
      <c r="I38" s="2">
        <v>3.65</v>
      </c>
      <c r="J38" s="3">
        <v>3</v>
      </c>
      <c r="K38" s="2">
        <v>-6.02</v>
      </c>
    </row>
    <row r="39" spans="1:11" x14ac:dyDescent="0.35">
      <c r="A39" s="1">
        <v>41883</v>
      </c>
      <c r="B39" s="3">
        <f t="shared" si="0"/>
        <v>2014</v>
      </c>
      <c r="C39" s="3">
        <f t="shared" si="1"/>
        <v>9</v>
      </c>
      <c r="D39" t="s">
        <v>93</v>
      </c>
      <c r="E39" t="s">
        <v>32</v>
      </c>
      <c r="F39" t="s">
        <v>28</v>
      </c>
      <c r="G39" t="s">
        <v>29</v>
      </c>
      <c r="H39" t="s">
        <v>95</v>
      </c>
      <c r="I39" s="2">
        <v>31.1</v>
      </c>
      <c r="J39" s="3">
        <v>6</v>
      </c>
      <c r="K39" s="2">
        <v>10.89</v>
      </c>
    </row>
    <row r="40" spans="1:11" x14ac:dyDescent="0.35">
      <c r="A40" s="1">
        <v>41883</v>
      </c>
      <c r="B40" s="3">
        <f t="shared" si="0"/>
        <v>2014</v>
      </c>
      <c r="C40" s="3">
        <f t="shared" si="1"/>
        <v>9</v>
      </c>
      <c r="D40" t="s">
        <v>96</v>
      </c>
      <c r="E40" t="s">
        <v>22</v>
      </c>
      <c r="F40" t="s">
        <v>28</v>
      </c>
      <c r="G40" t="s">
        <v>48</v>
      </c>
      <c r="H40" t="s">
        <v>97</v>
      </c>
      <c r="I40" s="2">
        <v>23.74</v>
      </c>
      <c r="J40" s="3">
        <v>2</v>
      </c>
      <c r="K40" s="2">
        <v>8.31</v>
      </c>
    </row>
    <row r="41" spans="1:11" x14ac:dyDescent="0.35">
      <c r="A41" s="1">
        <v>41883</v>
      </c>
      <c r="B41" s="3">
        <f t="shared" si="0"/>
        <v>2014</v>
      </c>
      <c r="C41" s="3">
        <f t="shared" si="1"/>
        <v>9</v>
      </c>
      <c r="D41" t="s">
        <v>96</v>
      </c>
      <c r="E41" t="s">
        <v>22</v>
      </c>
      <c r="F41" t="s">
        <v>13</v>
      </c>
      <c r="G41" t="s">
        <v>14</v>
      </c>
      <c r="H41" t="s">
        <v>98</v>
      </c>
      <c r="I41" s="2">
        <v>357</v>
      </c>
      <c r="J41" s="3">
        <v>3</v>
      </c>
      <c r="K41" s="2">
        <v>57.12</v>
      </c>
    </row>
    <row r="42" spans="1:11" x14ac:dyDescent="0.35">
      <c r="A42" s="1">
        <v>41913</v>
      </c>
      <c r="B42" s="3">
        <f t="shared" si="0"/>
        <v>2014</v>
      </c>
      <c r="C42" s="3">
        <f t="shared" si="1"/>
        <v>10</v>
      </c>
      <c r="D42" t="s">
        <v>99</v>
      </c>
      <c r="E42" t="s">
        <v>100</v>
      </c>
      <c r="F42" t="s">
        <v>28</v>
      </c>
      <c r="G42" t="s">
        <v>33</v>
      </c>
      <c r="H42" t="s">
        <v>101</v>
      </c>
      <c r="I42" s="2">
        <v>4.71</v>
      </c>
      <c r="J42" s="3">
        <v>1</v>
      </c>
      <c r="K42" s="2">
        <v>0</v>
      </c>
    </row>
    <row r="43" spans="1:11" x14ac:dyDescent="0.35">
      <c r="A43" s="1">
        <v>41944</v>
      </c>
      <c r="B43" s="3">
        <f t="shared" si="0"/>
        <v>2014</v>
      </c>
      <c r="C43" s="3">
        <f t="shared" si="1"/>
        <v>11</v>
      </c>
      <c r="D43" t="s">
        <v>102</v>
      </c>
      <c r="E43" t="s">
        <v>103</v>
      </c>
      <c r="F43" t="s">
        <v>28</v>
      </c>
      <c r="G43" t="s">
        <v>64</v>
      </c>
      <c r="H43" t="s">
        <v>104</v>
      </c>
      <c r="I43" s="2">
        <v>43.18</v>
      </c>
      <c r="J43" s="3">
        <v>3</v>
      </c>
      <c r="K43" s="2">
        <v>4.32</v>
      </c>
    </row>
    <row r="44" spans="1:11" x14ac:dyDescent="0.35">
      <c r="A44" s="1">
        <v>41944</v>
      </c>
      <c r="B44" s="3">
        <f t="shared" si="0"/>
        <v>2014</v>
      </c>
      <c r="C44" s="3">
        <f t="shared" si="1"/>
        <v>11</v>
      </c>
      <c r="D44" t="s">
        <v>102</v>
      </c>
      <c r="E44" t="s">
        <v>103</v>
      </c>
      <c r="F44" t="s">
        <v>13</v>
      </c>
      <c r="G44" t="s">
        <v>23</v>
      </c>
      <c r="H44" t="s">
        <v>105</v>
      </c>
      <c r="I44" s="2">
        <v>1983.97</v>
      </c>
      <c r="J44" s="3">
        <v>4</v>
      </c>
      <c r="K44" s="2">
        <v>248</v>
      </c>
    </row>
    <row r="45" spans="1:11" x14ac:dyDescent="0.35">
      <c r="A45" s="1">
        <v>41944</v>
      </c>
      <c r="B45" s="3">
        <f t="shared" si="0"/>
        <v>2014</v>
      </c>
      <c r="C45" s="3">
        <f t="shared" si="1"/>
        <v>11</v>
      </c>
      <c r="D45" t="s">
        <v>106</v>
      </c>
      <c r="E45" t="s">
        <v>107</v>
      </c>
      <c r="F45" t="s">
        <v>28</v>
      </c>
      <c r="G45" t="s">
        <v>38</v>
      </c>
      <c r="H45" t="s">
        <v>108</v>
      </c>
      <c r="I45" s="2">
        <v>443.92</v>
      </c>
      <c r="J45" s="3">
        <v>5</v>
      </c>
      <c r="K45" s="2">
        <v>-94.33</v>
      </c>
    </row>
    <row r="46" spans="1:11" x14ac:dyDescent="0.35">
      <c r="A46" s="1">
        <v>41944</v>
      </c>
      <c r="B46" s="3">
        <f t="shared" si="0"/>
        <v>2014</v>
      </c>
      <c r="C46" s="3">
        <f t="shared" si="1"/>
        <v>11</v>
      </c>
      <c r="D46" t="s">
        <v>106</v>
      </c>
      <c r="E46" t="s">
        <v>107</v>
      </c>
      <c r="F46" t="s">
        <v>13</v>
      </c>
      <c r="G46" t="s">
        <v>23</v>
      </c>
      <c r="H46" t="s">
        <v>109</v>
      </c>
      <c r="I46" s="2">
        <v>155.97999999999999</v>
      </c>
      <c r="J46" s="3">
        <v>3</v>
      </c>
      <c r="K46" s="2">
        <v>54.59</v>
      </c>
    </row>
    <row r="47" spans="1:11" x14ac:dyDescent="0.35">
      <c r="A47" s="1">
        <v>41944</v>
      </c>
      <c r="B47" s="3">
        <f t="shared" si="0"/>
        <v>2014</v>
      </c>
      <c r="C47" s="3">
        <f t="shared" si="1"/>
        <v>11</v>
      </c>
      <c r="D47" t="s">
        <v>110</v>
      </c>
      <c r="E47" t="s">
        <v>81</v>
      </c>
      <c r="F47" t="s">
        <v>28</v>
      </c>
      <c r="G47" t="s">
        <v>33</v>
      </c>
      <c r="H47" t="s">
        <v>111</v>
      </c>
      <c r="I47" s="2">
        <v>7.52</v>
      </c>
      <c r="J47" s="3">
        <v>5</v>
      </c>
      <c r="K47" s="2">
        <v>1.41</v>
      </c>
    </row>
    <row r="48" spans="1:11" x14ac:dyDescent="0.35">
      <c r="A48" s="1">
        <v>41944</v>
      </c>
      <c r="B48" s="3">
        <f t="shared" si="0"/>
        <v>2014</v>
      </c>
      <c r="C48" s="3">
        <f t="shared" si="1"/>
        <v>11</v>
      </c>
      <c r="D48" t="s">
        <v>110</v>
      </c>
      <c r="E48" t="s">
        <v>81</v>
      </c>
      <c r="F48" t="s">
        <v>28</v>
      </c>
      <c r="G48" t="s">
        <v>64</v>
      </c>
      <c r="H48" t="s">
        <v>112</v>
      </c>
      <c r="I48" s="2">
        <v>10.27</v>
      </c>
      <c r="J48" s="3">
        <v>3</v>
      </c>
      <c r="K48" s="2">
        <v>0.9</v>
      </c>
    </row>
    <row r="49" spans="1:11" x14ac:dyDescent="0.35">
      <c r="A49" s="1">
        <v>41944</v>
      </c>
      <c r="B49" s="3">
        <f t="shared" si="0"/>
        <v>2014</v>
      </c>
      <c r="C49" s="3">
        <f t="shared" si="1"/>
        <v>11</v>
      </c>
      <c r="D49" t="s">
        <v>110</v>
      </c>
      <c r="E49" t="s">
        <v>81</v>
      </c>
      <c r="F49" t="s">
        <v>28</v>
      </c>
      <c r="G49" t="s">
        <v>46</v>
      </c>
      <c r="H49" t="s">
        <v>113</v>
      </c>
      <c r="I49" s="2">
        <v>47.81</v>
      </c>
      <c r="J49" s="3">
        <v>12</v>
      </c>
      <c r="K49" s="2">
        <v>15.54</v>
      </c>
    </row>
    <row r="50" spans="1:11" x14ac:dyDescent="0.35">
      <c r="A50" s="1">
        <v>41944</v>
      </c>
      <c r="B50" s="3">
        <f t="shared" si="0"/>
        <v>2014</v>
      </c>
      <c r="C50" s="3">
        <f t="shared" si="1"/>
        <v>11</v>
      </c>
      <c r="D50" t="s">
        <v>110</v>
      </c>
      <c r="E50" t="s">
        <v>81</v>
      </c>
      <c r="F50" t="s">
        <v>13</v>
      </c>
      <c r="G50" t="s">
        <v>23</v>
      </c>
      <c r="H50" t="s">
        <v>114</v>
      </c>
      <c r="I50" s="2">
        <v>978.84</v>
      </c>
      <c r="J50" s="3">
        <v>9</v>
      </c>
      <c r="K50" s="2">
        <v>110.12</v>
      </c>
    </row>
    <row r="51" spans="1:11" x14ac:dyDescent="0.35">
      <c r="A51" s="1">
        <v>41944</v>
      </c>
      <c r="B51" s="3">
        <f t="shared" si="0"/>
        <v>2014</v>
      </c>
      <c r="C51" s="3">
        <f t="shared" si="1"/>
        <v>11</v>
      </c>
      <c r="D51" t="s">
        <v>115</v>
      </c>
      <c r="E51" t="s">
        <v>26</v>
      </c>
      <c r="F51" t="s">
        <v>28</v>
      </c>
      <c r="G51" t="s">
        <v>29</v>
      </c>
      <c r="H51" t="s">
        <v>116</v>
      </c>
      <c r="I51" s="2">
        <v>15.7</v>
      </c>
      <c r="J51" s="3">
        <v>3</v>
      </c>
      <c r="K51" s="2">
        <v>5.0999999999999996</v>
      </c>
    </row>
    <row r="52" spans="1:11" x14ac:dyDescent="0.35">
      <c r="A52" s="1">
        <v>41944</v>
      </c>
      <c r="B52" s="3">
        <f t="shared" si="0"/>
        <v>2014</v>
      </c>
      <c r="C52" s="3">
        <f t="shared" si="1"/>
        <v>11</v>
      </c>
      <c r="D52" t="s">
        <v>117</v>
      </c>
      <c r="E52" t="s">
        <v>118</v>
      </c>
      <c r="F52" t="s">
        <v>28</v>
      </c>
      <c r="G52" t="s">
        <v>38</v>
      </c>
      <c r="H52" t="s">
        <v>119</v>
      </c>
      <c r="I52" s="2">
        <v>69.52</v>
      </c>
      <c r="J52" s="3">
        <v>2</v>
      </c>
      <c r="K52" s="2">
        <v>19.47</v>
      </c>
    </row>
    <row r="53" spans="1:11" x14ac:dyDescent="0.35">
      <c r="A53" s="1">
        <v>41944</v>
      </c>
      <c r="B53" s="3">
        <f t="shared" si="0"/>
        <v>2014</v>
      </c>
      <c r="C53" s="3">
        <f t="shared" si="1"/>
        <v>11</v>
      </c>
      <c r="D53" t="s">
        <v>117</v>
      </c>
      <c r="E53" t="s">
        <v>118</v>
      </c>
      <c r="F53" t="s">
        <v>28</v>
      </c>
      <c r="G53" t="s">
        <v>64</v>
      </c>
      <c r="H53" t="s">
        <v>120</v>
      </c>
      <c r="I53" s="2">
        <v>5.64</v>
      </c>
      <c r="J53" s="3">
        <v>3</v>
      </c>
      <c r="K53" s="2">
        <v>1.64</v>
      </c>
    </row>
    <row r="54" spans="1:11" x14ac:dyDescent="0.35">
      <c r="A54" s="1">
        <v>41944</v>
      </c>
      <c r="B54" s="3">
        <f t="shared" si="0"/>
        <v>2014</v>
      </c>
      <c r="C54" s="3">
        <f t="shared" si="1"/>
        <v>11</v>
      </c>
      <c r="D54" t="s">
        <v>121</v>
      </c>
      <c r="E54" t="s">
        <v>45</v>
      </c>
      <c r="F54" t="s">
        <v>28</v>
      </c>
      <c r="G54" t="s">
        <v>46</v>
      </c>
      <c r="H54" t="s">
        <v>122</v>
      </c>
      <c r="I54" s="2">
        <v>44.4</v>
      </c>
      <c r="J54" s="3">
        <v>3</v>
      </c>
      <c r="K54" s="2">
        <v>22.2</v>
      </c>
    </row>
    <row r="55" spans="1:11" x14ac:dyDescent="0.35">
      <c r="A55" s="1">
        <v>41944</v>
      </c>
      <c r="B55" s="3">
        <f t="shared" si="0"/>
        <v>2014</v>
      </c>
      <c r="C55" s="3">
        <f t="shared" si="1"/>
        <v>11</v>
      </c>
      <c r="D55" t="s">
        <v>121</v>
      </c>
      <c r="E55" t="s">
        <v>45</v>
      </c>
      <c r="F55" t="s">
        <v>28</v>
      </c>
      <c r="G55" t="s">
        <v>29</v>
      </c>
      <c r="H55" t="s">
        <v>123</v>
      </c>
      <c r="I55" s="2">
        <v>21.4</v>
      </c>
      <c r="J55" s="3">
        <v>5</v>
      </c>
      <c r="K55" s="2">
        <v>9.6300000000000008</v>
      </c>
    </row>
    <row r="56" spans="1:11" x14ac:dyDescent="0.35">
      <c r="A56" s="1">
        <v>41944</v>
      </c>
      <c r="B56" s="3">
        <f t="shared" si="0"/>
        <v>2014</v>
      </c>
      <c r="C56" s="3">
        <f t="shared" si="1"/>
        <v>11</v>
      </c>
      <c r="D56" t="s">
        <v>124</v>
      </c>
      <c r="E56" t="s">
        <v>22</v>
      </c>
      <c r="F56" t="s">
        <v>28</v>
      </c>
      <c r="G56" t="s">
        <v>58</v>
      </c>
      <c r="H56" t="s">
        <v>125</v>
      </c>
      <c r="I56" s="2">
        <v>533.94000000000005</v>
      </c>
      <c r="J56" s="3">
        <v>3</v>
      </c>
      <c r="K56" s="2">
        <v>154.84</v>
      </c>
    </row>
    <row r="57" spans="1:11" x14ac:dyDescent="0.35">
      <c r="A57" s="1">
        <v>41944</v>
      </c>
      <c r="B57" s="3">
        <f t="shared" si="0"/>
        <v>2014</v>
      </c>
      <c r="C57" s="3">
        <f t="shared" si="1"/>
        <v>11</v>
      </c>
      <c r="D57" t="s">
        <v>124</v>
      </c>
      <c r="E57" t="s">
        <v>22</v>
      </c>
      <c r="F57" t="s">
        <v>28</v>
      </c>
      <c r="G57" t="s">
        <v>29</v>
      </c>
      <c r="H57" t="s">
        <v>126</v>
      </c>
      <c r="I57" s="2">
        <v>167.94</v>
      </c>
      <c r="J57" s="3">
        <v>3</v>
      </c>
      <c r="K57" s="2">
        <v>82.29</v>
      </c>
    </row>
    <row r="58" spans="1:11" x14ac:dyDescent="0.35">
      <c r="A58" s="1">
        <v>41944</v>
      </c>
      <c r="B58" s="3">
        <f t="shared" si="0"/>
        <v>2014</v>
      </c>
      <c r="C58" s="3">
        <f t="shared" si="1"/>
        <v>11</v>
      </c>
      <c r="D58" t="s">
        <v>124</v>
      </c>
      <c r="E58" t="s">
        <v>22</v>
      </c>
      <c r="F58" t="s">
        <v>18</v>
      </c>
      <c r="G58" t="s">
        <v>36</v>
      </c>
      <c r="H58" t="s">
        <v>127</v>
      </c>
      <c r="I58" s="2">
        <v>31.68</v>
      </c>
      <c r="J58" s="3">
        <v>6</v>
      </c>
      <c r="K58" s="2">
        <v>9.82</v>
      </c>
    </row>
    <row r="59" spans="1:11" x14ac:dyDescent="0.35">
      <c r="A59" s="1">
        <v>41944</v>
      </c>
      <c r="B59" s="3">
        <f t="shared" si="0"/>
        <v>2014</v>
      </c>
      <c r="C59" s="3">
        <f t="shared" si="1"/>
        <v>11</v>
      </c>
      <c r="D59" t="s">
        <v>128</v>
      </c>
      <c r="E59" t="s">
        <v>62</v>
      </c>
      <c r="F59" t="s">
        <v>28</v>
      </c>
      <c r="G59" t="s">
        <v>58</v>
      </c>
      <c r="H59" t="s">
        <v>129</v>
      </c>
      <c r="I59" s="2">
        <v>76.12</v>
      </c>
      <c r="J59" s="3">
        <v>2</v>
      </c>
      <c r="K59" s="2">
        <v>22.07</v>
      </c>
    </row>
    <row r="60" spans="1:11" x14ac:dyDescent="0.35">
      <c r="A60" s="1">
        <v>41944</v>
      </c>
      <c r="B60" s="3">
        <f t="shared" si="0"/>
        <v>2014</v>
      </c>
      <c r="C60" s="3">
        <f t="shared" si="1"/>
        <v>11</v>
      </c>
      <c r="D60" t="s">
        <v>130</v>
      </c>
      <c r="E60" t="s">
        <v>131</v>
      </c>
      <c r="F60" t="s">
        <v>18</v>
      </c>
      <c r="G60" t="s">
        <v>36</v>
      </c>
      <c r="H60" t="s">
        <v>132</v>
      </c>
      <c r="I60" s="2">
        <v>68.7</v>
      </c>
      <c r="J60" s="3">
        <v>2</v>
      </c>
      <c r="K60" s="2">
        <v>16.32</v>
      </c>
    </row>
    <row r="61" spans="1:11" x14ac:dyDescent="0.35">
      <c r="A61" s="1">
        <v>41944</v>
      </c>
      <c r="B61" s="3">
        <f t="shared" si="0"/>
        <v>2014</v>
      </c>
      <c r="C61" s="3">
        <f t="shared" si="1"/>
        <v>11</v>
      </c>
      <c r="D61" t="s">
        <v>130</v>
      </c>
      <c r="E61" t="s">
        <v>131</v>
      </c>
      <c r="F61" t="s">
        <v>28</v>
      </c>
      <c r="G61" t="s">
        <v>48</v>
      </c>
      <c r="H61" t="s">
        <v>133</v>
      </c>
      <c r="I61" s="2">
        <v>3.13</v>
      </c>
      <c r="J61" s="3">
        <v>2</v>
      </c>
      <c r="K61" s="2">
        <v>-2.61</v>
      </c>
    </row>
    <row r="62" spans="1:11" x14ac:dyDescent="0.35">
      <c r="A62" s="1">
        <v>41944</v>
      </c>
      <c r="B62" s="3">
        <f t="shared" si="0"/>
        <v>2014</v>
      </c>
      <c r="C62" s="3">
        <f t="shared" si="1"/>
        <v>11</v>
      </c>
      <c r="D62" t="s">
        <v>130</v>
      </c>
      <c r="E62" t="s">
        <v>131</v>
      </c>
      <c r="F62" t="s">
        <v>28</v>
      </c>
      <c r="G62" t="s">
        <v>48</v>
      </c>
      <c r="H62" t="s">
        <v>134</v>
      </c>
      <c r="I62" s="2">
        <v>22.43</v>
      </c>
      <c r="J62" s="3">
        <v>3</v>
      </c>
      <c r="K62" s="2">
        <v>-17.940000000000001</v>
      </c>
    </row>
    <row r="63" spans="1:11" x14ac:dyDescent="0.35">
      <c r="A63" s="1">
        <v>41974</v>
      </c>
      <c r="B63" s="3">
        <f t="shared" si="0"/>
        <v>2014</v>
      </c>
      <c r="C63" s="3">
        <f t="shared" si="1"/>
        <v>12</v>
      </c>
      <c r="D63" t="s">
        <v>135</v>
      </c>
      <c r="E63" t="s">
        <v>12</v>
      </c>
      <c r="F63" t="s">
        <v>18</v>
      </c>
      <c r="G63" t="s">
        <v>19</v>
      </c>
      <c r="H63" t="s">
        <v>136</v>
      </c>
      <c r="I63" s="2">
        <v>2807.84</v>
      </c>
      <c r="J63" s="3">
        <v>8</v>
      </c>
      <c r="K63" s="2">
        <v>673.88</v>
      </c>
    </row>
    <row r="64" spans="1:11" x14ac:dyDescent="0.35">
      <c r="A64" s="1">
        <v>41974</v>
      </c>
      <c r="B64" s="3">
        <f t="shared" si="0"/>
        <v>2014</v>
      </c>
      <c r="C64" s="3">
        <f t="shared" si="1"/>
        <v>12</v>
      </c>
      <c r="D64" t="s">
        <v>135</v>
      </c>
      <c r="E64" t="s">
        <v>12</v>
      </c>
      <c r="F64" t="s">
        <v>28</v>
      </c>
      <c r="G64" t="s">
        <v>64</v>
      </c>
      <c r="H64" t="s">
        <v>137</v>
      </c>
      <c r="I64" s="2">
        <v>46.64</v>
      </c>
      <c r="J64" s="3">
        <v>4</v>
      </c>
      <c r="K64" s="2">
        <v>12.59</v>
      </c>
    </row>
    <row r="65" spans="1:11" x14ac:dyDescent="0.35">
      <c r="A65" s="1">
        <v>41974</v>
      </c>
      <c r="B65" s="3">
        <f t="shared" si="0"/>
        <v>2014</v>
      </c>
      <c r="C65" s="3">
        <f t="shared" si="1"/>
        <v>12</v>
      </c>
      <c r="D65" t="s">
        <v>138</v>
      </c>
      <c r="E65" t="s">
        <v>45</v>
      </c>
      <c r="F65" t="s">
        <v>18</v>
      </c>
      <c r="G65" t="s">
        <v>36</v>
      </c>
      <c r="H65" t="s">
        <v>139</v>
      </c>
      <c r="I65" s="2">
        <v>58.2</v>
      </c>
      <c r="J65" s="3">
        <v>3</v>
      </c>
      <c r="K65" s="2">
        <v>28.52</v>
      </c>
    </row>
    <row r="66" spans="1:11" x14ac:dyDescent="0.35">
      <c r="A66" s="1">
        <v>41974</v>
      </c>
      <c r="B66" s="3">
        <f t="shared" ref="B66:B129" si="2">YEAR(A66)</f>
        <v>2014</v>
      </c>
      <c r="C66" s="3">
        <f t="shared" ref="C66:C129" si="3">MONTH(A66)</f>
        <v>12</v>
      </c>
      <c r="D66" t="s">
        <v>140</v>
      </c>
      <c r="E66" t="s">
        <v>81</v>
      </c>
      <c r="F66" t="s">
        <v>13</v>
      </c>
      <c r="G66" t="s">
        <v>23</v>
      </c>
      <c r="H66" t="s">
        <v>141</v>
      </c>
      <c r="I66" s="2">
        <v>95.97</v>
      </c>
      <c r="J66" s="3">
        <v>4</v>
      </c>
      <c r="K66" s="2">
        <v>9.6</v>
      </c>
    </row>
    <row r="67" spans="1:11" x14ac:dyDescent="0.35">
      <c r="A67" s="1">
        <v>41974</v>
      </c>
      <c r="B67" s="3">
        <f t="shared" si="2"/>
        <v>2014</v>
      </c>
      <c r="C67" s="3">
        <f t="shared" si="3"/>
        <v>12</v>
      </c>
      <c r="D67" t="s">
        <v>142</v>
      </c>
      <c r="E67" t="s">
        <v>131</v>
      </c>
      <c r="F67" t="s">
        <v>13</v>
      </c>
      <c r="G67" t="s">
        <v>143</v>
      </c>
      <c r="H67" t="s">
        <v>144</v>
      </c>
      <c r="I67" s="2">
        <v>659.99</v>
      </c>
      <c r="J67" s="3">
        <v>2</v>
      </c>
      <c r="K67" s="2">
        <v>110</v>
      </c>
    </row>
    <row r="68" spans="1:11" x14ac:dyDescent="0.35">
      <c r="A68" s="1">
        <v>41974</v>
      </c>
      <c r="B68" s="3">
        <f t="shared" si="2"/>
        <v>2014</v>
      </c>
      <c r="C68" s="3">
        <f t="shared" si="3"/>
        <v>12</v>
      </c>
      <c r="D68" t="s">
        <v>142</v>
      </c>
      <c r="E68" t="s">
        <v>131</v>
      </c>
      <c r="F68" t="s">
        <v>18</v>
      </c>
      <c r="G68" t="s">
        <v>36</v>
      </c>
      <c r="H68" t="s">
        <v>145</v>
      </c>
      <c r="I68" s="2">
        <v>8.1300000000000008</v>
      </c>
      <c r="J68" s="3">
        <v>2</v>
      </c>
      <c r="K68" s="2">
        <v>1.42</v>
      </c>
    </row>
    <row r="69" spans="1:11" x14ac:dyDescent="0.35">
      <c r="A69" s="1">
        <v>41974</v>
      </c>
      <c r="B69" s="3">
        <f t="shared" si="2"/>
        <v>2014</v>
      </c>
      <c r="C69" s="3">
        <f t="shared" si="3"/>
        <v>12</v>
      </c>
      <c r="D69" t="s">
        <v>142</v>
      </c>
      <c r="E69" t="s">
        <v>131</v>
      </c>
      <c r="F69" t="s">
        <v>28</v>
      </c>
      <c r="G69" t="s">
        <v>29</v>
      </c>
      <c r="H69" t="s">
        <v>146</v>
      </c>
      <c r="I69" s="2">
        <v>36.29</v>
      </c>
      <c r="J69" s="3">
        <v>7</v>
      </c>
      <c r="K69" s="2">
        <v>12.7</v>
      </c>
    </row>
    <row r="70" spans="1:11" x14ac:dyDescent="0.35">
      <c r="A70" s="1">
        <v>41974</v>
      </c>
      <c r="B70" s="3">
        <f t="shared" si="2"/>
        <v>2014</v>
      </c>
      <c r="C70" s="3">
        <f t="shared" si="3"/>
        <v>12</v>
      </c>
      <c r="D70" t="s">
        <v>142</v>
      </c>
      <c r="E70" t="s">
        <v>131</v>
      </c>
      <c r="F70" t="s">
        <v>18</v>
      </c>
      <c r="G70" t="s">
        <v>19</v>
      </c>
      <c r="H70" t="s">
        <v>147</v>
      </c>
      <c r="I70" s="2">
        <v>909.72</v>
      </c>
      <c r="J70" s="3">
        <v>6</v>
      </c>
      <c r="K70" s="2">
        <v>-51.98</v>
      </c>
    </row>
    <row r="71" spans="1:11" x14ac:dyDescent="0.35">
      <c r="A71" s="1">
        <v>41974</v>
      </c>
      <c r="B71" s="3">
        <f t="shared" si="2"/>
        <v>2014</v>
      </c>
      <c r="C71" s="3">
        <f t="shared" si="3"/>
        <v>12</v>
      </c>
      <c r="D71" t="s">
        <v>148</v>
      </c>
      <c r="E71" t="s">
        <v>32</v>
      </c>
      <c r="F71" t="s">
        <v>18</v>
      </c>
      <c r="G71" t="s">
        <v>19</v>
      </c>
      <c r="H71" t="s">
        <v>149</v>
      </c>
      <c r="I71" s="2">
        <v>674.06</v>
      </c>
      <c r="J71" s="3">
        <v>3</v>
      </c>
      <c r="K71" s="2">
        <v>-19.260000000000002</v>
      </c>
    </row>
    <row r="72" spans="1:11" x14ac:dyDescent="0.35">
      <c r="A72" s="1">
        <v>41974</v>
      </c>
      <c r="B72" s="3">
        <f t="shared" si="2"/>
        <v>2014</v>
      </c>
      <c r="C72" s="3">
        <f t="shared" si="3"/>
        <v>12</v>
      </c>
      <c r="D72" t="s">
        <v>150</v>
      </c>
      <c r="E72" t="s">
        <v>51</v>
      </c>
      <c r="F72" t="s">
        <v>13</v>
      </c>
      <c r="G72" t="s">
        <v>23</v>
      </c>
      <c r="H72" t="s">
        <v>114</v>
      </c>
      <c r="I72" s="2">
        <v>271.89999999999998</v>
      </c>
      <c r="J72" s="3">
        <v>2</v>
      </c>
      <c r="K72" s="2">
        <v>78.849999999999994</v>
      </c>
    </row>
    <row r="73" spans="1:11" x14ac:dyDescent="0.35">
      <c r="A73" s="1">
        <v>41974</v>
      </c>
      <c r="B73" s="3">
        <f t="shared" si="2"/>
        <v>2014</v>
      </c>
      <c r="C73" s="3">
        <f t="shared" si="3"/>
        <v>12</v>
      </c>
      <c r="D73" t="s">
        <v>150</v>
      </c>
      <c r="E73" t="s">
        <v>51</v>
      </c>
      <c r="F73" t="s">
        <v>18</v>
      </c>
      <c r="G73" t="s">
        <v>36</v>
      </c>
      <c r="H73" t="s">
        <v>151</v>
      </c>
      <c r="I73" s="2">
        <v>45.84</v>
      </c>
      <c r="J73" s="3">
        <v>3</v>
      </c>
      <c r="K73" s="2">
        <v>15.59</v>
      </c>
    </row>
    <row r="74" spans="1:11" x14ac:dyDescent="0.35">
      <c r="A74" s="1">
        <v>41974</v>
      </c>
      <c r="B74" s="3">
        <f t="shared" si="2"/>
        <v>2014</v>
      </c>
      <c r="C74" s="3">
        <f t="shared" si="3"/>
        <v>12</v>
      </c>
      <c r="D74" t="s">
        <v>150</v>
      </c>
      <c r="E74" t="s">
        <v>51</v>
      </c>
      <c r="F74" t="s">
        <v>18</v>
      </c>
      <c r="G74" t="s">
        <v>36</v>
      </c>
      <c r="H74" t="s">
        <v>152</v>
      </c>
      <c r="I74" s="2">
        <v>9.82</v>
      </c>
      <c r="J74" s="3">
        <v>2</v>
      </c>
      <c r="K74" s="2">
        <v>3.24</v>
      </c>
    </row>
    <row r="75" spans="1:11" x14ac:dyDescent="0.35">
      <c r="A75" s="1">
        <v>41672</v>
      </c>
      <c r="B75" s="3">
        <f t="shared" si="2"/>
        <v>2014</v>
      </c>
      <c r="C75" s="3">
        <f t="shared" si="3"/>
        <v>2</v>
      </c>
      <c r="D75" t="s">
        <v>153</v>
      </c>
      <c r="E75" t="s">
        <v>45</v>
      </c>
      <c r="F75" t="s">
        <v>28</v>
      </c>
      <c r="G75" t="s">
        <v>33</v>
      </c>
      <c r="H75" t="s">
        <v>111</v>
      </c>
      <c r="I75" s="2">
        <v>12.35</v>
      </c>
      <c r="J75" s="3">
        <v>5</v>
      </c>
      <c r="K75" s="2">
        <v>5.8</v>
      </c>
    </row>
    <row r="76" spans="1:11" x14ac:dyDescent="0.35">
      <c r="A76" s="1">
        <v>41672</v>
      </c>
      <c r="B76" s="3">
        <f t="shared" si="2"/>
        <v>2014</v>
      </c>
      <c r="C76" s="3">
        <f t="shared" si="3"/>
        <v>2</v>
      </c>
      <c r="D76" t="s">
        <v>154</v>
      </c>
      <c r="E76" t="s">
        <v>77</v>
      </c>
      <c r="F76" t="s">
        <v>28</v>
      </c>
      <c r="G76" t="s">
        <v>48</v>
      </c>
      <c r="H76" t="s">
        <v>155</v>
      </c>
      <c r="I76" s="2">
        <v>18.34</v>
      </c>
      <c r="J76" s="3">
        <v>2</v>
      </c>
      <c r="K76" s="2">
        <v>-12.22</v>
      </c>
    </row>
    <row r="77" spans="1:11" x14ac:dyDescent="0.35">
      <c r="A77" s="1">
        <v>41672</v>
      </c>
      <c r="B77" s="3">
        <f t="shared" si="2"/>
        <v>2014</v>
      </c>
      <c r="C77" s="3">
        <f t="shared" si="3"/>
        <v>2</v>
      </c>
      <c r="D77" t="s">
        <v>154</v>
      </c>
      <c r="E77" t="s">
        <v>77</v>
      </c>
      <c r="F77" t="s">
        <v>13</v>
      </c>
      <c r="G77" t="s">
        <v>23</v>
      </c>
      <c r="H77" t="s">
        <v>156</v>
      </c>
      <c r="I77" s="2">
        <v>180.96</v>
      </c>
      <c r="J77" s="3">
        <v>5</v>
      </c>
      <c r="K77" s="2">
        <v>13.57</v>
      </c>
    </row>
    <row r="78" spans="1:11" x14ac:dyDescent="0.35">
      <c r="A78" s="1">
        <v>41700</v>
      </c>
      <c r="B78" s="3">
        <f t="shared" si="2"/>
        <v>2014</v>
      </c>
      <c r="C78" s="3">
        <f t="shared" si="3"/>
        <v>3</v>
      </c>
      <c r="D78" t="s">
        <v>157</v>
      </c>
      <c r="E78" t="s">
        <v>22</v>
      </c>
      <c r="F78" t="s">
        <v>28</v>
      </c>
      <c r="G78" t="s">
        <v>158</v>
      </c>
      <c r="H78" t="s">
        <v>159</v>
      </c>
      <c r="I78" s="2">
        <v>11.36</v>
      </c>
      <c r="J78" s="3">
        <v>2</v>
      </c>
      <c r="K78" s="2">
        <v>5.34</v>
      </c>
    </row>
    <row r="79" spans="1:11" x14ac:dyDescent="0.35">
      <c r="A79" s="1">
        <v>41700</v>
      </c>
      <c r="B79" s="3">
        <f t="shared" si="2"/>
        <v>2014</v>
      </c>
      <c r="C79" s="3">
        <f t="shared" si="3"/>
        <v>3</v>
      </c>
      <c r="D79" t="s">
        <v>157</v>
      </c>
      <c r="E79" t="s">
        <v>22</v>
      </c>
      <c r="F79" t="s">
        <v>28</v>
      </c>
      <c r="G79" t="s">
        <v>29</v>
      </c>
      <c r="H79" t="s">
        <v>160</v>
      </c>
      <c r="I79" s="2">
        <v>36.4</v>
      </c>
      <c r="J79" s="3">
        <v>5</v>
      </c>
      <c r="K79" s="2">
        <v>17.47</v>
      </c>
    </row>
    <row r="80" spans="1:11" x14ac:dyDescent="0.35">
      <c r="A80" s="1">
        <v>41700</v>
      </c>
      <c r="B80" s="3">
        <f t="shared" si="2"/>
        <v>2014</v>
      </c>
      <c r="C80" s="3">
        <f t="shared" si="3"/>
        <v>3</v>
      </c>
      <c r="D80" t="s">
        <v>161</v>
      </c>
      <c r="E80" t="s">
        <v>89</v>
      </c>
      <c r="F80" t="s">
        <v>28</v>
      </c>
      <c r="G80" t="s">
        <v>29</v>
      </c>
      <c r="H80" t="s">
        <v>162</v>
      </c>
      <c r="I80" s="2">
        <v>3.42</v>
      </c>
      <c r="J80" s="3">
        <v>1</v>
      </c>
      <c r="K80" s="2">
        <v>1.07</v>
      </c>
    </row>
    <row r="81" spans="1:11" x14ac:dyDescent="0.35">
      <c r="A81" s="1">
        <v>41700</v>
      </c>
      <c r="B81" s="3">
        <f t="shared" si="2"/>
        <v>2014</v>
      </c>
      <c r="C81" s="3">
        <f t="shared" si="3"/>
        <v>3</v>
      </c>
      <c r="D81" t="s">
        <v>161</v>
      </c>
      <c r="E81" t="s">
        <v>89</v>
      </c>
      <c r="F81" t="s">
        <v>13</v>
      </c>
      <c r="G81" t="s">
        <v>14</v>
      </c>
      <c r="H81" t="s">
        <v>163</v>
      </c>
      <c r="I81" s="2">
        <v>151.19999999999999</v>
      </c>
      <c r="J81" s="3">
        <v>3</v>
      </c>
      <c r="K81" s="2">
        <v>32.130000000000003</v>
      </c>
    </row>
    <row r="82" spans="1:11" x14ac:dyDescent="0.35">
      <c r="A82" s="1">
        <v>41731</v>
      </c>
      <c r="B82" s="3">
        <f t="shared" si="2"/>
        <v>2014</v>
      </c>
      <c r="C82" s="3">
        <f t="shared" si="3"/>
        <v>4</v>
      </c>
      <c r="D82" t="s">
        <v>164</v>
      </c>
      <c r="E82" t="s">
        <v>165</v>
      </c>
      <c r="F82" t="s">
        <v>28</v>
      </c>
      <c r="G82" t="s">
        <v>29</v>
      </c>
      <c r="H82" t="s">
        <v>166</v>
      </c>
      <c r="I82" s="2">
        <v>15.84</v>
      </c>
      <c r="J82" s="3">
        <v>3</v>
      </c>
      <c r="K82" s="2">
        <v>7.13</v>
      </c>
    </row>
    <row r="83" spans="1:11" x14ac:dyDescent="0.35">
      <c r="A83" s="1">
        <v>41731</v>
      </c>
      <c r="B83" s="3">
        <f t="shared" si="2"/>
        <v>2014</v>
      </c>
      <c r="C83" s="3">
        <f t="shared" si="3"/>
        <v>4</v>
      </c>
      <c r="D83" t="s">
        <v>164</v>
      </c>
      <c r="E83" t="s">
        <v>165</v>
      </c>
      <c r="F83" t="s">
        <v>13</v>
      </c>
      <c r="G83" t="s">
        <v>23</v>
      </c>
      <c r="H83" t="s">
        <v>167</v>
      </c>
      <c r="I83" s="2">
        <v>1049.93</v>
      </c>
      <c r="J83" s="3">
        <v>7</v>
      </c>
      <c r="K83" s="2">
        <v>293.98</v>
      </c>
    </row>
    <row r="84" spans="1:11" x14ac:dyDescent="0.35">
      <c r="A84" s="1">
        <v>41731</v>
      </c>
      <c r="B84" s="3">
        <f t="shared" si="2"/>
        <v>2014</v>
      </c>
      <c r="C84" s="3">
        <f t="shared" si="3"/>
        <v>4</v>
      </c>
      <c r="D84" t="s">
        <v>164</v>
      </c>
      <c r="E84" t="s">
        <v>165</v>
      </c>
      <c r="F84" t="s">
        <v>28</v>
      </c>
      <c r="G84" t="s">
        <v>58</v>
      </c>
      <c r="H84" t="s">
        <v>168</v>
      </c>
      <c r="I84" s="2">
        <v>154.9</v>
      </c>
      <c r="J84" s="3">
        <v>5</v>
      </c>
      <c r="K84" s="2">
        <v>40.270000000000003</v>
      </c>
    </row>
    <row r="85" spans="1:11" x14ac:dyDescent="0.35">
      <c r="A85" s="1">
        <v>41731</v>
      </c>
      <c r="B85" s="3">
        <f t="shared" si="2"/>
        <v>2014</v>
      </c>
      <c r="C85" s="3">
        <f t="shared" si="3"/>
        <v>4</v>
      </c>
      <c r="D85" t="s">
        <v>169</v>
      </c>
      <c r="E85" t="s">
        <v>32</v>
      </c>
      <c r="F85" t="s">
        <v>28</v>
      </c>
      <c r="G85" t="s">
        <v>29</v>
      </c>
      <c r="H85" t="s">
        <v>170</v>
      </c>
      <c r="I85" s="2">
        <v>26.72</v>
      </c>
      <c r="J85" s="3">
        <v>5</v>
      </c>
      <c r="K85" s="2">
        <v>9.35</v>
      </c>
    </row>
    <row r="86" spans="1:11" x14ac:dyDescent="0.35">
      <c r="A86" s="1">
        <v>41731</v>
      </c>
      <c r="B86" s="3">
        <f t="shared" si="2"/>
        <v>2014</v>
      </c>
      <c r="C86" s="3">
        <f t="shared" si="3"/>
        <v>4</v>
      </c>
      <c r="D86" t="s">
        <v>169</v>
      </c>
      <c r="E86" t="s">
        <v>32</v>
      </c>
      <c r="F86" t="s">
        <v>28</v>
      </c>
      <c r="G86" t="s">
        <v>29</v>
      </c>
      <c r="H86" t="s">
        <v>171</v>
      </c>
      <c r="I86" s="2">
        <v>33.49</v>
      </c>
      <c r="J86" s="3">
        <v>7</v>
      </c>
      <c r="K86" s="2">
        <v>10.47</v>
      </c>
    </row>
    <row r="87" spans="1:11" x14ac:dyDescent="0.35">
      <c r="A87" s="1">
        <v>41731</v>
      </c>
      <c r="B87" s="3">
        <f t="shared" si="2"/>
        <v>2014</v>
      </c>
      <c r="C87" s="3">
        <f t="shared" si="3"/>
        <v>4</v>
      </c>
      <c r="D87" t="s">
        <v>172</v>
      </c>
      <c r="E87" t="s">
        <v>173</v>
      </c>
      <c r="F87" t="s">
        <v>18</v>
      </c>
      <c r="G87" t="s">
        <v>36</v>
      </c>
      <c r="H87" t="s">
        <v>174</v>
      </c>
      <c r="I87" s="2">
        <v>177.68</v>
      </c>
      <c r="J87" s="3">
        <v>2</v>
      </c>
      <c r="K87" s="2">
        <v>46.2</v>
      </c>
    </row>
    <row r="88" spans="1:11" x14ac:dyDescent="0.35">
      <c r="A88" s="1">
        <v>41761</v>
      </c>
      <c r="B88" s="3">
        <f t="shared" si="2"/>
        <v>2014</v>
      </c>
      <c r="C88" s="3">
        <f t="shared" si="3"/>
        <v>5</v>
      </c>
      <c r="D88" t="s">
        <v>175</v>
      </c>
      <c r="E88" t="s">
        <v>131</v>
      </c>
      <c r="F88" t="s">
        <v>28</v>
      </c>
      <c r="G88" t="s">
        <v>58</v>
      </c>
      <c r="H88" t="s">
        <v>176</v>
      </c>
      <c r="I88" s="2">
        <v>26.14</v>
      </c>
      <c r="J88" s="3">
        <v>3</v>
      </c>
      <c r="K88" s="2">
        <v>1.96</v>
      </c>
    </row>
    <row r="89" spans="1:11" x14ac:dyDescent="0.35">
      <c r="A89" s="1">
        <v>41761</v>
      </c>
      <c r="B89" s="3">
        <f t="shared" si="2"/>
        <v>2014</v>
      </c>
      <c r="C89" s="3">
        <f t="shared" si="3"/>
        <v>5</v>
      </c>
      <c r="D89" t="s">
        <v>177</v>
      </c>
      <c r="E89" t="s">
        <v>77</v>
      </c>
      <c r="F89" t="s">
        <v>13</v>
      </c>
      <c r="G89" t="s">
        <v>143</v>
      </c>
      <c r="H89" t="s">
        <v>178</v>
      </c>
      <c r="I89" s="2">
        <v>479.98</v>
      </c>
      <c r="J89" s="3">
        <v>2</v>
      </c>
      <c r="K89" s="2">
        <v>90</v>
      </c>
    </row>
    <row r="90" spans="1:11" x14ac:dyDescent="0.35">
      <c r="A90" s="1">
        <v>41792</v>
      </c>
      <c r="B90" s="3">
        <f t="shared" si="2"/>
        <v>2014</v>
      </c>
      <c r="C90" s="3">
        <f t="shared" si="3"/>
        <v>6</v>
      </c>
      <c r="D90" t="s">
        <v>179</v>
      </c>
      <c r="E90" t="s">
        <v>180</v>
      </c>
      <c r="F90" t="s">
        <v>28</v>
      </c>
      <c r="G90" t="s">
        <v>48</v>
      </c>
      <c r="H90" t="s">
        <v>134</v>
      </c>
      <c r="I90" s="2">
        <v>59.81</v>
      </c>
      <c r="J90" s="3">
        <v>3</v>
      </c>
      <c r="K90" s="2">
        <v>19.440000000000001</v>
      </c>
    </row>
    <row r="91" spans="1:11" x14ac:dyDescent="0.35">
      <c r="A91" s="1">
        <v>41792</v>
      </c>
      <c r="B91" s="3">
        <f t="shared" si="2"/>
        <v>2014</v>
      </c>
      <c r="C91" s="3">
        <f t="shared" si="3"/>
        <v>6</v>
      </c>
      <c r="D91" t="s">
        <v>179</v>
      </c>
      <c r="E91" t="s">
        <v>180</v>
      </c>
      <c r="F91" t="s">
        <v>18</v>
      </c>
      <c r="G91" t="s">
        <v>36</v>
      </c>
      <c r="H91" t="s">
        <v>181</v>
      </c>
      <c r="I91" s="2">
        <v>73.319999999999993</v>
      </c>
      <c r="J91" s="3">
        <v>6</v>
      </c>
      <c r="K91" s="2">
        <v>22</v>
      </c>
    </row>
    <row r="92" spans="1:11" x14ac:dyDescent="0.35">
      <c r="A92" s="1">
        <v>41792</v>
      </c>
      <c r="B92" s="3">
        <f t="shared" si="2"/>
        <v>2014</v>
      </c>
      <c r="C92" s="3">
        <f t="shared" si="3"/>
        <v>6</v>
      </c>
      <c r="D92" t="s">
        <v>182</v>
      </c>
      <c r="E92" t="s">
        <v>165</v>
      </c>
      <c r="F92" t="s">
        <v>28</v>
      </c>
      <c r="G92" t="s">
        <v>64</v>
      </c>
      <c r="H92" t="s">
        <v>183</v>
      </c>
      <c r="I92" s="2">
        <v>8.56</v>
      </c>
      <c r="J92" s="3">
        <v>2</v>
      </c>
      <c r="K92" s="2">
        <v>2.65</v>
      </c>
    </row>
    <row r="93" spans="1:11" x14ac:dyDescent="0.35">
      <c r="A93" s="1">
        <v>41792</v>
      </c>
      <c r="B93" s="3">
        <f t="shared" si="2"/>
        <v>2014</v>
      </c>
      <c r="C93" s="3">
        <f t="shared" si="3"/>
        <v>6</v>
      </c>
      <c r="D93" t="s">
        <v>182</v>
      </c>
      <c r="E93" t="s">
        <v>165</v>
      </c>
      <c r="F93" t="s">
        <v>13</v>
      </c>
      <c r="G93" t="s">
        <v>23</v>
      </c>
      <c r="H93" t="s">
        <v>184</v>
      </c>
      <c r="I93" s="2">
        <v>239.97</v>
      </c>
      <c r="J93" s="3">
        <v>3</v>
      </c>
      <c r="K93" s="2">
        <v>67.19</v>
      </c>
    </row>
    <row r="94" spans="1:11" x14ac:dyDescent="0.35">
      <c r="A94" s="1">
        <v>41792</v>
      </c>
      <c r="B94" s="3">
        <f t="shared" si="2"/>
        <v>2014</v>
      </c>
      <c r="C94" s="3">
        <f t="shared" si="3"/>
        <v>6</v>
      </c>
      <c r="D94" t="s">
        <v>182</v>
      </c>
      <c r="E94" t="s">
        <v>165</v>
      </c>
      <c r="F94" t="s">
        <v>28</v>
      </c>
      <c r="G94" t="s">
        <v>38</v>
      </c>
      <c r="H94" t="s">
        <v>185</v>
      </c>
      <c r="I94" s="2">
        <v>356.94</v>
      </c>
      <c r="J94" s="3">
        <v>2</v>
      </c>
      <c r="K94" s="2">
        <v>107.08</v>
      </c>
    </row>
    <row r="95" spans="1:11" x14ac:dyDescent="0.35">
      <c r="A95" s="1">
        <v>41822</v>
      </c>
      <c r="B95" s="3">
        <f t="shared" si="2"/>
        <v>2014</v>
      </c>
      <c r="C95" s="3">
        <f t="shared" si="3"/>
        <v>7</v>
      </c>
      <c r="D95" t="s">
        <v>186</v>
      </c>
      <c r="E95" t="s">
        <v>62</v>
      </c>
      <c r="F95" t="s">
        <v>13</v>
      </c>
      <c r="G95" t="s">
        <v>23</v>
      </c>
      <c r="H95" t="s">
        <v>187</v>
      </c>
      <c r="I95" s="2">
        <v>73.98</v>
      </c>
      <c r="J95" s="3">
        <v>2</v>
      </c>
      <c r="K95" s="2">
        <v>19.97</v>
      </c>
    </row>
    <row r="96" spans="1:11" x14ac:dyDescent="0.35">
      <c r="A96" s="1">
        <v>41822</v>
      </c>
      <c r="B96" s="3">
        <f t="shared" si="2"/>
        <v>2014</v>
      </c>
      <c r="C96" s="3">
        <f t="shared" si="3"/>
        <v>7</v>
      </c>
      <c r="D96" t="s">
        <v>186</v>
      </c>
      <c r="E96" t="s">
        <v>62</v>
      </c>
      <c r="F96" t="s">
        <v>28</v>
      </c>
      <c r="G96" t="s">
        <v>64</v>
      </c>
      <c r="H96" t="s">
        <v>188</v>
      </c>
      <c r="I96" s="2">
        <v>5.58</v>
      </c>
      <c r="J96" s="3">
        <v>1</v>
      </c>
      <c r="K96" s="2">
        <v>2.1800000000000002</v>
      </c>
    </row>
    <row r="97" spans="1:11" x14ac:dyDescent="0.35">
      <c r="A97" s="1">
        <v>41853</v>
      </c>
      <c r="B97" s="3">
        <f t="shared" si="2"/>
        <v>2014</v>
      </c>
      <c r="C97" s="3">
        <f t="shared" si="3"/>
        <v>8</v>
      </c>
      <c r="D97" t="s">
        <v>189</v>
      </c>
      <c r="E97" t="s">
        <v>190</v>
      </c>
      <c r="F97" t="s">
        <v>28</v>
      </c>
      <c r="G97" t="s">
        <v>48</v>
      </c>
      <c r="H97" t="s">
        <v>191</v>
      </c>
      <c r="I97" s="2">
        <v>26.7</v>
      </c>
      <c r="J97" s="3">
        <v>5</v>
      </c>
      <c r="K97" s="2">
        <v>12.55</v>
      </c>
    </row>
    <row r="98" spans="1:11" x14ac:dyDescent="0.35">
      <c r="A98" s="1">
        <v>41853</v>
      </c>
      <c r="B98" s="3">
        <f t="shared" si="2"/>
        <v>2014</v>
      </c>
      <c r="C98" s="3">
        <f t="shared" si="3"/>
        <v>8</v>
      </c>
      <c r="D98" t="s">
        <v>189</v>
      </c>
      <c r="E98" t="s">
        <v>190</v>
      </c>
      <c r="F98" t="s">
        <v>13</v>
      </c>
      <c r="G98" t="s">
        <v>14</v>
      </c>
      <c r="H98" t="s">
        <v>192</v>
      </c>
      <c r="I98" s="2">
        <v>21.2</v>
      </c>
      <c r="J98" s="3">
        <v>2</v>
      </c>
      <c r="K98" s="2">
        <v>9.1199999999999992</v>
      </c>
    </row>
    <row r="99" spans="1:11" x14ac:dyDescent="0.35">
      <c r="A99" s="1">
        <v>41853</v>
      </c>
      <c r="B99" s="3">
        <f t="shared" si="2"/>
        <v>2014</v>
      </c>
      <c r="C99" s="3">
        <f t="shared" si="3"/>
        <v>8</v>
      </c>
      <c r="D99" t="s">
        <v>189</v>
      </c>
      <c r="E99" t="s">
        <v>190</v>
      </c>
      <c r="F99" t="s">
        <v>28</v>
      </c>
      <c r="G99" t="s">
        <v>38</v>
      </c>
      <c r="H99" t="s">
        <v>193</v>
      </c>
      <c r="I99" s="2">
        <v>838.38</v>
      </c>
      <c r="J99" s="3">
        <v>2</v>
      </c>
      <c r="K99" s="2">
        <v>226.36</v>
      </c>
    </row>
    <row r="100" spans="1:11" x14ac:dyDescent="0.35">
      <c r="A100" s="1">
        <v>41884</v>
      </c>
      <c r="B100" s="3">
        <f t="shared" si="2"/>
        <v>2014</v>
      </c>
      <c r="C100" s="3">
        <f t="shared" si="3"/>
        <v>9</v>
      </c>
      <c r="D100" t="s">
        <v>194</v>
      </c>
      <c r="E100" t="s">
        <v>22</v>
      </c>
      <c r="F100" t="s">
        <v>28</v>
      </c>
      <c r="G100" t="s">
        <v>58</v>
      </c>
      <c r="H100" t="s">
        <v>195</v>
      </c>
      <c r="I100" s="2">
        <v>19.899999999999999</v>
      </c>
      <c r="J100" s="3">
        <v>1</v>
      </c>
      <c r="K100" s="2">
        <v>8.9600000000000009</v>
      </c>
    </row>
    <row r="101" spans="1:11" x14ac:dyDescent="0.35">
      <c r="A101" s="1">
        <v>41884</v>
      </c>
      <c r="B101" s="3">
        <f t="shared" si="2"/>
        <v>2014</v>
      </c>
      <c r="C101" s="3">
        <f t="shared" si="3"/>
        <v>9</v>
      </c>
      <c r="D101" t="s">
        <v>194</v>
      </c>
      <c r="E101" t="s">
        <v>22</v>
      </c>
      <c r="F101" t="s">
        <v>18</v>
      </c>
      <c r="G101" t="s">
        <v>36</v>
      </c>
      <c r="H101" t="s">
        <v>196</v>
      </c>
      <c r="I101" s="2">
        <v>70.709999999999994</v>
      </c>
      <c r="J101" s="3">
        <v>1</v>
      </c>
      <c r="K101" s="2">
        <v>4.95</v>
      </c>
    </row>
    <row r="102" spans="1:11" x14ac:dyDescent="0.35">
      <c r="A102" s="1">
        <v>41884</v>
      </c>
      <c r="B102" s="3">
        <f t="shared" si="2"/>
        <v>2014</v>
      </c>
      <c r="C102" s="3">
        <f t="shared" si="3"/>
        <v>9</v>
      </c>
      <c r="D102" t="s">
        <v>197</v>
      </c>
      <c r="E102" t="s">
        <v>22</v>
      </c>
      <c r="F102" t="s">
        <v>28</v>
      </c>
      <c r="G102" t="s">
        <v>64</v>
      </c>
      <c r="H102" t="s">
        <v>198</v>
      </c>
      <c r="I102" s="2">
        <v>21.24</v>
      </c>
      <c r="J102" s="3">
        <v>3</v>
      </c>
      <c r="K102" s="2">
        <v>8.07</v>
      </c>
    </row>
    <row r="103" spans="1:11" x14ac:dyDescent="0.35">
      <c r="A103" s="1">
        <v>41884</v>
      </c>
      <c r="B103" s="3">
        <f t="shared" si="2"/>
        <v>2014</v>
      </c>
      <c r="C103" s="3">
        <f t="shared" si="3"/>
        <v>9</v>
      </c>
      <c r="D103" t="s">
        <v>199</v>
      </c>
      <c r="E103" t="s">
        <v>22</v>
      </c>
      <c r="F103" t="s">
        <v>28</v>
      </c>
      <c r="G103" t="s">
        <v>64</v>
      </c>
      <c r="H103" t="s">
        <v>200</v>
      </c>
      <c r="I103" s="2">
        <v>57.75</v>
      </c>
      <c r="J103" s="3">
        <v>5</v>
      </c>
      <c r="K103" s="2">
        <v>16.170000000000002</v>
      </c>
    </row>
    <row r="104" spans="1:11" x14ac:dyDescent="0.35">
      <c r="A104" s="1">
        <v>41884</v>
      </c>
      <c r="B104" s="3">
        <f t="shared" si="2"/>
        <v>2014</v>
      </c>
      <c r="C104" s="3">
        <f t="shared" si="3"/>
        <v>9</v>
      </c>
      <c r="D104" t="s">
        <v>199</v>
      </c>
      <c r="E104" t="s">
        <v>22</v>
      </c>
      <c r="F104" t="s">
        <v>28</v>
      </c>
      <c r="G104" t="s">
        <v>29</v>
      </c>
      <c r="H104" t="s">
        <v>123</v>
      </c>
      <c r="I104" s="2">
        <v>14.94</v>
      </c>
      <c r="J104" s="3">
        <v>3</v>
      </c>
      <c r="K104" s="2">
        <v>7.02</v>
      </c>
    </row>
    <row r="105" spans="1:11" x14ac:dyDescent="0.35">
      <c r="A105" s="1">
        <v>41884</v>
      </c>
      <c r="B105" s="3">
        <f t="shared" si="2"/>
        <v>2014</v>
      </c>
      <c r="C105" s="3">
        <f t="shared" si="3"/>
        <v>9</v>
      </c>
      <c r="D105" t="s">
        <v>201</v>
      </c>
      <c r="E105" t="s">
        <v>26</v>
      </c>
      <c r="F105" t="s">
        <v>13</v>
      </c>
      <c r="G105" t="s">
        <v>14</v>
      </c>
      <c r="H105" t="s">
        <v>202</v>
      </c>
      <c r="I105" s="2">
        <v>239.98</v>
      </c>
      <c r="J105" s="3">
        <v>3</v>
      </c>
      <c r="K105" s="2">
        <v>53.99</v>
      </c>
    </row>
    <row r="106" spans="1:11" x14ac:dyDescent="0.35">
      <c r="A106" s="1">
        <v>41884</v>
      </c>
      <c r="B106" s="3">
        <f t="shared" si="2"/>
        <v>2014</v>
      </c>
      <c r="C106" s="3">
        <f t="shared" si="3"/>
        <v>9</v>
      </c>
      <c r="D106" t="s">
        <v>203</v>
      </c>
      <c r="E106" t="s">
        <v>32</v>
      </c>
      <c r="F106" t="s">
        <v>13</v>
      </c>
      <c r="G106" t="s">
        <v>204</v>
      </c>
      <c r="H106" t="s">
        <v>205</v>
      </c>
      <c r="I106" s="2">
        <v>559.71</v>
      </c>
      <c r="J106" s="3">
        <v>3</v>
      </c>
      <c r="K106" s="2">
        <v>-121.27</v>
      </c>
    </row>
    <row r="107" spans="1:11" x14ac:dyDescent="0.35">
      <c r="A107" s="1">
        <v>41884</v>
      </c>
      <c r="B107" s="3">
        <f t="shared" si="2"/>
        <v>2014</v>
      </c>
      <c r="C107" s="3">
        <f t="shared" si="3"/>
        <v>9</v>
      </c>
      <c r="D107" t="s">
        <v>206</v>
      </c>
      <c r="E107" t="s">
        <v>67</v>
      </c>
      <c r="F107" t="s">
        <v>28</v>
      </c>
      <c r="G107" t="s">
        <v>48</v>
      </c>
      <c r="H107" t="s">
        <v>207</v>
      </c>
      <c r="I107" s="2">
        <v>1793.98</v>
      </c>
      <c r="J107" s="3">
        <v>2</v>
      </c>
      <c r="K107" s="2">
        <v>843.17</v>
      </c>
    </row>
    <row r="108" spans="1:11" x14ac:dyDescent="0.35">
      <c r="A108" s="1">
        <v>41884</v>
      </c>
      <c r="B108" s="3">
        <f t="shared" si="2"/>
        <v>2014</v>
      </c>
      <c r="C108" s="3">
        <f t="shared" si="3"/>
        <v>9</v>
      </c>
      <c r="D108" t="s">
        <v>208</v>
      </c>
      <c r="E108" t="s">
        <v>26</v>
      </c>
      <c r="F108" t="s">
        <v>13</v>
      </c>
      <c r="G108" t="s">
        <v>14</v>
      </c>
      <c r="H108" t="s">
        <v>209</v>
      </c>
      <c r="I108" s="2">
        <v>475.94</v>
      </c>
      <c r="J108" s="3">
        <v>7</v>
      </c>
      <c r="K108" s="2">
        <v>95.19</v>
      </c>
    </row>
    <row r="109" spans="1:11" x14ac:dyDescent="0.35">
      <c r="A109" s="1">
        <v>41914</v>
      </c>
      <c r="B109" s="3">
        <f t="shared" si="2"/>
        <v>2014</v>
      </c>
      <c r="C109" s="3">
        <f t="shared" si="3"/>
        <v>10</v>
      </c>
      <c r="D109" t="s">
        <v>210</v>
      </c>
      <c r="E109" t="s">
        <v>211</v>
      </c>
      <c r="F109" t="s">
        <v>28</v>
      </c>
      <c r="G109" t="s">
        <v>29</v>
      </c>
      <c r="H109" t="s">
        <v>212</v>
      </c>
      <c r="I109" s="2">
        <v>9.41</v>
      </c>
      <c r="J109" s="3">
        <v>2</v>
      </c>
      <c r="K109" s="2">
        <v>3.41</v>
      </c>
    </row>
    <row r="110" spans="1:11" x14ac:dyDescent="0.35">
      <c r="A110" s="1">
        <v>41914</v>
      </c>
      <c r="B110" s="3">
        <f t="shared" si="2"/>
        <v>2014</v>
      </c>
      <c r="C110" s="3">
        <f t="shared" si="3"/>
        <v>10</v>
      </c>
      <c r="D110" t="s">
        <v>210</v>
      </c>
      <c r="E110" t="s">
        <v>211</v>
      </c>
      <c r="F110" t="s">
        <v>28</v>
      </c>
      <c r="G110" t="s">
        <v>33</v>
      </c>
      <c r="H110" t="s">
        <v>111</v>
      </c>
      <c r="I110" s="2">
        <v>4.67</v>
      </c>
      <c r="J110" s="3">
        <v>2</v>
      </c>
      <c r="K110" s="2">
        <v>1.46</v>
      </c>
    </row>
    <row r="111" spans="1:11" x14ac:dyDescent="0.35">
      <c r="A111" s="1">
        <v>41914</v>
      </c>
      <c r="B111" s="3">
        <f t="shared" si="2"/>
        <v>2014</v>
      </c>
      <c r="C111" s="3">
        <f t="shared" si="3"/>
        <v>10</v>
      </c>
      <c r="D111" t="s">
        <v>210</v>
      </c>
      <c r="E111" t="s">
        <v>211</v>
      </c>
      <c r="F111" t="s">
        <v>13</v>
      </c>
      <c r="G111" t="s">
        <v>23</v>
      </c>
      <c r="H111" t="s">
        <v>213</v>
      </c>
      <c r="I111" s="2">
        <v>318.39999999999998</v>
      </c>
      <c r="J111" s="3">
        <v>2</v>
      </c>
      <c r="K111" s="2">
        <v>107.46</v>
      </c>
    </row>
    <row r="112" spans="1:11" x14ac:dyDescent="0.35">
      <c r="A112" s="1">
        <v>41914</v>
      </c>
      <c r="B112" s="3">
        <f t="shared" si="2"/>
        <v>2014</v>
      </c>
      <c r="C112" s="3">
        <f t="shared" si="3"/>
        <v>10</v>
      </c>
      <c r="D112" t="s">
        <v>210</v>
      </c>
      <c r="E112" t="s">
        <v>211</v>
      </c>
      <c r="F112" t="s">
        <v>28</v>
      </c>
      <c r="G112" t="s">
        <v>158</v>
      </c>
      <c r="H112" t="s">
        <v>214</v>
      </c>
      <c r="I112" s="2">
        <v>12.77</v>
      </c>
      <c r="J112" s="3">
        <v>6</v>
      </c>
      <c r="K112" s="2">
        <v>4.63</v>
      </c>
    </row>
    <row r="113" spans="1:11" x14ac:dyDescent="0.35">
      <c r="A113" s="1">
        <v>41914</v>
      </c>
      <c r="B113" s="3">
        <f t="shared" si="2"/>
        <v>2014</v>
      </c>
      <c r="C113" s="3">
        <f t="shared" si="3"/>
        <v>10</v>
      </c>
      <c r="D113" t="s">
        <v>210</v>
      </c>
      <c r="E113" t="s">
        <v>211</v>
      </c>
      <c r="F113" t="s">
        <v>28</v>
      </c>
      <c r="G113" t="s">
        <v>215</v>
      </c>
      <c r="H113" t="s">
        <v>216</v>
      </c>
      <c r="I113" s="2">
        <v>15.36</v>
      </c>
      <c r="J113" s="3">
        <v>2</v>
      </c>
      <c r="K113" s="2">
        <v>-3.26</v>
      </c>
    </row>
    <row r="114" spans="1:11" x14ac:dyDescent="0.35">
      <c r="A114" s="1">
        <v>41914</v>
      </c>
      <c r="B114" s="3">
        <f t="shared" si="2"/>
        <v>2014</v>
      </c>
      <c r="C114" s="3">
        <f t="shared" si="3"/>
        <v>10</v>
      </c>
      <c r="D114" t="s">
        <v>210</v>
      </c>
      <c r="E114" t="s">
        <v>211</v>
      </c>
      <c r="F114" t="s">
        <v>13</v>
      </c>
      <c r="G114" t="s">
        <v>23</v>
      </c>
      <c r="H114" t="s">
        <v>217</v>
      </c>
      <c r="I114" s="2">
        <v>230.38</v>
      </c>
      <c r="J114" s="3">
        <v>3</v>
      </c>
      <c r="K114" s="2">
        <v>20.16</v>
      </c>
    </row>
    <row r="115" spans="1:11" x14ac:dyDescent="0.35">
      <c r="A115" s="1">
        <v>41914</v>
      </c>
      <c r="B115" s="3">
        <f t="shared" si="2"/>
        <v>2014</v>
      </c>
      <c r="C115" s="3">
        <f t="shared" si="3"/>
        <v>10</v>
      </c>
      <c r="D115" t="s">
        <v>210</v>
      </c>
      <c r="E115" t="s">
        <v>211</v>
      </c>
      <c r="F115" t="s">
        <v>13</v>
      </c>
      <c r="G115" t="s">
        <v>14</v>
      </c>
      <c r="H115" t="s">
        <v>218</v>
      </c>
      <c r="I115" s="2">
        <v>7.16</v>
      </c>
      <c r="J115" s="3">
        <v>1</v>
      </c>
      <c r="K115" s="2">
        <v>-0.09</v>
      </c>
    </row>
    <row r="116" spans="1:11" x14ac:dyDescent="0.35">
      <c r="A116" s="1">
        <v>41945</v>
      </c>
      <c r="B116" s="3">
        <f t="shared" si="2"/>
        <v>2014</v>
      </c>
      <c r="C116" s="3">
        <f t="shared" si="3"/>
        <v>11</v>
      </c>
      <c r="D116" t="s">
        <v>219</v>
      </c>
      <c r="E116" t="s">
        <v>22</v>
      </c>
      <c r="F116" t="s">
        <v>28</v>
      </c>
      <c r="G116" t="s">
        <v>46</v>
      </c>
      <c r="H116" t="s">
        <v>220</v>
      </c>
      <c r="I116" s="2">
        <v>34.86</v>
      </c>
      <c r="J116" s="3">
        <v>7</v>
      </c>
      <c r="K116" s="2">
        <v>16.04</v>
      </c>
    </row>
    <row r="117" spans="1:11" x14ac:dyDescent="0.35">
      <c r="A117" s="1">
        <v>41945</v>
      </c>
      <c r="B117" s="3">
        <f t="shared" si="2"/>
        <v>2014</v>
      </c>
      <c r="C117" s="3">
        <f t="shared" si="3"/>
        <v>11</v>
      </c>
      <c r="D117" t="s">
        <v>219</v>
      </c>
      <c r="E117" t="s">
        <v>22</v>
      </c>
      <c r="F117" t="s">
        <v>18</v>
      </c>
      <c r="G117" t="s">
        <v>36</v>
      </c>
      <c r="H117" t="s">
        <v>221</v>
      </c>
      <c r="I117" s="2">
        <v>89.34</v>
      </c>
      <c r="J117" s="3">
        <v>6</v>
      </c>
      <c r="K117" s="2">
        <v>24.12</v>
      </c>
    </row>
    <row r="118" spans="1:11" x14ac:dyDescent="0.35">
      <c r="A118" s="1">
        <v>41945</v>
      </c>
      <c r="B118" s="3">
        <f t="shared" si="2"/>
        <v>2014</v>
      </c>
      <c r="C118" s="3">
        <f t="shared" si="3"/>
        <v>11</v>
      </c>
      <c r="D118" t="s">
        <v>222</v>
      </c>
      <c r="E118" t="s">
        <v>32</v>
      </c>
      <c r="F118" t="s">
        <v>13</v>
      </c>
      <c r="G118" t="s">
        <v>23</v>
      </c>
      <c r="H118" t="s">
        <v>187</v>
      </c>
      <c r="I118" s="2">
        <v>88.78</v>
      </c>
      <c r="J118" s="3">
        <v>3</v>
      </c>
      <c r="K118" s="2">
        <v>7.77</v>
      </c>
    </row>
    <row r="119" spans="1:11" x14ac:dyDescent="0.35">
      <c r="A119" s="1">
        <v>41945</v>
      </c>
      <c r="B119" s="3">
        <f t="shared" si="2"/>
        <v>2014</v>
      </c>
      <c r="C119" s="3">
        <f t="shared" si="3"/>
        <v>11</v>
      </c>
      <c r="D119" t="s">
        <v>223</v>
      </c>
      <c r="E119" t="s">
        <v>131</v>
      </c>
      <c r="F119" t="s">
        <v>13</v>
      </c>
      <c r="G119" t="s">
        <v>23</v>
      </c>
      <c r="H119" t="s">
        <v>224</v>
      </c>
      <c r="I119" s="2">
        <v>539.96</v>
      </c>
      <c r="J119" s="3">
        <v>6</v>
      </c>
      <c r="K119" s="2">
        <v>-107.99</v>
      </c>
    </row>
    <row r="120" spans="1:11" x14ac:dyDescent="0.35">
      <c r="A120" s="1">
        <v>41945</v>
      </c>
      <c r="B120" s="3">
        <f t="shared" si="2"/>
        <v>2014</v>
      </c>
      <c r="C120" s="3">
        <f t="shared" si="3"/>
        <v>11</v>
      </c>
      <c r="D120" t="s">
        <v>223</v>
      </c>
      <c r="E120" t="s">
        <v>131</v>
      </c>
      <c r="F120" t="s">
        <v>13</v>
      </c>
      <c r="G120" t="s">
        <v>23</v>
      </c>
      <c r="H120" t="s">
        <v>225</v>
      </c>
      <c r="I120" s="2">
        <v>50.23</v>
      </c>
      <c r="J120" s="3">
        <v>7</v>
      </c>
      <c r="K120" s="2">
        <v>-10.050000000000001</v>
      </c>
    </row>
    <row r="121" spans="1:11" x14ac:dyDescent="0.35">
      <c r="A121" s="1">
        <v>41945</v>
      </c>
      <c r="B121" s="3">
        <f t="shared" si="2"/>
        <v>2014</v>
      </c>
      <c r="C121" s="3">
        <f t="shared" si="3"/>
        <v>11</v>
      </c>
      <c r="D121" t="s">
        <v>223</v>
      </c>
      <c r="E121" t="s">
        <v>131</v>
      </c>
      <c r="F121" t="s">
        <v>28</v>
      </c>
      <c r="G121" t="s">
        <v>48</v>
      </c>
      <c r="H121" t="s">
        <v>226</v>
      </c>
      <c r="I121" s="2">
        <v>19.239999999999998</v>
      </c>
      <c r="J121" s="3">
        <v>3</v>
      </c>
      <c r="K121" s="2">
        <v>-13.47</v>
      </c>
    </row>
    <row r="122" spans="1:11" x14ac:dyDescent="0.35">
      <c r="A122" s="1">
        <v>41945</v>
      </c>
      <c r="B122" s="3">
        <f t="shared" si="2"/>
        <v>2014</v>
      </c>
      <c r="C122" s="3">
        <f t="shared" si="3"/>
        <v>11</v>
      </c>
      <c r="D122" t="s">
        <v>227</v>
      </c>
      <c r="E122" t="s">
        <v>77</v>
      </c>
      <c r="F122" t="s">
        <v>13</v>
      </c>
      <c r="G122" t="s">
        <v>14</v>
      </c>
      <c r="H122" t="s">
        <v>228</v>
      </c>
      <c r="I122" s="2">
        <v>799.92</v>
      </c>
      <c r="J122" s="3">
        <v>10</v>
      </c>
      <c r="K122" s="2">
        <v>239.98</v>
      </c>
    </row>
    <row r="123" spans="1:11" x14ac:dyDescent="0.35">
      <c r="A123" s="1">
        <v>41945</v>
      </c>
      <c r="B123" s="3">
        <f t="shared" si="2"/>
        <v>2014</v>
      </c>
      <c r="C123" s="3">
        <f t="shared" si="3"/>
        <v>11</v>
      </c>
      <c r="D123" t="s">
        <v>229</v>
      </c>
      <c r="E123" t="s">
        <v>45</v>
      </c>
      <c r="F123" t="s">
        <v>13</v>
      </c>
      <c r="G123" t="s">
        <v>23</v>
      </c>
      <c r="H123" t="s">
        <v>230</v>
      </c>
      <c r="I123" s="2">
        <v>46.38</v>
      </c>
      <c r="J123" s="3">
        <v>2</v>
      </c>
      <c r="K123" s="2">
        <v>5.22</v>
      </c>
    </row>
    <row r="124" spans="1:11" x14ac:dyDescent="0.35">
      <c r="A124" s="1">
        <v>41945</v>
      </c>
      <c r="B124" s="3">
        <f t="shared" si="2"/>
        <v>2014</v>
      </c>
      <c r="C124" s="3">
        <f t="shared" si="3"/>
        <v>11</v>
      </c>
      <c r="D124" t="s">
        <v>229</v>
      </c>
      <c r="E124" t="s">
        <v>45</v>
      </c>
      <c r="F124" t="s">
        <v>28</v>
      </c>
      <c r="G124" t="s">
        <v>38</v>
      </c>
      <c r="H124" t="s">
        <v>231</v>
      </c>
      <c r="I124" s="2">
        <v>362.92</v>
      </c>
      <c r="J124" s="3">
        <v>2</v>
      </c>
      <c r="K124" s="2">
        <v>105.25</v>
      </c>
    </row>
    <row r="125" spans="1:11" x14ac:dyDescent="0.35">
      <c r="A125" s="1">
        <v>41945</v>
      </c>
      <c r="B125" s="3">
        <f t="shared" si="2"/>
        <v>2014</v>
      </c>
      <c r="C125" s="3">
        <f t="shared" si="3"/>
        <v>11</v>
      </c>
      <c r="D125" t="s">
        <v>232</v>
      </c>
      <c r="E125" t="s">
        <v>17</v>
      </c>
      <c r="F125" t="s">
        <v>13</v>
      </c>
      <c r="G125" t="s">
        <v>14</v>
      </c>
      <c r="H125" t="s">
        <v>233</v>
      </c>
      <c r="I125" s="2">
        <v>41.94</v>
      </c>
      <c r="J125" s="3">
        <v>2</v>
      </c>
      <c r="K125" s="2">
        <v>15.1</v>
      </c>
    </row>
    <row r="126" spans="1:11" x14ac:dyDescent="0.35">
      <c r="A126" s="1">
        <v>41945</v>
      </c>
      <c r="B126" s="3">
        <f t="shared" si="2"/>
        <v>2014</v>
      </c>
      <c r="C126" s="3">
        <f t="shared" si="3"/>
        <v>11</v>
      </c>
      <c r="D126" t="s">
        <v>232</v>
      </c>
      <c r="E126" t="s">
        <v>17</v>
      </c>
      <c r="F126" t="s">
        <v>13</v>
      </c>
      <c r="G126" t="s">
        <v>23</v>
      </c>
      <c r="H126" t="s">
        <v>234</v>
      </c>
      <c r="I126" s="2">
        <v>52.79</v>
      </c>
      <c r="J126" s="3">
        <v>1</v>
      </c>
      <c r="K126" s="2">
        <v>4.62</v>
      </c>
    </row>
    <row r="127" spans="1:11" x14ac:dyDescent="0.35">
      <c r="A127" s="1">
        <v>41975</v>
      </c>
      <c r="B127" s="3">
        <f t="shared" si="2"/>
        <v>2014</v>
      </c>
      <c r="C127" s="3">
        <f t="shared" si="3"/>
        <v>12</v>
      </c>
      <c r="D127" t="s">
        <v>235</v>
      </c>
      <c r="E127" t="s">
        <v>22</v>
      </c>
      <c r="F127" t="s">
        <v>13</v>
      </c>
      <c r="G127" t="s">
        <v>14</v>
      </c>
      <c r="H127" t="s">
        <v>236</v>
      </c>
      <c r="I127" s="2">
        <v>119.96</v>
      </c>
      <c r="J127" s="3">
        <v>4</v>
      </c>
      <c r="K127" s="2">
        <v>52.78</v>
      </c>
    </row>
    <row r="128" spans="1:11" x14ac:dyDescent="0.35">
      <c r="A128" s="1">
        <v>41975</v>
      </c>
      <c r="B128" s="3">
        <f t="shared" si="2"/>
        <v>2014</v>
      </c>
      <c r="C128" s="3">
        <f t="shared" si="3"/>
        <v>12</v>
      </c>
      <c r="D128" t="s">
        <v>235</v>
      </c>
      <c r="E128" t="s">
        <v>22</v>
      </c>
      <c r="F128" t="s">
        <v>18</v>
      </c>
      <c r="G128" t="s">
        <v>237</v>
      </c>
      <c r="H128" t="s">
        <v>238</v>
      </c>
      <c r="I128" s="2">
        <v>883.92</v>
      </c>
      <c r="J128" s="3">
        <v>5</v>
      </c>
      <c r="K128" s="2">
        <v>-110.49</v>
      </c>
    </row>
    <row r="129" spans="1:11" x14ac:dyDescent="0.35">
      <c r="A129" s="1">
        <v>41975</v>
      </c>
      <c r="B129" s="3">
        <f t="shared" si="2"/>
        <v>2014</v>
      </c>
      <c r="C129" s="3">
        <f t="shared" si="3"/>
        <v>12</v>
      </c>
      <c r="D129" t="s">
        <v>235</v>
      </c>
      <c r="E129" t="s">
        <v>22</v>
      </c>
      <c r="F129" t="s">
        <v>28</v>
      </c>
      <c r="G129" t="s">
        <v>48</v>
      </c>
      <c r="H129" t="s">
        <v>239</v>
      </c>
      <c r="I129" s="2">
        <v>46.72</v>
      </c>
      <c r="J129" s="3">
        <v>8</v>
      </c>
      <c r="K129" s="2">
        <v>15.77</v>
      </c>
    </row>
    <row r="130" spans="1:11" x14ac:dyDescent="0.35">
      <c r="A130" s="1">
        <v>41975</v>
      </c>
      <c r="B130" s="3">
        <f t="shared" ref="B130:B193" si="4">YEAR(A130)</f>
        <v>2014</v>
      </c>
      <c r="C130" s="3">
        <f t="shared" ref="C130:C193" si="5">MONTH(A130)</f>
        <v>12</v>
      </c>
      <c r="D130" t="s">
        <v>240</v>
      </c>
      <c r="E130" t="s">
        <v>32</v>
      </c>
      <c r="F130" t="s">
        <v>18</v>
      </c>
      <c r="G130" t="s">
        <v>36</v>
      </c>
      <c r="H130" t="s">
        <v>241</v>
      </c>
      <c r="I130" s="2">
        <v>58.36</v>
      </c>
      <c r="J130" s="3">
        <v>5</v>
      </c>
      <c r="K130" s="2">
        <v>-24.8</v>
      </c>
    </row>
    <row r="131" spans="1:11" x14ac:dyDescent="0.35">
      <c r="A131" s="1">
        <v>41975</v>
      </c>
      <c r="B131" s="3">
        <f t="shared" si="4"/>
        <v>2014</v>
      </c>
      <c r="C131" s="3">
        <f t="shared" si="5"/>
        <v>12</v>
      </c>
      <c r="D131" t="s">
        <v>240</v>
      </c>
      <c r="E131" t="s">
        <v>32</v>
      </c>
      <c r="F131" t="s">
        <v>28</v>
      </c>
      <c r="G131" t="s">
        <v>64</v>
      </c>
      <c r="H131" t="s">
        <v>242</v>
      </c>
      <c r="I131" s="2">
        <v>16.46</v>
      </c>
      <c r="J131" s="3">
        <v>7</v>
      </c>
      <c r="K131" s="2">
        <v>1.44</v>
      </c>
    </row>
    <row r="132" spans="1:11" x14ac:dyDescent="0.35">
      <c r="A132" s="1">
        <v>41975</v>
      </c>
      <c r="B132" s="3">
        <f t="shared" si="4"/>
        <v>2014</v>
      </c>
      <c r="C132" s="3">
        <f t="shared" si="5"/>
        <v>12</v>
      </c>
      <c r="D132" t="s">
        <v>240</v>
      </c>
      <c r="E132" t="s">
        <v>32</v>
      </c>
      <c r="F132" t="s">
        <v>18</v>
      </c>
      <c r="G132" t="s">
        <v>36</v>
      </c>
      <c r="H132" t="s">
        <v>243</v>
      </c>
      <c r="I132" s="2">
        <v>39.96</v>
      </c>
      <c r="J132" s="3">
        <v>5</v>
      </c>
      <c r="K132" s="2">
        <v>-23.98</v>
      </c>
    </row>
    <row r="133" spans="1:11" x14ac:dyDescent="0.35">
      <c r="A133" s="1">
        <v>41975</v>
      </c>
      <c r="B133" s="3">
        <f t="shared" si="4"/>
        <v>2014</v>
      </c>
      <c r="C133" s="3">
        <f t="shared" si="5"/>
        <v>12</v>
      </c>
      <c r="D133" t="s">
        <v>244</v>
      </c>
      <c r="E133" t="s">
        <v>131</v>
      </c>
      <c r="F133" t="s">
        <v>13</v>
      </c>
      <c r="G133" t="s">
        <v>14</v>
      </c>
      <c r="H133" t="s">
        <v>245</v>
      </c>
      <c r="I133" s="2">
        <v>119.8</v>
      </c>
      <c r="J133" s="3">
        <v>5</v>
      </c>
      <c r="K133" s="2">
        <v>29.95</v>
      </c>
    </row>
    <row r="134" spans="1:11" x14ac:dyDescent="0.35">
      <c r="A134" s="1">
        <v>41975</v>
      </c>
      <c r="B134" s="3">
        <f t="shared" si="4"/>
        <v>2014</v>
      </c>
      <c r="C134" s="3">
        <f t="shared" si="5"/>
        <v>12</v>
      </c>
      <c r="D134" t="s">
        <v>246</v>
      </c>
      <c r="E134" t="s">
        <v>26</v>
      </c>
      <c r="F134" t="s">
        <v>28</v>
      </c>
      <c r="G134" t="s">
        <v>58</v>
      </c>
      <c r="H134" t="s">
        <v>247</v>
      </c>
      <c r="I134" s="2">
        <v>2.39</v>
      </c>
      <c r="J134" s="3">
        <v>1</v>
      </c>
      <c r="K134" s="2">
        <v>-6.34</v>
      </c>
    </row>
    <row r="135" spans="1:11" x14ac:dyDescent="0.35">
      <c r="A135" s="1">
        <v>41975</v>
      </c>
      <c r="B135" s="3">
        <f t="shared" si="4"/>
        <v>2014</v>
      </c>
      <c r="C135" s="3">
        <f t="shared" si="5"/>
        <v>12</v>
      </c>
      <c r="D135" t="s">
        <v>248</v>
      </c>
      <c r="E135" t="s">
        <v>249</v>
      </c>
      <c r="F135" t="s">
        <v>18</v>
      </c>
      <c r="G135" t="s">
        <v>36</v>
      </c>
      <c r="H135" t="s">
        <v>250</v>
      </c>
      <c r="I135" s="2">
        <v>60.72</v>
      </c>
      <c r="J135" s="3">
        <v>3</v>
      </c>
      <c r="K135" s="2">
        <v>23.68</v>
      </c>
    </row>
    <row r="136" spans="1:11" x14ac:dyDescent="0.35">
      <c r="A136" s="1">
        <v>41975</v>
      </c>
      <c r="B136" s="3">
        <f t="shared" si="4"/>
        <v>2014</v>
      </c>
      <c r="C136" s="3">
        <f t="shared" si="5"/>
        <v>12</v>
      </c>
      <c r="D136" t="s">
        <v>248</v>
      </c>
      <c r="E136" t="s">
        <v>249</v>
      </c>
      <c r="F136" t="s">
        <v>28</v>
      </c>
      <c r="G136" t="s">
        <v>29</v>
      </c>
      <c r="H136" t="s">
        <v>251</v>
      </c>
      <c r="I136" s="2">
        <v>146.82</v>
      </c>
      <c r="J136" s="3">
        <v>3</v>
      </c>
      <c r="K136" s="2">
        <v>73.41</v>
      </c>
    </row>
    <row r="137" spans="1:11" x14ac:dyDescent="0.35">
      <c r="A137" s="1">
        <v>41975</v>
      </c>
      <c r="B137" s="3">
        <f t="shared" si="4"/>
        <v>2014</v>
      </c>
      <c r="C137" s="3">
        <f t="shared" si="5"/>
        <v>12</v>
      </c>
      <c r="D137" t="s">
        <v>248</v>
      </c>
      <c r="E137" t="s">
        <v>249</v>
      </c>
      <c r="F137" t="s">
        <v>18</v>
      </c>
      <c r="G137" t="s">
        <v>19</v>
      </c>
      <c r="H137" t="s">
        <v>252</v>
      </c>
      <c r="I137" s="2">
        <v>239.84</v>
      </c>
      <c r="J137" s="3">
        <v>8</v>
      </c>
      <c r="K137" s="2">
        <v>64.760000000000005</v>
      </c>
    </row>
    <row r="138" spans="1:11" x14ac:dyDescent="0.35">
      <c r="A138" s="1">
        <v>41975</v>
      </c>
      <c r="B138" s="3">
        <f t="shared" si="4"/>
        <v>2014</v>
      </c>
      <c r="C138" s="3">
        <f t="shared" si="5"/>
        <v>12</v>
      </c>
      <c r="D138" t="s">
        <v>248</v>
      </c>
      <c r="E138" t="s">
        <v>249</v>
      </c>
      <c r="F138" t="s">
        <v>28</v>
      </c>
      <c r="G138" t="s">
        <v>46</v>
      </c>
      <c r="H138" t="s">
        <v>253</v>
      </c>
      <c r="I138" s="2">
        <v>15.66</v>
      </c>
      <c r="J138" s="3">
        <v>6</v>
      </c>
      <c r="K138" s="2">
        <v>7.2</v>
      </c>
    </row>
    <row r="139" spans="1:11" x14ac:dyDescent="0.35">
      <c r="A139" s="1">
        <v>41975</v>
      </c>
      <c r="B139" s="3">
        <f t="shared" si="4"/>
        <v>2014</v>
      </c>
      <c r="C139" s="3">
        <f t="shared" si="5"/>
        <v>12</v>
      </c>
      <c r="D139" t="s">
        <v>254</v>
      </c>
      <c r="E139" t="s">
        <v>165</v>
      </c>
      <c r="F139" t="s">
        <v>13</v>
      </c>
      <c r="G139" t="s">
        <v>14</v>
      </c>
      <c r="H139" t="s">
        <v>255</v>
      </c>
      <c r="I139" s="2">
        <v>5.95</v>
      </c>
      <c r="J139" s="3">
        <v>1</v>
      </c>
      <c r="K139" s="2">
        <v>0.83</v>
      </c>
    </row>
    <row r="140" spans="1:11" x14ac:dyDescent="0.35">
      <c r="A140" s="1">
        <v>41975</v>
      </c>
      <c r="B140" s="3">
        <f t="shared" si="4"/>
        <v>2014</v>
      </c>
      <c r="C140" s="3">
        <f t="shared" si="5"/>
        <v>12</v>
      </c>
      <c r="D140" t="s">
        <v>254</v>
      </c>
      <c r="E140" t="s">
        <v>165</v>
      </c>
      <c r="F140" t="s">
        <v>28</v>
      </c>
      <c r="G140" t="s">
        <v>29</v>
      </c>
      <c r="H140" t="s">
        <v>256</v>
      </c>
      <c r="I140" s="2">
        <v>15.24</v>
      </c>
      <c r="J140" s="3">
        <v>3</v>
      </c>
      <c r="K140" s="2">
        <v>7.16</v>
      </c>
    </row>
    <row r="141" spans="1:11" x14ac:dyDescent="0.35">
      <c r="A141" s="1">
        <v>41642</v>
      </c>
      <c r="B141" s="3">
        <f t="shared" si="4"/>
        <v>2014</v>
      </c>
      <c r="C141" s="3">
        <f t="shared" si="5"/>
        <v>1</v>
      </c>
      <c r="D141" t="s">
        <v>257</v>
      </c>
      <c r="E141" t="s">
        <v>32</v>
      </c>
      <c r="F141" t="s">
        <v>28</v>
      </c>
      <c r="G141" t="s">
        <v>29</v>
      </c>
      <c r="H141" t="s">
        <v>258</v>
      </c>
      <c r="I141" s="2">
        <v>16.45</v>
      </c>
      <c r="J141" s="3">
        <v>2</v>
      </c>
      <c r="K141" s="2">
        <v>5.55</v>
      </c>
    </row>
    <row r="142" spans="1:11" x14ac:dyDescent="0.35">
      <c r="A142" s="1">
        <v>41673</v>
      </c>
      <c r="B142" s="3">
        <f t="shared" si="4"/>
        <v>2014</v>
      </c>
      <c r="C142" s="3">
        <f t="shared" si="5"/>
        <v>2</v>
      </c>
      <c r="D142" t="s">
        <v>259</v>
      </c>
      <c r="E142" t="s">
        <v>17</v>
      </c>
      <c r="F142" t="s">
        <v>28</v>
      </c>
      <c r="G142" t="s">
        <v>48</v>
      </c>
      <c r="H142" t="s">
        <v>260</v>
      </c>
      <c r="I142" s="2">
        <v>83.84</v>
      </c>
      <c r="J142" s="3">
        <v>2</v>
      </c>
      <c r="K142" s="2">
        <v>27.25</v>
      </c>
    </row>
    <row r="143" spans="1:11" x14ac:dyDescent="0.35">
      <c r="A143" s="1">
        <v>41673</v>
      </c>
      <c r="B143" s="3">
        <f t="shared" si="4"/>
        <v>2014</v>
      </c>
      <c r="C143" s="3">
        <f t="shared" si="5"/>
        <v>2</v>
      </c>
      <c r="D143" t="s">
        <v>259</v>
      </c>
      <c r="E143" t="s">
        <v>17</v>
      </c>
      <c r="F143" t="s">
        <v>28</v>
      </c>
      <c r="G143" t="s">
        <v>48</v>
      </c>
      <c r="H143" t="s">
        <v>261</v>
      </c>
      <c r="I143" s="2">
        <v>13.27</v>
      </c>
      <c r="J143" s="3">
        <v>3</v>
      </c>
      <c r="K143" s="2">
        <v>4.3099999999999996</v>
      </c>
    </row>
    <row r="144" spans="1:11" x14ac:dyDescent="0.35">
      <c r="A144" s="1">
        <v>41701</v>
      </c>
      <c r="B144" s="3">
        <f t="shared" si="4"/>
        <v>2014</v>
      </c>
      <c r="C144" s="3">
        <f t="shared" si="5"/>
        <v>3</v>
      </c>
      <c r="D144" t="s">
        <v>262</v>
      </c>
      <c r="E144" t="s">
        <v>81</v>
      </c>
      <c r="F144" t="s">
        <v>28</v>
      </c>
      <c r="G144" t="s">
        <v>64</v>
      </c>
      <c r="H144" t="s">
        <v>263</v>
      </c>
      <c r="I144" s="2">
        <v>19.46</v>
      </c>
      <c r="J144" s="3">
        <v>4</v>
      </c>
      <c r="K144" s="2">
        <v>3.4</v>
      </c>
    </row>
    <row r="145" spans="1:11" x14ac:dyDescent="0.35">
      <c r="A145" s="1">
        <v>41701</v>
      </c>
      <c r="B145" s="3">
        <f t="shared" si="4"/>
        <v>2014</v>
      </c>
      <c r="C145" s="3">
        <f t="shared" si="5"/>
        <v>3</v>
      </c>
      <c r="D145" t="s">
        <v>264</v>
      </c>
      <c r="E145" t="s">
        <v>22</v>
      </c>
      <c r="F145" t="s">
        <v>13</v>
      </c>
      <c r="G145" t="s">
        <v>23</v>
      </c>
      <c r="H145" t="s">
        <v>265</v>
      </c>
      <c r="I145" s="2">
        <v>9.99</v>
      </c>
      <c r="J145" s="3">
        <v>1</v>
      </c>
      <c r="K145" s="2">
        <v>4.5999999999999996</v>
      </c>
    </row>
    <row r="146" spans="1:11" x14ac:dyDescent="0.35">
      <c r="A146" s="1">
        <v>41701</v>
      </c>
      <c r="B146" s="3">
        <f t="shared" si="4"/>
        <v>2014</v>
      </c>
      <c r="C146" s="3">
        <f t="shared" si="5"/>
        <v>3</v>
      </c>
      <c r="D146" t="s">
        <v>264</v>
      </c>
      <c r="E146" t="s">
        <v>22</v>
      </c>
      <c r="F146" t="s">
        <v>28</v>
      </c>
      <c r="G146" t="s">
        <v>48</v>
      </c>
      <c r="H146" t="s">
        <v>260</v>
      </c>
      <c r="I146" s="2">
        <v>125.76</v>
      </c>
      <c r="J146" s="3">
        <v>3</v>
      </c>
      <c r="K146" s="2">
        <v>40.869999999999997</v>
      </c>
    </row>
    <row r="147" spans="1:11" x14ac:dyDescent="0.35">
      <c r="A147" s="1">
        <v>41701</v>
      </c>
      <c r="B147" s="3">
        <f t="shared" si="4"/>
        <v>2014</v>
      </c>
      <c r="C147" s="3">
        <f t="shared" si="5"/>
        <v>3</v>
      </c>
      <c r="D147" t="s">
        <v>264</v>
      </c>
      <c r="E147" t="s">
        <v>22</v>
      </c>
      <c r="F147" t="s">
        <v>28</v>
      </c>
      <c r="G147" t="s">
        <v>48</v>
      </c>
      <c r="H147" t="s">
        <v>266</v>
      </c>
      <c r="I147" s="2">
        <v>25.32</v>
      </c>
      <c r="J147" s="3">
        <v>5</v>
      </c>
      <c r="K147" s="2">
        <v>9.18</v>
      </c>
    </row>
    <row r="148" spans="1:11" x14ac:dyDescent="0.35">
      <c r="A148" s="1">
        <v>41701</v>
      </c>
      <c r="B148" s="3">
        <f t="shared" si="4"/>
        <v>2014</v>
      </c>
      <c r="C148" s="3">
        <f t="shared" si="5"/>
        <v>3</v>
      </c>
      <c r="D148" t="s">
        <v>267</v>
      </c>
      <c r="E148" t="s">
        <v>131</v>
      </c>
      <c r="F148" t="s">
        <v>28</v>
      </c>
      <c r="G148" t="s">
        <v>46</v>
      </c>
      <c r="H148" t="s">
        <v>268</v>
      </c>
      <c r="I148" s="2">
        <v>15.12</v>
      </c>
      <c r="J148" s="3">
        <v>3</v>
      </c>
      <c r="K148" s="2">
        <v>4.91</v>
      </c>
    </row>
    <row r="149" spans="1:11" x14ac:dyDescent="0.35">
      <c r="A149" s="1">
        <v>41701</v>
      </c>
      <c r="B149" s="3">
        <f t="shared" si="4"/>
        <v>2014</v>
      </c>
      <c r="C149" s="3">
        <f t="shared" si="5"/>
        <v>3</v>
      </c>
      <c r="D149" t="s">
        <v>267</v>
      </c>
      <c r="E149" t="s">
        <v>131</v>
      </c>
      <c r="F149" t="s">
        <v>18</v>
      </c>
      <c r="G149" t="s">
        <v>237</v>
      </c>
      <c r="H149" t="s">
        <v>269</v>
      </c>
      <c r="I149" s="2">
        <v>302.45</v>
      </c>
      <c r="J149" s="3">
        <v>5</v>
      </c>
      <c r="K149" s="2">
        <v>-199.62</v>
      </c>
    </row>
    <row r="150" spans="1:11" x14ac:dyDescent="0.35">
      <c r="A150" s="1">
        <v>41701</v>
      </c>
      <c r="B150" s="3">
        <f t="shared" si="4"/>
        <v>2014</v>
      </c>
      <c r="C150" s="3">
        <f t="shared" si="5"/>
        <v>3</v>
      </c>
      <c r="D150" t="s">
        <v>267</v>
      </c>
      <c r="E150" t="s">
        <v>131</v>
      </c>
      <c r="F150" t="s">
        <v>28</v>
      </c>
      <c r="G150" t="s">
        <v>38</v>
      </c>
      <c r="H150" t="s">
        <v>270</v>
      </c>
      <c r="I150" s="2">
        <v>44.67</v>
      </c>
      <c r="J150" s="3">
        <v>8</v>
      </c>
      <c r="K150" s="2">
        <v>-10.050000000000001</v>
      </c>
    </row>
    <row r="151" spans="1:11" x14ac:dyDescent="0.35">
      <c r="A151" s="1">
        <v>41701</v>
      </c>
      <c r="B151" s="3">
        <f t="shared" si="4"/>
        <v>2014</v>
      </c>
      <c r="C151" s="3">
        <f t="shared" si="5"/>
        <v>3</v>
      </c>
      <c r="D151" t="s">
        <v>169</v>
      </c>
      <c r="E151" t="s">
        <v>32</v>
      </c>
      <c r="F151" t="s">
        <v>28</v>
      </c>
      <c r="G151" t="s">
        <v>58</v>
      </c>
      <c r="H151" t="s">
        <v>271</v>
      </c>
      <c r="I151" s="2">
        <v>176.77</v>
      </c>
      <c r="J151" s="3">
        <v>3</v>
      </c>
      <c r="K151" s="2">
        <v>-459.61</v>
      </c>
    </row>
    <row r="152" spans="1:11" x14ac:dyDescent="0.35">
      <c r="A152" s="1">
        <v>41701</v>
      </c>
      <c r="B152" s="3">
        <f t="shared" si="4"/>
        <v>2014</v>
      </c>
      <c r="C152" s="3">
        <f t="shared" si="5"/>
        <v>3</v>
      </c>
      <c r="D152" t="s">
        <v>272</v>
      </c>
      <c r="E152" t="s">
        <v>45</v>
      </c>
      <c r="F152" t="s">
        <v>18</v>
      </c>
      <c r="G152" t="s">
        <v>42</v>
      </c>
      <c r="H152" t="s">
        <v>273</v>
      </c>
      <c r="I152" s="2">
        <v>626.35</v>
      </c>
      <c r="J152" s="3">
        <v>3</v>
      </c>
      <c r="K152" s="2">
        <v>-23.49</v>
      </c>
    </row>
    <row r="153" spans="1:11" x14ac:dyDescent="0.35">
      <c r="A153" s="1">
        <v>41732</v>
      </c>
      <c r="B153" s="3">
        <f t="shared" si="4"/>
        <v>2014</v>
      </c>
      <c r="C153" s="3">
        <f t="shared" si="5"/>
        <v>4</v>
      </c>
      <c r="D153" t="s">
        <v>274</v>
      </c>
      <c r="E153" t="s">
        <v>45</v>
      </c>
      <c r="F153" t="s">
        <v>28</v>
      </c>
      <c r="G153" t="s">
        <v>158</v>
      </c>
      <c r="H153" t="s">
        <v>159</v>
      </c>
      <c r="I153" s="2">
        <v>11.16</v>
      </c>
      <c r="J153" s="3">
        <v>2</v>
      </c>
      <c r="K153" s="2">
        <v>5.58</v>
      </c>
    </row>
    <row r="154" spans="1:11" x14ac:dyDescent="0.35">
      <c r="A154" s="1">
        <v>41732</v>
      </c>
      <c r="B154" s="3">
        <f t="shared" si="4"/>
        <v>2014</v>
      </c>
      <c r="C154" s="3">
        <f t="shared" si="5"/>
        <v>4</v>
      </c>
      <c r="D154" t="s">
        <v>274</v>
      </c>
      <c r="E154" t="s">
        <v>45</v>
      </c>
      <c r="F154" t="s">
        <v>13</v>
      </c>
      <c r="G154" t="s">
        <v>14</v>
      </c>
      <c r="H154" t="s">
        <v>275</v>
      </c>
      <c r="I154" s="2">
        <v>62.31</v>
      </c>
      <c r="J154" s="3">
        <v>3</v>
      </c>
      <c r="K154" s="2">
        <v>22.43</v>
      </c>
    </row>
    <row r="155" spans="1:11" x14ac:dyDescent="0.35">
      <c r="A155" s="1">
        <v>41732</v>
      </c>
      <c r="B155" s="3">
        <f t="shared" si="4"/>
        <v>2014</v>
      </c>
      <c r="C155" s="3">
        <f t="shared" si="5"/>
        <v>4</v>
      </c>
      <c r="D155" t="s">
        <v>274</v>
      </c>
      <c r="E155" t="s">
        <v>45</v>
      </c>
      <c r="F155" t="s">
        <v>13</v>
      </c>
      <c r="G155" t="s">
        <v>14</v>
      </c>
      <c r="H155" t="s">
        <v>276</v>
      </c>
      <c r="I155" s="2">
        <v>159.97999999999999</v>
      </c>
      <c r="J155" s="3">
        <v>2</v>
      </c>
      <c r="K155" s="2">
        <v>57.59</v>
      </c>
    </row>
    <row r="156" spans="1:11" x14ac:dyDescent="0.35">
      <c r="A156" s="1">
        <v>41762</v>
      </c>
      <c r="B156" s="3">
        <f t="shared" si="4"/>
        <v>2014</v>
      </c>
      <c r="C156" s="3">
        <f t="shared" si="5"/>
        <v>5</v>
      </c>
      <c r="D156" t="s">
        <v>277</v>
      </c>
      <c r="E156" t="s">
        <v>12</v>
      </c>
      <c r="F156" t="s">
        <v>28</v>
      </c>
      <c r="G156" t="s">
        <v>46</v>
      </c>
      <c r="H156" t="s">
        <v>278</v>
      </c>
      <c r="I156" s="2">
        <v>21.56</v>
      </c>
      <c r="J156" s="3">
        <v>7</v>
      </c>
      <c r="K156" s="2">
        <v>10.35</v>
      </c>
    </row>
    <row r="157" spans="1:11" x14ac:dyDescent="0.35">
      <c r="A157" s="1">
        <v>41762</v>
      </c>
      <c r="B157" s="3">
        <f t="shared" si="4"/>
        <v>2014</v>
      </c>
      <c r="C157" s="3">
        <f t="shared" si="5"/>
        <v>5</v>
      </c>
      <c r="D157" t="s">
        <v>279</v>
      </c>
      <c r="E157" t="s">
        <v>22</v>
      </c>
      <c r="F157" t="s">
        <v>28</v>
      </c>
      <c r="G157" t="s">
        <v>48</v>
      </c>
      <c r="H157" t="s">
        <v>280</v>
      </c>
      <c r="I157" s="2">
        <v>40.18</v>
      </c>
      <c r="J157" s="3">
        <v>3</v>
      </c>
      <c r="K157" s="2">
        <v>14.56</v>
      </c>
    </row>
    <row r="158" spans="1:11" x14ac:dyDescent="0.35">
      <c r="A158" s="1">
        <v>41762</v>
      </c>
      <c r="B158" s="3">
        <f t="shared" si="4"/>
        <v>2014</v>
      </c>
      <c r="C158" s="3">
        <f t="shared" si="5"/>
        <v>5</v>
      </c>
      <c r="D158" t="s">
        <v>279</v>
      </c>
      <c r="E158" t="s">
        <v>22</v>
      </c>
      <c r="F158" t="s">
        <v>28</v>
      </c>
      <c r="G158" t="s">
        <v>48</v>
      </c>
      <c r="H158" t="s">
        <v>281</v>
      </c>
      <c r="I158" s="2">
        <v>10.9</v>
      </c>
      <c r="J158" s="3">
        <v>3</v>
      </c>
      <c r="K158" s="2">
        <v>3.95</v>
      </c>
    </row>
    <row r="159" spans="1:11" x14ac:dyDescent="0.35">
      <c r="A159" s="1">
        <v>41793</v>
      </c>
      <c r="B159" s="3">
        <f t="shared" si="4"/>
        <v>2014</v>
      </c>
      <c r="C159" s="3">
        <f t="shared" si="5"/>
        <v>6</v>
      </c>
      <c r="D159" t="s">
        <v>282</v>
      </c>
      <c r="E159" t="s">
        <v>17</v>
      </c>
      <c r="F159" t="s">
        <v>18</v>
      </c>
      <c r="G159" t="s">
        <v>42</v>
      </c>
      <c r="H159" t="s">
        <v>283</v>
      </c>
      <c r="I159" s="2">
        <v>515.88</v>
      </c>
      <c r="J159" s="3">
        <v>6</v>
      </c>
      <c r="K159" s="2">
        <v>113.49</v>
      </c>
    </row>
    <row r="160" spans="1:11" x14ac:dyDescent="0.35">
      <c r="A160" s="1">
        <v>41793</v>
      </c>
      <c r="B160" s="3">
        <f t="shared" si="4"/>
        <v>2014</v>
      </c>
      <c r="C160" s="3">
        <f t="shared" si="5"/>
        <v>6</v>
      </c>
      <c r="D160" t="s">
        <v>284</v>
      </c>
      <c r="E160" t="s">
        <v>71</v>
      </c>
      <c r="F160" t="s">
        <v>28</v>
      </c>
      <c r="G160" t="s">
        <v>158</v>
      </c>
      <c r="H160" t="s">
        <v>285</v>
      </c>
      <c r="I160" s="2">
        <v>15.28</v>
      </c>
      <c r="J160" s="3">
        <v>2</v>
      </c>
      <c r="K160" s="2">
        <v>7.49</v>
      </c>
    </row>
    <row r="161" spans="1:11" x14ac:dyDescent="0.35">
      <c r="A161" s="1">
        <v>41793</v>
      </c>
      <c r="B161" s="3">
        <f t="shared" si="4"/>
        <v>2014</v>
      </c>
      <c r="C161" s="3">
        <f t="shared" si="5"/>
        <v>6</v>
      </c>
      <c r="D161" t="s">
        <v>286</v>
      </c>
      <c r="E161" t="s">
        <v>26</v>
      </c>
      <c r="F161" t="s">
        <v>28</v>
      </c>
      <c r="G161" t="s">
        <v>46</v>
      </c>
      <c r="H161" t="s">
        <v>113</v>
      </c>
      <c r="I161" s="2">
        <v>15.94</v>
      </c>
      <c r="J161" s="3">
        <v>4</v>
      </c>
      <c r="K161" s="2">
        <v>5.18</v>
      </c>
    </row>
    <row r="162" spans="1:11" x14ac:dyDescent="0.35">
      <c r="A162" s="1">
        <v>41793</v>
      </c>
      <c r="B162" s="3">
        <f t="shared" si="4"/>
        <v>2014</v>
      </c>
      <c r="C162" s="3">
        <f t="shared" si="5"/>
        <v>6</v>
      </c>
      <c r="D162" t="s">
        <v>286</v>
      </c>
      <c r="E162" t="s">
        <v>26</v>
      </c>
      <c r="F162" t="s">
        <v>18</v>
      </c>
      <c r="G162" t="s">
        <v>36</v>
      </c>
      <c r="H162" t="s">
        <v>287</v>
      </c>
      <c r="I162" s="2">
        <v>61.54</v>
      </c>
      <c r="J162" s="3">
        <v>7</v>
      </c>
      <c r="K162" s="2">
        <v>-40</v>
      </c>
    </row>
    <row r="163" spans="1:11" x14ac:dyDescent="0.35">
      <c r="A163" s="1">
        <v>41793</v>
      </c>
      <c r="B163" s="3">
        <f t="shared" si="4"/>
        <v>2014</v>
      </c>
      <c r="C163" s="3">
        <f t="shared" si="5"/>
        <v>6</v>
      </c>
      <c r="D163" t="s">
        <v>286</v>
      </c>
      <c r="E163" t="s">
        <v>26</v>
      </c>
      <c r="F163" t="s">
        <v>28</v>
      </c>
      <c r="G163" t="s">
        <v>38</v>
      </c>
      <c r="H163" t="s">
        <v>288</v>
      </c>
      <c r="I163" s="2">
        <v>132.69999999999999</v>
      </c>
      <c r="J163" s="3">
        <v>3</v>
      </c>
      <c r="K163" s="2">
        <v>9.9499999999999993</v>
      </c>
    </row>
    <row r="164" spans="1:11" x14ac:dyDescent="0.35">
      <c r="A164" s="1">
        <v>41854</v>
      </c>
      <c r="B164" s="3">
        <f t="shared" si="4"/>
        <v>2014</v>
      </c>
      <c r="C164" s="3">
        <f t="shared" si="5"/>
        <v>8</v>
      </c>
      <c r="D164" t="s">
        <v>289</v>
      </c>
      <c r="E164" t="s">
        <v>103</v>
      </c>
      <c r="F164" t="s">
        <v>18</v>
      </c>
      <c r="G164" t="s">
        <v>42</v>
      </c>
      <c r="H164" t="s">
        <v>290</v>
      </c>
      <c r="I164" s="2">
        <v>218.75</v>
      </c>
      <c r="J164" s="3">
        <v>2</v>
      </c>
      <c r="K164" s="2">
        <v>-161.88</v>
      </c>
    </row>
    <row r="165" spans="1:11" x14ac:dyDescent="0.35">
      <c r="A165" s="1">
        <v>41854</v>
      </c>
      <c r="B165" s="3">
        <f t="shared" si="4"/>
        <v>2014</v>
      </c>
      <c r="C165" s="3">
        <f t="shared" si="5"/>
        <v>8</v>
      </c>
      <c r="D165" t="s">
        <v>289</v>
      </c>
      <c r="E165" t="s">
        <v>103</v>
      </c>
      <c r="F165" t="s">
        <v>28</v>
      </c>
      <c r="G165" t="s">
        <v>58</v>
      </c>
      <c r="H165" t="s">
        <v>291</v>
      </c>
      <c r="I165" s="2">
        <v>2.6</v>
      </c>
      <c r="J165" s="3">
        <v>1</v>
      </c>
      <c r="K165" s="2">
        <v>0.28999999999999998</v>
      </c>
    </row>
    <row r="166" spans="1:11" x14ac:dyDescent="0.35">
      <c r="A166" s="1">
        <v>41854</v>
      </c>
      <c r="B166" s="3">
        <f t="shared" si="4"/>
        <v>2014</v>
      </c>
      <c r="C166" s="3">
        <f t="shared" si="5"/>
        <v>8</v>
      </c>
      <c r="D166" t="s">
        <v>292</v>
      </c>
      <c r="E166" t="s">
        <v>22</v>
      </c>
      <c r="F166" t="s">
        <v>28</v>
      </c>
      <c r="G166" t="s">
        <v>29</v>
      </c>
      <c r="H166" t="s">
        <v>293</v>
      </c>
      <c r="I166" s="2">
        <v>39.96</v>
      </c>
      <c r="J166" s="3">
        <v>2</v>
      </c>
      <c r="K166" s="2">
        <v>18.78</v>
      </c>
    </row>
    <row r="167" spans="1:11" x14ac:dyDescent="0.35">
      <c r="A167" s="1">
        <v>41854</v>
      </c>
      <c r="B167" s="3">
        <f t="shared" si="4"/>
        <v>2014</v>
      </c>
      <c r="C167" s="3">
        <f t="shared" si="5"/>
        <v>8</v>
      </c>
      <c r="D167" t="s">
        <v>292</v>
      </c>
      <c r="E167" t="s">
        <v>22</v>
      </c>
      <c r="F167" t="s">
        <v>28</v>
      </c>
      <c r="G167" t="s">
        <v>215</v>
      </c>
      <c r="H167" t="s">
        <v>294</v>
      </c>
      <c r="I167" s="2">
        <v>102.3</v>
      </c>
      <c r="J167" s="3">
        <v>10</v>
      </c>
      <c r="K167" s="2">
        <v>26.6</v>
      </c>
    </row>
    <row r="168" spans="1:11" x14ac:dyDescent="0.35">
      <c r="A168" s="1">
        <v>41854</v>
      </c>
      <c r="B168" s="3">
        <f t="shared" si="4"/>
        <v>2014</v>
      </c>
      <c r="C168" s="3">
        <f t="shared" si="5"/>
        <v>8</v>
      </c>
      <c r="D168" t="s">
        <v>292</v>
      </c>
      <c r="E168" t="s">
        <v>22</v>
      </c>
      <c r="F168" t="s">
        <v>28</v>
      </c>
      <c r="G168" t="s">
        <v>38</v>
      </c>
      <c r="H168" t="s">
        <v>295</v>
      </c>
      <c r="I168" s="2">
        <v>21.36</v>
      </c>
      <c r="J168" s="3">
        <v>2</v>
      </c>
      <c r="K168" s="2">
        <v>5.77</v>
      </c>
    </row>
    <row r="169" spans="1:11" x14ac:dyDescent="0.35">
      <c r="A169" s="1">
        <v>41854</v>
      </c>
      <c r="B169" s="3">
        <f t="shared" si="4"/>
        <v>2014</v>
      </c>
      <c r="C169" s="3">
        <f t="shared" si="5"/>
        <v>8</v>
      </c>
      <c r="D169" t="s">
        <v>296</v>
      </c>
      <c r="E169" t="s">
        <v>211</v>
      </c>
      <c r="F169" t="s">
        <v>28</v>
      </c>
      <c r="G169" t="s">
        <v>29</v>
      </c>
      <c r="H169" t="s">
        <v>297</v>
      </c>
      <c r="I169" s="2">
        <v>93.02</v>
      </c>
      <c r="J169" s="3">
        <v>3</v>
      </c>
      <c r="K169" s="2">
        <v>33.72</v>
      </c>
    </row>
    <row r="170" spans="1:11" x14ac:dyDescent="0.35">
      <c r="A170" s="1">
        <v>41885</v>
      </c>
      <c r="B170" s="3">
        <f t="shared" si="4"/>
        <v>2014</v>
      </c>
      <c r="C170" s="3">
        <f t="shared" si="5"/>
        <v>9</v>
      </c>
      <c r="D170" t="s">
        <v>298</v>
      </c>
      <c r="E170" t="s">
        <v>22</v>
      </c>
      <c r="F170" t="s">
        <v>28</v>
      </c>
      <c r="G170" t="s">
        <v>46</v>
      </c>
      <c r="H170" t="s">
        <v>299</v>
      </c>
      <c r="I170" s="2">
        <v>14.4</v>
      </c>
      <c r="J170" s="3">
        <v>5</v>
      </c>
      <c r="K170" s="2">
        <v>7.06</v>
      </c>
    </row>
    <row r="171" spans="1:11" x14ac:dyDescent="0.35">
      <c r="A171" s="1">
        <v>41885</v>
      </c>
      <c r="B171" s="3">
        <f t="shared" si="4"/>
        <v>2014</v>
      </c>
      <c r="C171" s="3">
        <f t="shared" si="5"/>
        <v>9</v>
      </c>
      <c r="D171" t="s">
        <v>300</v>
      </c>
      <c r="E171" t="s">
        <v>32</v>
      </c>
      <c r="F171" t="s">
        <v>28</v>
      </c>
      <c r="G171" t="s">
        <v>48</v>
      </c>
      <c r="H171" t="s">
        <v>301</v>
      </c>
      <c r="I171" s="2">
        <v>7.68</v>
      </c>
      <c r="J171" s="3">
        <v>5</v>
      </c>
      <c r="K171" s="2">
        <v>-11.52</v>
      </c>
    </row>
    <row r="172" spans="1:11" x14ac:dyDescent="0.35">
      <c r="A172" s="1">
        <v>41915</v>
      </c>
      <c r="B172" s="3">
        <f t="shared" si="4"/>
        <v>2014</v>
      </c>
      <c r="C172" s="3">
        <f t="shared" si="5"/>
        <v>10</v>
      </c>
      <c r="D172" t="s">
        <v>302</v>
      </c>
      <c r="E172" t="s">
        <v>26</v>
      </c>
      <c r="F172" t="s">
        <v>18</v>
      </c>
      <c r="G172" t="s">
        <v>19</v>
      </c>
      <c r="H172" t="s">
        <v>303</v>
      </c>
      <c r="I172" s="2">
        <v>258.27999999999997</v>
      </c>
      <c r="J172" s="3">
        <v>3</v>
      </c>
      <c r="K172" s="2">
        <v>-70.099999999999994</v>
      </c>
    </row>
    <row r="173" spans="1:11" x14ac:dyDescent="0.35">
      <c r="A173" s="1">
        <v>41915</v>
      </c>
      <c r="B173" s="3">
        <f t="shared" si="4"/>
        <v>2014</v>
      </c>
      <c r="C173" s="3">
        <f t="shared" si="5"/>
        <v>10</v>
      </c>
      <c r="D173" t="s">
        <v>304</v>
      </c>
      <c r="E173" t="s">
        <v>45</v>
      </c>
      <c r="F173" t="s">
        <v>18</v>
      </c>
      <c r="G173" t="s">
        <v>42</v>
      </c>
      <c r="H173" t="s">
        <v>43</v>
      </c>
      <c r="I173" s="2">
        <v>143.43</v>
      </c>
      <c r="J173" s="3">
        <v>1</v>
      </c>
      <c r="K173" s="2">
        <v>3.59</v>
      </c>
    </row>
    <row r="174" spans="1:11" x14ac:dyDescent="0.35">
      <c r="A174" s="1">
        <v>41915</v>
      </c>
      <c r="B174" s="3">
        <f t="shared" si="4"/>
        <v>2014</v>
      </c>
      <c r="C174" s="3">
        <f t="shared" si="5"/>
        <v>10</v>
      </c>
      <c r="D174" t="s">
        <v>304</v>
      </c>
      <c r="E174" t="s">
        <v>45</v>
      </c>
      <c r="F174" t="s">
        <v>18</v>
      </c>
      <c r="G174" t="s">
        <v>19</v>
      </c>
      <c r="H174" t="s">
        <v>305</v>
      </c>
      <c r="I174" s="2">
        <v>122.35</v>
      </c>
      <c r="J174" s="3">
        <v>3</v>
      </c>
      <c r="K174" s="2">
        <v>13.76</v>
      </c>
    </row>
    <row r="175" spans="1:11" x14ac:dyDescent="0.35">
      <c r="A175" s="1">
        <v>41915</v>
      </c>
      <c r="B175" s="3">
        <f t="shared" si="4"/>
        <v>2014</v>
      </c>
      <c r="C175" s="3">
        <f t="shared" si="5"/>
        <v>10</v>
      </c>
      <c r="D175" t="s">
        <v>306</v>
      </c>
      <c r="E175" t="s">
        <v>81</v>
      </c>
      <c r="F175" t="s">
        <v>28</v>
      </c>
      <c r="G175" t="s">
        <v>38</v>
      </c>
      <c r="H175" t="s">
        <v>307</v>
      </c>
      <c r="I175" s="2">
        <v>61.57</v>
      </c>
      <c r="J175" s="3">
        <v>2</v>
      </c>
      <c r="K175" s="2">
        <v>4.62</v>
      </c>
    </row>
    <row r="176" spans="1:11" x14ac:dyDescent="0.35">
      <c r="A176" s="1">
        <v>41915</v>
      </c>
      <c r="B176" s="3">
        <f t="shared" si="4"/>
        <v>2014</v>
      </c>
      <c r="C176" s="3">
        <f t="shared" si="5"/>
        <v>10</v>
      </c>
      <c r="D176" t="s">
        <v>306</v>
      </c>
      <c r="E176" t="s">
        <v>81</v>
      </c>
      <c r="F176" t="s">
        <v>28</v>
      </c>
      <c r="G176" t="s">
        <v>64</v>
      </c>
      <c r="H176" t="s">
        <v>308</v>
      </c>
      <c r="I176" s="2">
        <v>6.19</v>
      </c>
      <c r="J176" s="3">
        <v>3</v>
      </c>
      <c r="K176" s="2">
        <v>0.46</v>
      </c>
    </row>
    <row r="177" spans="1:11" x14ac:dyDescent="0.35">
      <c r="A177" s="1">
        <v>41915</v>
      </c>
      <c r="B177" s="3">
        <f t="shared" si="4"/>
        <v>2014</v>
      </c>
      <c r="C177" s="3">
        <f t="shared" si="5"/>
        <v>10</v>
      </c>
      <c r="D177" t="s">
        <v>309</v>
      </c>
      <c r="E177" t="s">
        <v>131</v>
      </c>
      <c r="F177" t="s">
        <v>28</v>
      </c>
      <c r="G177" t="s">
        <v>64</v>
      </c>
      <c r="H177" t="s">
        <v>310</v>
      </c>
      <c r="I177" s="2">
        <v>55.98</v>
      </c>
      <c r="J177" s="3">
        <v>2</v>
      </c>
      <c r="K177" s="2">
        <v>4.2</v>
      </c>
    </row>
    <row r="178" spans="1:11" x14ac:dyDescent="0.35">
      <c r="A178" s="1">
        <v>41915</v>
      </c>
      <c r="B178" s="3">
        <f t="shared" si="4"/>
        <v>2014</v>
      </c>
      <c r="C178" s="3">
        <f t="shared" si="5"/>
        <v>10</v>
      </c>
      <c r="D178" t="s">
        <v>309</v>
      </c>
      <c r="E178" t="s">
        <v>131</v>
      </c>
      <c r="F178" t="s">
        <v>28</v>
      </c>
      <c r="G178" t="s">
        <v>158</v>
      </c>
      <c r="H178" t="s">
        <v>311</v>
      </c>
      <c r="I178" s="2">
        <v>14.48</v>
      </c>
      <c r="J178" s="3">
        <v>5</v>
      </c>
      <c r="K178" s="2">
        <v>4.8899999999999997</v>
      </c>
    </row>
    <row r="179" spans="1:11" x14ac:dyDescent="0.35">
      <c r="A179" s="1">
        <v>41915</v>
      </c>
      <c r="B179" s="3">
        <f t="shared" si="4"/>
        <v>2014</v>
      </c>
      <c r="C179" s="3">
        <f t="shared" si="5"/>
        <v>10</v>
      </c>
      <c r="D179" t="s">
        <v>309</v>
      </c>
      <c r="E179" t="s">
        <v>131</v>
      </c>
      <c r="F179" t="s">
        <v>13</v>
      </c>
      <c r="G179" t="s">
        <v>14</v>
      </c>
      <c r="H179" t="s">
        <v>312</v>
      </c>
      <c r="I179" s="2">
        <v>142.49</v>
      </c>
      <c r="J179" s="3">
        <v>3</v>
      </c>
      <c r="K179" s="2">
        <v>-3.56</v>
      </c>
    </row>
    <row r="180" spans="1:11" x14ac:dyDescent="0.35">
      <c r="A180" s="1">
        <v>41915</v>
      </c>
      <c r="B180" s="3">
        <f t="shared" si="4"/>
        <v>2014</v>
      </c>
      <c r="C180" s="3">
        <f t="shared" si="5"/>
        <v>10</v>
      </c>
      <c r="D180" t="s">
        <v>313</v>
      </c>
      <c r="E180" t="s">
        <v>32</v>
      </c>
      <c r="F180" t="s">
        <v>28</v>
      </c>
      <c r="G180" t="s">
        <v>33</v>
      </c>
      <c r="H180" t="s">
        <v>314</v>
      </c>
      <c r="I180" s="2">
        <v>4.34</v>
      </c>
      <c r="J180" s="3">
        <v>3</v>
      </c>
      <c r="K180" s="2">
        <v>0.87</v>
      </c>
    </row>
    <row r="181" spans="1:11" x14ac:dyDescent="0.35">
      <c r="A181" s="1">
        <v>41915</v>
      </c>
      <c r="B181" s="3">
        <f t="shared" si="4"/>
        <v>2014</v>
      </c>
      <c r="C181" s="3">
        <f t="shared" si="5"/>
        <v>10</v>
      </c>
      <c r="D181" t="s">
        <v>313</v>
      </c>
      <c r="E181" t="s">
        <v>32</v>
      </c>
      <c r="F181" t="s">
        <v>18</v>
      </c>
      <c r="G181" t="s">
        <v>36</v>
      </c>
      <c r="H181" t="s">
        <v>315</v>
      </c>
      <c r="I181" s="2">
        <v>31.78</v>
      </c>
      <c r="J181" s="3">
        <v>3</v>
      </c>
      <c r="K181" s="2">
        <v>-19.07</v>
      </c>
    </row>
    <row r="182" spans="1:11" x14ac:dyDescent="0.35">
      <c r="A182" s="1">
        <v>41915</v>
      </c>
      <c r="B182" s="3">
        <f t="shared" si="4"/>
        <v>2014</v>
      </c>
      <c r="C182" s="3">
        <f t="shared" si="5"/>
        <v>10</v>
      </c>
      <c r="D182" t="s">
        <v>313</v>
      </c>
      <c r="E182" t="s">
        <v>32</v>
      </c>
      <c r="F182" t="s">
        <v>28</v>
      </c>
      <c r="G182" t="s">
        <v>46</v>
      </c>
      <c r="H182" t="s">
        <v>316</v>
      </c>
      <c r="I182" s="2">
        <v>4.93</v>
      </c>
      <c r="J182" s="3">
        <v>2</v>
      </c>
      <c r="K182" s="2">
        <v>1.72</v>
      </c>
    </row>
    <row r="183" spans="1:11" x14ac:dyDescent="0.35">
      <c r="A183" s="1">
        <v>41915</v>
      </c>
      <c r="B183" s="3">
        <f t="shared" si="4"/>
        <v>2014</v>
      </c>
      <c r="C183" s="3">
        <f t="shared" si="5"/>
        <v>10</v>
      </c>
      <c r="D183" t="s">
        <v>313</v>
      </c>
      <c r="E183" t="s">
        <v>32</v>
      </c>
      <c r="F183" t="s">
        <v>28</v>
      </c>
      <c r="G183" t="s">
        <v>48</v>
      </c>
      <c r="H183" t="s">
        <v>317</v>
      </c>
      <c r="I183" s="2">
        <v>1.79</v>
      </c>
      <c r="J183" s="3">
        <v>3</v>
      </c>
      <c r="K183" s="2">
        <v>-3.04</v>
      </c>
    </row>
    <row r="184" spans="1:11" x14ac:dyDescent="0.35">
      <c r="A184" s="1">
        <v>41915</v>
      </c>
      <c r="B184" s="3">
        <f t="shared" si="4"/>
        <v>2014</v>
      </c>
      <c r="C184" s="3">
        <f t="shared" si="5"/>
        <v>10</v>
      </c>
      <c r="D184" t="s">
        <v>313</v>
      </c>
      <c r="E184" t="s">
        <v>32</v>
      </c>
      <c r="F184" t="s">
        <v>28</v>
      </c>
      <c r="G184" t="s">
        <v>33</v>
      </c>
      <c r="H184" t="s">
        <v>101</v>
      </c>
      <c r="I184" s="2">
        <v>15.07</v>
      </c>
      <c r="J184" s="3">
        <v>4</v>
      </c>
      <c r="K184" s="2">
        <v>-3.77</v>
      </c>
    </row>
    <row r="185" spans="1:11" x14ac:dyDescent="0.35">
      <c r="A185" s="1">
        <v>41946</v>
      </c>
      <c r="B185" s="3">
        <f t="shared" si="4"/>
        <v>2014</v>
      </c>
      <c r="C185" s="3">
        <f t="shared" si="5"/>
        <v>11</v>
      </c>
      <c r="D185" t="s">
        <v>318</v>
      </c>
      <c r="E185" t="s">
        <v>89</v>
      </c>
      <c r="F185" t="s">
        <v>28</v>
      </c>
      <c r="G185" t="s">
        <v>215</v>
      </c>
      <c r="H185" t="s">
        <v>319</v>
      </c>
      <c r="I185" s="2">
        <v>286.33999999999997</v>
      </c>
      <c r="J185" s="3">
        <v>3</v>
      </c>
      <c r="K185" s="2">
        <v>-64.430000000000007</v>
      </c>
    </row>
    <row r="186" spans="1:11" x14ac:dyDescent="0.35">
      <c r="A186" s="1">
        <v>41946</v>
      </c>
      <c r="B186" s="3">
        <f t="shared" si="4"/>
        <v>2014</v>
      </c>
      <c r="C186" s="3">
        <f t="shared" si="5"/>
        <v>11</v>
      </c>
      <c r="D186" t="s">
        <v>320</v>
      </c>
      <c r="E186" t="s">
        <v>22</v>
      </c>
      <c r="F186" t="s">
        <v>13</v>
      </c>
      <c r="G186" t="s">
        <v>23</v>
      </c>
      <c r="H186" t="s">
        <v>321</v>
      </c>
      <c r="I186" s="2">
        <v>783.96</v>
      </c>
      <c r="J186" s="3">
        <v>4</v>
      </c>
      <c r="K186" s="2">
        <v>219.51</v>
      </c>
    </row>
    <row r="187" spans="1:11" x14ac:dyDescent="0.35">
      <c r="A187" s="1">
        <v>41946</v>
      </c>
      <c r="B187" s="3">
        <f t="shared" si="4"/>
        <v>2014</v>
      </c>
      <c r="C187" s="3">
        <f t="shared" si="5"/>
        <v>11</v>
      </c>
      <c r="D187" t="s">
        <v>320</v>
      </c>
      <c r="E187" t="s">
        <v>22</v>
      </c>
      <c r="F187" t="s">
        <v>28</v>
      </c>
      <c r="G187" t="s">
        <v>48</v>
      </c>
      <c r="H187" t="s">
        <v>155</v>
      </c>
      <c r="I187" s="2">
        <v>48.9</v>
      </c>
      <c r="J187" s="3">
        <v>2</v>
      </c>
      <c r="K187" s="2">
        <v>18.34</v>
      </c>
    </row>
    <row r="188" spans="1:11" x14ac:dyDescent="0.35">
      <c r="A188" s="1">
        <v>41946</v>
      </c>
      <c r="B188" s="3">
        <f t="shared" si="4"/>
        <v>2014</v>
      </c>
      <c r="C188" s="3">
        <f t="shared" si="5"/>
        <v>11</v>
      </c>
      <c r="D188" t="s">
        <v>320</v>
      </c>
      <c r="E188" t="s">
        <v>22</v>
      </c>
      <c r="F188" t="s">
        <v>28</v>
      </c>
      <c r="G188" t="s">
        <v>48</v>
      </c>
      <c r="H188" t="s">
        <v>322</v>
      </c>
      <c r="I188" s="2">
        <v>7.86</v>
      </c>
      <c r="J188" s="3">
        <v>2</v>
      </c>
      <c r="K188" s="2">
        <v>2.85</v>
      </c>
    </row>
    <row r="189" spans="1:11" x14ac:dyDescent="0.35">
      <c r="A189" s="1">
        <v>41946</v>
      </c>
      <c r="B189" s="3">
        <f t="shared" si="4"/>
        <v>2014</v>
      </c>
      <c r="C189" s="3">
        <f t="shared" si="5"/>
        <v>11</v>
      </c>
      <c r="D189" t="s">
        <v>135</v>
      </c>
      <c r="E189" t="s">
        <v>323</v>
      </c>
      <c r="F189" t="s">
        <v>28</v>
      </c>
      <c r="G189" t="s">
        <v>215</v>
      </c>
      <c r="H189" t="s">
        <v>324</v>
      </c>
      <c r="I189" s="2">
        <v>11.64</v>
      </c>
      <c r="J189" s="3">
        <v>3</v>
      </c>
      <c r="K189" s="2">
        <v>3.38</v>
      </c>
    </row>
    <row r="190" spans="1:11" x14ac:dyDescent="0.35">
      <c r="A190" s="1">
        <v>41946</v>
      </c>
      <c r="B190" s="3">
        <f t="shared" si="4"/>
        <v>2014</v>
      </c>
      <c r="C190" s="3">
        <f t="shared" si="5"/>
        <v>11</v>
      </c>
      <c r="D190" t="s">
        <v>325</v>
      </c>
      <c r="E190" t="s">
        <v>326</v>
      </c>
      <c r="F190" t="s">
        <v>28</v>
      </c>
      <c r="G190" t="s">
        <v>29</v>
      </c>
      <c r="H190" t="s">
        <v>327</v>
      </c>
      <c r="I190" s="2">
        <v>3.49</v>
      </c>
      <c r="J190" s="3">
        <v>2</v>
      </c>
      <c r="K190" s="2">
        <v>1.18</v>
      </c>
    </row>
    <row r="191" spans="1:11" x14ac:dyDescent="0.35">
      <c r="A191" s="1">
        <v>41946</v>
      </c>
      <c r="B191" s="3">
        <f t="shared" si="4"/>
        <v>2014</v>
      </c>
      <c r="C191" s="3">
        <f t="shared" si="5"/>
        <v>11</v>
      </c>
      <c r="D191" t="s">
        <v>325</v>
      </c>
      <c r="E191" t="s">
        <v>326</v>
      </c>
      <c r="F191" t="s">
        <v>28</v>
      </c>
      <c r="G191" t="s">
        <v>29</v>
      </c>
      <c r="H191" t="s">
        <v>293</v>
      </c>
      <c r="I191" s="2">
        <v>143.86000000000001</v>
      </c>
      <c r="J191" s="3">
        <v>9</v>
      </c>
      <c r="K191" s="2">
        <v>48.55</v>
      </c>
    </row>
    <row r="192" spans="1:11" x14ac:dyDescent="0.35">
      <c r="A192" s="1">
        <v>41946</v>
      </c>
      <c r="B192" s="3">
        <f t="shared" si="4"/>
        <v>2014</v>
      </c>
      <c r="C192" s="3">
        <f t="shared" si="5"/>
        <v>11</v>
      </c>
      <c r="D192" t="s">
        <v>229</v>
      </c>
      <c r="E192" t="s">
        <v>81</v>
      </c>
      <c r="F192" t="s">
        <v>28</v>
      </c>
      <c r="G192" t="s">
        <v>38</v>
      </c>
      <c r="H192" t="s">
        <v>328</v>
      </c>
      <c r="I192" s="2">
        <v>25.98</v>
      </c>
      <c r="J192" s="3">
        <v>2</v>
      </c>
      <c r="K192" s="2">
        <v>-1.62</v>
      </c>
    </row>
    <row r="193" spans="1:11" x14ac:dyDescent="0.35">
      <c r="A193" s="1">
        <v>41946</v>
      </c>
      <c r="B193" s="3">
        <f t="shared" si="4"/>
        <v>2014</v>
      </c>
      <c r="C193" s="3">
        <f t="shared" si="5"/>
        <v>11</v>
      </c>
      <c r="D193" t="s">
        <v>229</v>
      </c>
      <c r="E193" t="s">
        <v>81</v>
      </c>
      <c r="F193" t="s">
        <v>18</v>
      </c>
      <c r="G193" t="s">
        <v>42</v>
      </c>
      <c r="H193" t="s">
        <v>329</v>
      </c>
      <c r="I193" s="2">
        <v>945.04</v>
      </c>
      <c r="J193" s="3">
        <v>6</v>
      </c>
      <c r="K193" s="2">
        <v>-299.26</v>
      </c>
    </row>
    <row r="194" spans="1:11" x14ac:dyDescent="0.35">
      <c r="A194" s="1">
        <v>41946</v>
      </c>
      <c r="B194" s="3">
        <f t="shared" ref="B194:B257" si="6">YEAR(A194)</f>
        <v>2014</v>
      </c>
      <c r="C194" s="3">
        <f t="shared" ref="C194:C257" si="7">MONTH(A194)</f>
        <v>11</v>
      </c>
      <c r="D194" t="s">
        <v>229</v>
      </c>
      <c r="E194" t="s">
        <v>81</v>
      </c>
      <c r="F194" t="s">
        <v>28</v>
      </c>
      <c r="G194" t="s">
        <v>48</v>
      </c>
      <c r="H194" t="s">
        <v>330</v>
      </c>
      <c r="I194" s="2">
        <v>14.3</v>
      </c>
      <c r="J194" s="3">
        <v>7</v>
      </c>
      <c r="K194" s="2">
        <v>-10.49</v>
      </c>
    </row>
    <row r="195" spans="1:11" x14ac:dyDescent="0.35">
      <c r="A195" s="1">
        <v>41946</v>
      </c>
      <c r="B195" s="3">
        <f t="shared" si="6"/>
        <v>2014</v>
      </c>
      <c r="C195" s="3">
        <f t="shared" si="7"/>
        <v>11</v>
      </c>
      <c r="D195" t="s">
        <v>229</v>
      </c>
      <c r="E195" t="s">
        <v>81</v>
      </c>
      <c r="F195" t="s">
        <v>18</v>
      </c>
      <c r="G195" t="s">
        <v>36</v>
      </c>
      <c r="H195" t="s">
        <v>331</v>
      </c>
      <c r="I195" s="2">
        <v>410.35</v>
      </c>
      <c r="J195" s="3">
        <v>3</v>
      </c>
      <c r="K195" s="2">
        <v>-51.29</v>
      </c>
    </row>
    <row r="196" spans="1:11" x14ac:dyDescent="0.35">
      <c r="A196" s="1">
        <v>41946</v>
      </c>
      <c r="B196" s="3">
        <f t="shared" si="6"/>
        <v>2014</v>
      </c>
      <c r="C196" s="3">
        <f t="shared" si="7"/>
        <v>11</v>
      </c>
      <c r="D196" t="s">
        <v>332</v>
      </c>
      <c r="E196" t="s">
        <v>62</v>
      </c>
      <c r="F196" t="s">
        <v>28</v>
      </c>
      <c r="G196" t="s">
        <v>48</v>
      </c>
      <c r="H196" t="s">
        <v>79</v>
      </c>
      <c r="I196" s="2">
        <v>5.76</v>
      </c>
      <c r="J196" s="3">
        <v>2</v>
      </c>
      <c r="K196" s="2">
        <v>2.82</v>
      </c>
    </row>
    <row r="197" spans="1:11" x14ac:dyDescent="0.35">
      <c r="A197" s="1">
        <v>41946</v>
      </c>
      <c r="B197" s="3">
        <f t="shared" si="6"/>
        <v>2014</v>
      </c>
      <c r="C197" s="3">
        <f t="shared" si="7"/>
        <v>11</v>
      </c>
      <c r="D197" t="s">
        <v>333</v>
      </c>
      <c r="E197" t="s">
        <v>334</v>
      </c>
      <c r="F197" t="s">
        <v>13</v>
      </c>
      <c r="G197" t="s">
        <v>14</v>
      </c>
      <c r="H197" t="s">
        <v>335</v>
      </c>
      <c r="I197" s="2">
        <v>89.97</v>
      </c>
      <c r="J197" s="3">
        <v>3</v>
      </c>
      <c r="K197" s="2">
        <v>18.89</v>
      </c>
    </row>
    <row r="198" spans="1:11" x14ac:dyDescent="0.35">
      <c r="A198" s="1">
        <v>41946</v>
      </c>
      <c r="B198" s="3">
        <f t="shared" si="6"/>
        <v>2014</v>
      </c>
      <c r="C198" s="3">
        <f t="shared" si="7"/>
        <v>11</v>
      </c>
      <c r="D198" t="s">
        <v>336</v>
      </c>
      <c r="E198" t="s">
        <v>45</v>
      </c>
      <c r="F198" t="s">
        <v>28</v>
      </c>
      <c r="G198" t="s">
        <v>64</v>
      </c>
      <c r="H198" t="s">
        <v>337</v>
      </c>
      <c r="I198" s="2">
        <v>6.72</v>
      </c>
      <c r="J198" s="3">
        <v>4</v>
      </c>
      <c r="K198" s="2">
        <v>3.36</v>
      </c>
    </row>
    <row r="199" spans="1:11" x14ac:dyDescent="0.35">
      <c r="A199" s="1">
        <v>41976</v>
      </c>
      <c r="B199" s="3">
        <f t="shared" si="6"/>
        <v>2014</v>
      </c>
      <c r="C199" s="3">
        <f t="shared" si="7"/>
        <v>12</v>
      </c>
      <c r="D199" t="s">
        <v>338</v>
      </c>
      <c r="E199" t="s">
        <v>339</v>
      </c>
      <c r="F199" t="s">
        <v>13</v>
      </c>
      <c r="G199" t="s">
        <v>23</v>
      </c>
      <c r="H199" t="s">
        <v>340</v>
      </c>
      <c r="I199" s="2">
        <v>479.96</v>
      </c>
      <c r="J199" s="3">
        <v>4</v>
      </c>
      <c r="K199" s="2">
        <v>134.38999999999999</v>
      </c>
    </row>
    <row r="200" spans="1:11" x14ac:dyDescent="0.35">
      <c r="A200" s="1">
        <v>41976</v>
      </c>
      <c r="B200" s="3">
        <f t="shared" si="6"/>
        <v>2014</v>
      </c>
      <c r="C200" s="3">
        <f t="shared" si="7"/>
        <v>12</v>
      </c>
      <c r="D200" t="s">
        <v>341</v>
      </c>
      <c r="E200" t="s">
        <v>190</v>
      </c>
      <c r="F200" t="s">
        <v>28</v>
      </c>
      <c r="G200" t="s">
        <v>29</v>
      </c>
      <c r="H200" t="s">
        <v>146</v>
      </c>
      <c r="I200" s="2">
        <v>25.92</v>
      </c>
      <c r="J200" s="3">
        <v>4</v>
      </c>
      <c r="K200" s="2">
        <v>12.44</v>
      </c>
    </row>
    <row r="201" spans="1:11" x14ac:dyDescent="0.35">
      <c r="A201" s="1">
        <v>41643</v>
      </c>
      <c r="B201" s="3">
        <f t="shared" si="6"/>
        <v>2014</v>
      </c>
      <c r="C201" s="3">
        <f t="shared" si="7"/>
        <v>1</v>
      </c>
      <c r="D201" t="s">
        <v>342</v>
      </c>
      <c r="E201" t="s">
        <v>26</v>
      </c>
      <c r="F201" t="s">
        <v>28</v>
      </c>
      <c r="G201" t="s">
        <v>46</v>
      </c>
      <c r="H201" t="s">
        <v>343</v>
      </c>
      <c r="I201" s="2">
        <v>11.78</v>
      </c>
      <c r="J201" s="3">
        <v>3</v>
      </c>
      <c r="K201" s="2">
        <v>4.2699999999999996</v>
      </c>
    </row>
    <row r="202" spans="1:11" x14ac:dyDescent="0.35">
      <c r="A202" s="1">
        <v>41643</v>
      </c>
      <c r="B202" s="3">
        <f t="shared" si="6"/>
        <v>2014</v>
      </c>
      <c r="C202" s="3">
        <f t="shared" si="7"/>
        <v>1</v>
      </c>
      <c r="D202" t="s">
        <v>342</v>
      </c>
      <c r="E202" t="s">
        <v>26</v>
      </c>
      <c r="F202" t="s">
        <v>28</v>
      </c>
      <c r="G202" t="s">
        <v>38</v>
      </c>
      <c r="H202" t="s">
        <v>344</v>
      </c>
      <c r="I202" s="2">
        <v>272.74</v>
      </c>
      <c r="J202" s="3">
        <v>3</v>
      </c>
      <c r="K202" s="2">
        <v>-64.77</v>
      </c>
    </row>
    <row r="203" spans="1:11" x14ac:dyDescent="0.35">
      <c r="A203" s="1">
        <v>41643</v>
      </c>
      <c r="B203" s="3">
        <f t="shared" si="6"/>
        <v>2014</v>
      </c>
      <c r="C203" s="3">
        <f t="shared" si="7"/>
        <v>1</v>
      </c>
      <c r="D203" t="s">
        <v>342</v>
      </c>
      <c r="E203" t="s">
        <v>26</v>
      </c>
      <c r="F203" t="s">
        <v>28</v>
      </c>
      <c r="G203" t="s">
        <v>48</v>
      </c>
      <c r="H203" t="s">
        <v>345</v>
      </c>
      <c r="I203" s="2">
        <v>3.54</v>
      </c>
      <c r="J203" s="3">
        <v>2</v>
      </c>
      <c r="K203" s="2">
        <v>-5.49</v>
      </c>
    </row>
    <row r="204" spans="1:11" x14ac:dyDescent="0.35">
      <c r="A204" s="1">
        <v>41674</v>
      </c>
      <c r="B204" s="3">
        <f t="shared" si="6"/>
        <v>2014</v>
      </c>
      <c r="C204" s="3">
        <f t="shared" si="7"/>
        <v>2</v>
      </c>
      <c r="D204" t="s">
        <v>346</v>
      </c>
      <c r="E204" t="s">
        <v>45</v>
      </c>
      <c r="F204" t="s">
        <v>28</v>
      </c>
      <c r="G204" t="s">
        <v>48</v>
      </c>
      <c r="H204" t="s">
        <v>347</v>
      </c>
      <c r="I204" s="2">
        <v>82.9</v>
      </c>
      <c r="J204" s="3">
        <v>3</v>
      </c>
      <c r="K204" s="2">
        <v>29.01</v>
      </c>
    </row>
    <row r="205" spans="1:11" x14ac:dyDescent="0.35">
      <c r="A205" s="1">
        <v>41674</v>
      </c>
      <c r="B205" s="3">
        <f t="shared" si="6"/>
        <v>2014</v>
      </c>
      <c r="C205" s="3">
        <f t="shared" si="7"/>
        <v>2</v>
      </c>
      <c r="D205" t="s">
        <v>346</v>
      </c>
      <c r="E205" t="s">
        <v>45</v>
      </c>
      <c r="F205" t="s">
        <v>28</v>
      </c>
      <c r="G205" t="s">
        <v>29</v>
      </c>
      <c r="H205" t="s">
        <v>348</v>
      </c>
      <c r="I205" s="2">
        <v>34.24</v>
      </c>
      <c r="J205" s="3">
        <v>4</v>
      </c>
      <c r="K205" s="2">
        <v>16.09</v>
      </c>
    </row>
    <row r="206" spans="1:11" x14ac:dyDescent="0.35">
      <c r="A206" s="1">
        <v>41674</v>
      </c>
      <c r="B206" s="3">
        <f t="shared" si="6"/>
        <v>2014</v>
      </c>
      <c r="C206" s="3">
        <f t="shared" si="7"/>
        <v>2</v>
      </c>
      <c r="D206" t="s">
        <v>349</v>
      </c>
      <c r="E206" t="s">
        <v>45</v>
      </c>
      <c r="F206" t="s">
        <v>28</v>
      </c>
      <c r="G206" t="s">
        <v>48</v>
      </c>
      <c r="H206" t="s">
        <v>350</v>
      </c>
      <c r="I206" s="2">
        <v>17.25</v>
      </c>
      <c r="J206" s="3">
        <v>2</v>
      </c>
      <c r="K206" s="2">
        <v>6.04</v>
      </c>
    </row>
    <row r="207" spans="1:11" x14ac:dyDescent="0.35">
      <c r="A207" s="1">
        <v>41702</v>
      </c>
      <c r="B207" s="3">
        <f t="shared" si="6"/>
        <v>2014</v>
      </c>
      <c r="C207" s="3">
        <f t="shared" si="7"/>
        <v>3</v>
      </c>
      <c r="D207" t="s">
        <v>197</v>
      </c>
      <c r="E207" t="s">
        <v>351</v>
      </c>
      <c r="F207" t="s">
        <v>28</v>
      </c>
      <c r="G207" t="s">
        <v>38</v>
      </c>
      <c r="H207" t="s">
        <v>352</v>
      </c>
      <c r="I207" s="2">
        <v>354.9</v>
      </c>
      <c r="J207" s="3">
        <v>5</v>
      </c>
      <c r="K207" s="2">
        <v>17.75</v>
      </c>
    </row>
    <row r="208" spans="1:11" x14ac:dyDescent="0.35">
      <c r="A208" s="1">
        <v>41702</v>
      </c>
      <c r="B208" s="3">
        <f t="shared" si="6"/>
        <v>2014</v>
      </c>
      <c r="C208" s="3">
        <f t="shared" si="7"/>
        <v>3</v>
      </c>
      <c r="D208" t="s">
        <v>206</v>
      </c>
      <c r="E208" t="s">
        <v>77</v>
      </c>
      <c r="F208" t="s">
        <v>28</v>
      </c>
      <c r="G208" t="s">
        <v>64</v>
      </c>
      <c r="H208" t="s">
        <v>353</v>
      </c>
      <c r="I208" s="2">
        <v>15.55</v>
      </c>
      <c r="J208" s="3">
        <v>3</v>
      </c>
      <c r="K208" s="2">
        <v>2.33</v>
      </c>
    </row>
    <row r="209" spans="1:11" x14ac:dyDescent="0.35">
      <c r="A209" s="1">
        <v>41733</v>
      </c>
      <c r="B209" s="3">
        <f t="shared" si="6"/>
        <v>2014</v>
      </c>
      <c r="C209" s="3">
        <f t="shared" si="7"/>
        <v>4</v>
      </c>
      <c r="D209" t="s">
        <v>354</v>
      </c>
      <c r="E209" t="s">
        <v>45</v>
      </c>
      <c r="F209" t="s">
        <v>28</v>
      </c>
      <c r="G209" t="s">
        <v>46</v>
      </c>
      <c r="H209" t="s">
        <v>355</v>
      </c>
      <c r="I209" s="2">
        <v>18.899999999999999</v>
      </c>
      <c r="J209" s="3">
        <v>6</v>
      </c>
      <c r="K209" s="2">
        <v>9.07</v>
      </c>
    </row>
    <row r="210" spans="1:11" x14ac:dyDescent="0.35">
      <c r="A210" s="1">
        <v>41733</v>
      </c>
      <c r="B210" s="3">
        <f t="shared" si="6"/>
        <v>2014</v>
      </c>
      <c r="C210" s="3">
        <f t="shared" si="7"/>
        <v>4</v>
      </c>
      <c r="D210" t="s">
        <v>356</v>
      </c>
      <c r="E210" t="s">
        <v>71</v>
      </c>
      <c r="F210" t="s">
        <v>18</v>
      </c>
      <c r="G210" t="s">
        <v>36</v>
      </c>
      <c r="H210" t="s">
        <v>357</v>
      </c>
      <c r="I210" s="2">
        <v>5.47</v>
      </c>
      <c r="J210" s="3">
        <v>1</v>
      </c>
      <c r="K210" s="2">
        <v>2.35</v>
      </c>
    </row>
    <row r="211" spans="1:11" x14ac:dyDescent="0.35">
      <c r="A211" s="1">
        <v>41733</v>
      </c>
      <c r="B211" s="3">
        <f t="shared" si="6"/>
        <v>2014</v>
      </c>
      <c r="C211" s="3">
        <f t="shared" si="7"/>
        <v>4</v>
      </c>
      <c r="D211" t="s">
        <v>356</v>
      </c>
      <c r="E211" t="s">
        <v>71</v>
      </c>
      <c r="F211" t="s">
        <v>28</v>
      </c>
      <c r="G211" t="s">
        <v>64</v>
      </c>
      <c r="H211" t="s">
        <v>358</v>
      </c>
      <c r="I211" s="2">
        <v>79.36</v>
      </c>
      <c r="J211" s="3">
        <v>4</v>
      </c>
      <c r="K211" s="2">
        <v>23.81</v>
      </c>
    </row>
    <row r="212" spans="1:11" x14ac:dyDescent="0.35">
      <c r="A212" s="1">
        <v>41733</v>
      </c>
      <c r="B212" s="3">
        <f t="shared" si="6"/>
        <v>2014</v>
      </c>
      <c r="C212" s="3">
        <f t="shared" si="7"/>
        <v>4</v>
      </c>
      <c r="D212" t="s">
        <v>359</v>
      </c>
      <c r="E212" t="s">
        <v>45</v>
      </c>
      <c r="F212" t="s">
        <v>28</v>
      </c>
      <c r="G212" t="s">
        <v>48</v>
      </c>
      <c r="H212" t="s">
        <v>360</v>
      </c>
      <c r="I212" s="2">
        <v>7.18</v>
      </c>
      <c r="J212" s="3">
        <v>2</v>
      </c>
      <c r="K212" s="2">
        <v>2.25</v>
      </c>
    </row>
    <row r="213" spans="1:11" x14ac:dyDescent="0.35">
      <c r="A213" s="1">
        <v>41733</v>
      </c>
      <c r="B213" s="3">
        <f t="shared" si="6"/>
        <v>2014</v>
      </c>
      <c r="C213" s="3">
        <f t="shared" si="7"/>
        <v>4</v>
      </c>
      <c r="D213" t="s">
        <v>361</v>
      </c>
      <c r="E213" t="s">
        <v>362</v>
      </c>
      <c r="F213" t="s">
        <v>28</v>
      </c>
      <c r="G213" t="s">
        <v>38</v>
      </c>
      <c r="H213" t="s">
        <v>363</v>
      </c>
      <c r="I213" s="2">
        <v>232.55</v>
      </c>
      <c r="J213" s="3">
        <v>5</v>
      </c>
      <c r="K213" s="2">
        <v>9.3000000000000007</v>
      </c>
    </row>
    <row r="214" spans="1:11" x14ac:dyDescent="0.35">
      <c r="A214" s="1">
        <v>41733</v>
      </c>
      <c r="B214" s="3">
        <f t="shared" si="6"/>
        <v>2014</v>
      </c>
      <c r="C214" s="3">
        <f t="shared" si="7"/>
        <v>4</v>
      </c>
      <c r="D214" t="s">
        <v>361</v>
      </c>
      <c r="E214" t="s">
        <v>362</v>
      </c>
      <c r="F214" t="s">
        <v>13</v>
      </c>
      <c r="G214" t="s">
        <v>14</v>
      </c>
      <c r="H214" t="s">
        <v>364</v>
      </c>
      <c r="I214" s="2">
        <v>99.98</v>
      </c>
      <c r="J214" s="3">
        <v>2</v>
      </c>
      <c r="K214" s="2">
        <v>42.99</v>
      </c>
    </row>
    <row r="215" spans="1:11" x14ac:dyDescent="0.35">
      <c r="A215" s="1">
        <v>41733</v>
      </c>
      <c r="B215" s="3">
        <f t="shared" si="6"/>
        <v>2014</v>
      </c>
      <c r="C215" s="3">
        <f t="shared" si="7"/>
        <v>4</v>
      </c>
      <c r="D215" t="s">
        <v>361</v>
      </c>
      <c r="E215" t="s">
        <v>362</v>
      </c>
      <c r="F215" t="s">
        <v>28</v>
      </c>
      <c r="G215" t="s">
        <v>29</v>
      </c>
      <c r="H215" t="s">
        <v>365</v>
      </c>
      <c r="I215" s="2">
        <v>19.440000000000001</v>
      </c>
      <c r="J215" s="3">
        <v>3</v>
      </c>
      <c r="K215" s="2">
        <v>9.33</v>
      </c>
    </row>
    <row r="216" spans="1:11" x14ac:dyDescent="0.35">
      <c r="A216" s="1">
        <v>41733</v>
      </c>
      <c r="B216" s="3">
        <f t="shared" si="6"/>
        <v>2014</v>
      </c>
      <c r="C216" s="3">
        <f t="shared" si="7"/>
        <v>4</v>
      </c>
      <c r="D216" t="s">
        <v>361</v>
      </c>
      <c r="E216" t="s">
        <v>362</v>
      </c>
      <c r="F216" t="s">
        <v>28</v>
      </c>
      <c r="G216" t="s">
        <v>29</v>
      </c>
      <c r="H216" t="s">
        <v>366</v>
      </c>
      <c r="I216" s="2">
        <v>12.96</v>
      </c>
      <c r="J216" s="3">
        <v>2</v>
      </c>
      <c r="K216" s="2">
        <v>6.35</v>
      </c>
    </row>
    <row r="217" spans="1:11" x14ac:dyDescent="0.35">
      <c r="A217" s="1">
        <v>41763</v>
      </c>
      <c r="B217" s="3">
        <f t="shared" si="6"/>
        <v>2014</v>
      </c>
      <c r="C217" s="3">
        <f t="shared" si="7"/>
        <v>5</v>
      </c>
      <c r="D217" t="s">
        <v>367</v>
      </c>
      <c r="E217" t="s">
        <v>71</v>
      </c>
      <c r="F217" t="s">
        <v>28</v>
      </c>
      <c r="G217" t="s">
        <v>48</v>
      </c>
      <c r="H217" t="s">
        <v>368</v>
      </c>
      <c r="I217" s="2">
        <v>46.8</v>
      </c>
      <c r="J217" s="3">
        <v>4</v>
      </c>
      <c r="K217" s="2">
        <v>21.06</v>
      </c>
    </row>
    <row r="218" spans="1:11" x14ac:dyDescent="0.35">
      <c r="A218" s="1">
        <v>41763</v>
      </c>
      <c r="B218" s="3">
        <f t="shared" si="6"/>
        <v>2014</v>
      </c>
      <c r="C218" s="3">
        <f t="shared" si="7"/>
        <v>5</v>
      </c>
      <c r="D218" t="s">
        <v>369</v>
      </c>
      <c r="E218" t="s">
        <v>323</v>
      </c>
      <c r="F218" t="s">
        <v>18</v>
      </c>
      <c r="G218" t="s">
        <v>36</v>
      </c>
      <c r="H218" t="s">
        <v>370</v>
      </c>
      <c r="I218" s="2">
        <v>27.46</v>
      </c>
      <c r="J218" s="3">
        <v>2</v>
      </c>
      <c r="K218" s="2">
        <v>9.89</v>
      </c>
    </row>
    <row r="219" spans="1:11" x14ac:dyDescent="0.35">
      <c r="A219" s="1">
        <v>41763</v>
      </c>
      <c r="B219" s="3">
        <f t="shared" si="6"/>
        <v>2014</v>
      </c>
      <c r="C219" s="3">
        <f t="shared" si="7"/>
        <v>5</v>
      </c>
      <c r="D219" t="s">
        <v>371</v>
      </c>
      <c r="E219" t="s">
        <v>32</v>
      </c>
      <c r="F219" t="s">
        <v>28</v>
      </c>
      <c r="G219" t="s">
        <v>64</v>
      </c>
      <c r="H219" t="s">
        <v>372</v>
      </c>
      <c r="I219" s="2">
        <v>37.840000000000003</v>
      </c>
      <c r="J219" s="3">
        <v>2</v>
      </c>
      <c r="K219" s="2">
        <v>2.84</v>
      </c>
    </row>
    <row r="220" spans="1:11" x14ac:dyDescent="0.35">
      <c r="A220" s="1">
        <v>41763</v>
      </c>
      <c r="B220" s="3">
        <f t="shared" si="6"/>
        <v>2014</v>
      </c>
      <c r="C220" s="3">
        <f t="shared" si="7"/>
        <v>5</v>
      </c>
      <c r="D220" t="s">
        <v>371</v>
      </c>
      <c r="E220" t="s">
        <v>32</v>
      </c>
      <c r="F220" t="s">
        <v>28</v>
      </c>
      <c r="G220" t="s">
        <v>33</v>
      </c>
      <c r="H220" t="s">
        <v>373</v>
      </c>
      <c r="I220" s="2">
        <v>5.47</v>
      </c>
      <c r="J220" s="3">
        <v>6</v>
      </c>
      <c r="K220" s="2">
        <v>1.85</v>
      </c>
    </row>
    <row r="221" spans="1:11" x14ac:dyDescent="0.35">
      <c r="A221" s="1">
        <v>41763</v>
      </c>
      <c r="B221" s="3">
        <f t="shared" si="6"/>
        <v>2014</v>
      </c>
      <c r="C221" s="3">
        <f t="shared" si="7"/>
        <v>5</v>
      </c>
      <c r="D221" t="s">
        <v>374</v>
      </c>
      <c r="E221" t="s">
        <v>17</v>
      </c>
      <c r="F221" t="s">
        <v>18</v>
      </c>
      <c r="G221" t="s">
        <v>36</v>
      </c>
      <c r="H221" t="s">
        <v>375</v>
      </c>
      <c r="I221" s="2">
        <v>12.18</v>
      </c>
      <c r="J221" s="3">
        <v>7</v>
      </c>
      <c r="K221" s="2">
        <v>3.9</v>
      </c>
    </row>
    <row r="222" spans="1:11" x14ac:dyDescent="0.35">
      <c r="A222" s="1">
        <v>41763</v>
      </c>
      <c r="B222" s="3">
        <f t="shared" si="6"/>
        <v>2014</v>
      </c>
      <c r="C222" s="3">
        <f t="shared" si="7"/>
        <v>5</v>
      </c>
      <c r="D222" t="s">
        <v>374</v>
      </c>
      <c r="E222" t="s">
        <v>17</v>
      </c>
      <c r="F222" t="s">
        <v>28</v>
      </c>
      <c r="G222" t="s">
        <v>58</v>
      </c>
      <c r="H222" t="s">
        <v>376</v>
      </c>
      <c r="I222" s="2">
        <v>57.68</v>
      </c>
      <c r="J222" s="3">
        <v>4</v>
      </c>
      <c r="K222" s="2">
        <v>19.03</v>
      </c>
    </row>
    <row r="223" spans="1:11" x14ac:dyDescent="0.35">
      <c r="A223" s="1">
        <v>41794</v>
      </c>
      <c r="B223" s="3">
        <f t="shared" si="6"/>
        <v>2014</v>
      </c>
      <c r="C223" s="3">
        <f t="shared" si="7"/>
        <v>6</v>
      </c>
      <c r="D223" t="s">
        <v>377</v>
      </c>
      <c r="E223" t="s">
        <v>131</v>
      </c>
      <c r="F223" t="s">
        <v>28</v>
      </c>
      <c r="G223" t="s">
        <v>29</v>
      </c>
      <c r="H223" t="s">
        <v>123</v>
      </c>
      <c r="I223" s="2">
        <v>16.22</v>
      </c>
      <c r="J223" s="3">
        <v>2</v>
      </c>
      <c r="K223" s="2">
        <v>5.88</v>
      </c>
    </row>
    <row r="224" spans="1:11" x14ac:dyDescent="0.35">
      <c r="A224" s="1">
        <v>41794</v>
      </c>
      <c r="B224" s="3">
        <f t="shared" si="6"/>
        <v>2014</v>
      </c>
      <c r="C224" s="3">
        <f t="shared" si="7"/>
        <v>6</v>
      </c>
      <c r="D224" t="s">
        <v>378</v>
      </c>
      <c r="E224" t="s">
        <v>22</v>
      </c>
      <c r="F224" t="s">
        <v>18</v>
      </c>
      <c r="G224" t="s">
        <v>36</v>
      </c>
      <c r="H224" t="s">
        <v>379</v>
      </c>
      <c r="I224" s="2">
        <v>56.96</v>
      </c>
      <c r="J224" s="3">
        <v>2</v>
      </c>
      <c r="K224" s="2">
        <v>21.08</v>
      </c>
    </row>
    <row r="225" spans="1:11" x14ac:dyDescent="0.35">
      <c r="A225" s="1">
        <v>41794</v>
      </c>
      <c r="B225" s="3">
        <f t="shared" si="6"/>
        <v>2014</v>
      </c>
      <c r="C225" s="3">
        <f t="shared" si="7"/>
        <v>6</v>
      </c>
      <c r="D225" t="s">
        <v>378</v>
      </c>
      <c r="E225" t="s">
        <v>22</v>
      </c>
      <c r="F225" t="s">
        <v>28</v>
      </c>
      <c r="G225" t="s">
        <v>58</v>
      </c>
      <c r="H225" t="s">
        <v>380</v>
      </c>
      <c r="I225" s="2">
        <v>15.56</v>
      </c>
      <c r="J225" s="3">
        <v>4</v>
      </c>
      <c r="K225" s="2">
        <v>4.05</v>
      </c>
    </row>
    <row r="226" spans="1:11" x14ac:dyDescent="0.35">
      <c r="A226" s="1">
        <v>41794</v>
      </c>
      <c r="B226" s="3">
        <f t="shared" si="6"/>
        <v>2014</v>
      </c>
      <c r="C226" s="3">
        <f t="shared" si="7"/>
        <v>6</v>
      </c>
      <c r="D226" t="s">
        <v>378</v>
      </c>
      <c r="E226" t="s">
        <v>22</v>
      </c>
      <c r="F226" t="s">
        <v>18</v>
      </c>
      <c r="G226" t="s">
        <v>237</v>
      </c>
      <c r="H226" t="s">
        <v>238</v>
      </c>
      <c r="I226" s="2">
        <v>353.57</v>
      </c>
      <c r="J226" s="3">
        <v>2</v>
      </c>
      <c r="K226" s="2">
        <v>-44.2</v>
      </c>
    </row>
    <row r="227" spans="1:11" x14ac:dyDescent="0.35">
      <c r="A227" s="1">
        <v>41794</v>
      </c>
      <c r="B227" s="3">
        <f t="shared" si="6"/>
        <v>2014</v>
      </c>
      <c r="C227" s="3">
        <f t="shared" si="7"/>
        <v>6</v>
      </c>
      <c r="D227" t="s">
        <v>378</v>
      </c>
      <c r="E227" t="s">
        <v>22</v>
      </c>
      <c r="F227" t="s">
        <v>18</v>
      </c>
      <c r="G227" t="s">
        <v>36</v>
      </c>
      <c r="H227" t="s">
        <v>381</v>
      </c>
      <c r="I227" s="2">
        <v>13.96</v>
      </c>
      <c r="J227" s="3">
        <v>2</v>
      </c>
      <c r="K227" s="2">
        <v>6.7</v>
      </c>
    </row>
    <row r="228" spans="1:11" x14ac:dyDescent="0.35">
      <c r="A228" s="1">
        <v>41824</v>
      </c>
      <c r="B228" s="3">
        <f t="shared" si="6"/>
        <v>2014</v>
      </c>
      <c r="C228" s="3">
        <f t="shared" si="7"/>
        <v>7</v>
      </c>
      <c r="D228" t="s">
        <v>274</v>
      </c>
      <c r="E228" t="s">
        <v>103</v>
      </c>
      <c r="F228" t="s">
        <v>28</v>
      </c>
      <c r="G228" t="s">
        <v>29</v>
      </c>
      <c r="H228" t="s">
        <v>382</v>
      </c>
      <c r="I228" s="2">
        <v>177.54</v>
      </c>
      <c r="J228" s="3">
        <v>4</v>
      </c>
      <c r="K228" s="2">
        <v>62.14</v>
      </c>
    </row>
    <row r="229" spans="1:11" x14ac:dyDescent="0.35">
      <c r="A229" s="1">
        <v>41824</v>
      </c>
      <c r="B229" s="3">
        <f t="shared" si="6"/>
        <v>2014</v>
      </c>
      <c r="C229" s="3">
        <f t="shared" si="7"/>
        <v>7</v>
      </c>
      <c r="D229" t="s">
        <v>274</v>
      </c>
      <c r="E229" t="s">
        <v>103</v>
      </c>
      <c r="F229" t="s">
        <v>28</v>
      </c>
      <c r="G229" t="s">
        <v>58</v>
      </c>
      <c r="H229" t="s">
        <v>383</v>
      </c>
      <c r="I229" s="2">
        <v>32.43</v>
      </c>
      <c r="J229" s="3">
        <v>2</v>
      </c>
      <c r="K229" s="2">
        <v>3.24</v>
      </c>
    </row>
    <row r="230" spans="1:11" x14ac:dyDescent="0.35">
      <c r="A230" s="1">
        <v>41824</v>
      </c>
      <c r="B230" s="3">
        <f t="shared" si="6"/>
        <v>2014</v>
      </c>
      <c r="C230" s="3">
        <f t="shared" si="7"/>
        <v>7</v>
      </c>
      <c r="D230" t="s">
        <v>318</v>
      </c>
      <c r="E230" t="s">
        <v>173</v>
      </c>
      <c r="F230" t="s">
        <v>28</v>
      </c>
      <c r="G230" t="s">
        <v>29</v>
      </c>
      <c r="H230" t="s">
        <v>384</v>
      </c>
      <c r="I230" s="2">
        <v>21.84</v>
      </c>
      <c r="J230" s="3">
        <v>3</v>
      </c>
      <c r="K230" s="2">
        <v>10.92</v>
      </c>
    </row>
    <row r="231" spans="1:11" x14ac:dyDescent="0.35">
      <c r="A231" s="1">
        <v>41824</v>
      </c>
      <c r="B231" s="3">
        <f t="shared" si="6"/>
        <v>2014</v>
      </c>
      <c r="C231" s="3">
        <f t="shared" si="7"/>
        <v>7</v>
      </c>
      <c r="D231" t="s">
        <v>318</v>
      </c>
      <c r="E231" t="s">
        <v>173</v>
      </c>
      <c r="F231" t="s">
        <v>28</v>
      </c>
      <c r="G231" t="s">
        <v>48</v>
      </c>
      <c r="H231" t="s">
        <v>53</v>
      </c>
      <c r="I231" s="2">
        <v>15.6</v>
      </c>
      <c r="J231" s="3">
        <v>5</v>
      </c>
      <c r="K231" s="2">
        <v>7.64</v>
      </c>
    </row>
    <row r="232" spans="1:11" x14ac:dyDescent="0.35">
      <c r="A232" s="1">
        <v>41855</v>
      </c>
      <c r="B232" s="3">
        <f t="shared" si="6"/>
        <v>2014</v>
      </c>
      <c r="C232" s="3">
        <f t="shared" si="7"/>
        <v>8</v>
      </c>
      <c r="D232" t="s">
        <v>385</v>
      </c>
      <c r="E232" t="s">
        <v>180</v>
      </c>
      <c r="F232" t="s">
        <v>28</v>
      </c>
      <c r="G232" t="s">
        <v>58</v>
      </c>
      <c r="H232" t="s">
        <v>386</v>
      </c>
      <c r="I232" s="2">
        <v>1089.75</v>
      </c>
      <c r="J232" s="3">
        <v>3</v>
      </c>
      <c r="K232" s="2">
        <v>305.13</v>
      </c>
    </row>
    <row r="233" spans="1:11" x14ac:dyDescent="0.35">
      <c r="A233" s="1">
        <v>41855</v>
      </c>
      <c r="B233" s="3">
        <f t="shared" si="6"/>
        <v>2014</v>
      </c>
      <c r="C233" s="3">
        <f t="shared" si="7"/>
        <v>8</v>
      </c>
      <c r="D233" t="s">
        <v>385</v>
      </c>
      <c r="E233" t="s">
        <v>180</v>
      </c>
      <c r="F233" t="s">
        <v>28</v>
      </c>
      <c r="G233" t="s">
        <v>29</v>
      </c>
      <c r="H233" t="s">
        <v>126</v>
      </c>
      <c r="I233" s="2">
        <v>447.84</v>
      </c>
      <c r="J233" s="3">
        <v>8</v>
      </c>
      <c r="K233" s="2">
        <v>219.44</v>
      </c>
    </row>
    <row r="234" spans="1:11" x14ac:dyDescent="0.35">
      <c r="A234" s="1">
        <v>41855</v>
      </c>
      <c r="B234" s="3">
        <f t="shared" si="6"/>
        <v>2014</v>
      </c>
      <c r="C234" s="3">
        <f t="shared" si="7"/>
        <v>8</v>
      </c>
      <c r="D234" t="s">
        <v>385</v>
      </c>
      <c r="E234" t="s">
        <v>180</v>
      </c>
      <c r="F234" t="s">
        <v>28</v>
      </c>
      <c r="G234" t="s">
        <v>64</v>
      </c>
      <c r="H234" t="s">
        <v>387</v>
      </c>
      <c r="I234" s="2">
        <v>16.399999999999999</v>
      </c>
      <c r="J234" s="3">
        <v>5</v>
      </c>
      <c r="K234" s="2">
        <v>4.26</v>
      </c>
    </row>
    <row r="235" spans="1:11" x14ac:dyDescent="0.35">
      <c r="A235" s="1">
        <v>41855</v>
      </c>
      <c r="B235" s="3">
        <f t="shared" si="6"/>
        <v>2014</v>
      </c>
      <c r="C235" s="3">
        <f t="shared" si="7"/>
        <v>8</v>
      </c>
      <c r="D235" t="s">
        <v>385</v>
      </c>
      <c r="E235" t="s">
        <v>180</v>
      </c>
      <c r="F235" t="s">
        <v>13</v>
      </c>
      <c r="G235" t="s">
        <v>23</v>
      </c>
      <c r="H235" t="s">
        <v>388</v>
      </c>
      <c r="I235" s="2">
        <v>399.96</v>
      </c>
      <c r="J235" s="3">
        <v>5</v>
      </c>
      <c r="K235" s="2">
        <v>35</v>
      </c>
    </row>
    <row r="236" spans="1:11" x14ac:dyDescent="0.35">
      <c r="A236" s="1">
        <v>41855</v>
      </c>
      <c r="B236" s="3">
        <f t="shared" si="6"/>
        <v>2014</v>
      </c>
      <c r="C236" s="3">
        <f t="shared" si="7"/>
        <v>8</v>
      </c>
      <c r="D236" t="s">
        <v>385</v>
      </c>
      <c r="E236" t="s">
        <v>180</v>
      </c>
      <c r="F236" t="s">
        <v>28</v>
      </c>
      <c r="G236" t="s">
        <v>38</v>
      </c>
      <c r="H236" t="s">
        <v>389</v>
      </c>
      <c r="I236" s="2">
        <v>158.9</v>
      </c>
      <c r="J236" s="3">
        <v>5</v>
      </c>
      <c r="K236" s="2">
        <v>7.95</v>
      </c>
    </row>
    <row r="237" spans="1:11" x14ac:dyDescent="0.35">
      <c r="A237" s="1">
        <v>41855</v>
      </c>
      <c r="B237" s="3">
        <f t="shared" si="6"/>
        <v>2014</v>
      </c>
      <c r="C237" s="3">
        <f t="shared" si="7"/>
        <v>8</v>
      </c>
      <c r="D237" t="s">
        <v>385</v>
      </c>
      <c r="E237" t="s">
        <v>180</v>
      </c>
      <c r="F237" t="s">
        <v>28</v>
      </c>
      <c r="G237" t="s">
        <v>48</v>
      </c>
      <c r="H237" t="s">
        <v>390</v>
      </c>
      <c r="I237" s="2">
        <v>13.18</v>
      </c>
      <c r="J237" s="3">
        <v>1</v>
      </c>
      <c r="K237" s="2">
        <v>4.78</v>
      </c>
    </row>
    <row r="238" spans="1:11" x14ac:dyDescent="0.35">
      <c r="A238" s="1">
        <v>41855</v>
      </c>
      <c r="B238" s="3">
        <f t="shared" si="6"/>
        <v>2014</v>
      </c>
      <c r="C238" s="3">
        <f t="shared" si="7"/>
        <v>8</v>
      </c>
      <c r="D238" t="s">
        <v>391</v>
      </c>
      <c r="E238" t="s">
        <v>392</v>
      </c>
      <c r="F238" t="s">
        <v>28</v>
      </c>
      <c r="G238" t="s">
        <v>58</v>
      </c>
      <c r="H238" t="s">
        <v>393</v>
      </c>
      <c r="I238" s="2">
        <v>101.96</v>
      </c>
      <c r="J238" s="3">
        <v>2</v>
      </c>
      <c r="K238" s="2">
        <v>27.53</v>
      </c>
    </row>
    <row r="239" spans="1:11" x14ac:dyDescent="0.35">
      <c r="A239" s="1">
        <v>41855</v>
      </c>
      <c r="B239" s="3">
        <f t="shared" si="6"/>
        <v>2014</v>
      </c>
      <c r="C239" s="3">
        <f t="shared" si="7"/>
        <v>8</v>
      </c>
      <c r="D239" t="s">
        <v>391</v>
      </c>
      <c r="E239" t="s">
        <v>392</v>
      </c>
      <c r="F239" t="s">
        <v>28</v>
      </c>
      <c r="G239" t="s">
        <v>29</v>
      </c>
      <c r="H239" t="s">
        <v>394</v>
      </c>
      <c r="I239" s="2">
        <v>259.74</v>
      </c>
      <c r="J239" s="3">
        <v>13</v>
      </c>
      <c r="K239" s="2">
        <v>124.68</v>
      </c>
    </row>
    <row r="240" spans="1:11" x14ac:dyDescent="0.35">
      <c r="A240" s="1">
        <v>41855</v>
      </c>
      <c r="B240" s="3">
        <f t="shared" si="6"/>
        <v>2014</v>
      </c>
      <c r="C240" s="3">
        <f t="shared" si="7"/>
        <v>8</v>
      </c>
      <c r="D240" t="s">
        <v>391</v>
      </c>
      <c r="E240" t="s">
        <v>392</v>
      </c>
      <c r="F240" t="s">
        <v>13</v>
      </c>
      <c r="G240" t="s">
        <v>14</v>
      </c>
      <c r="H240" t="s">
        <v>395</v>
      </c>
      <c r="I240" s="2">
        <v>255.42</v>
      </c>
      <c r="J240" s="3">
        <v>9</v>
      </c>
      <c r="K240" s="2">
        <v>104.72</v>
      </c>
    </row>
    <row r="241" spans="1:11" x14ac:dyDescent="0.35">
      <c r="A241" s="1">
        <v>41916</v>
      </c>
      <c r="B241" s="3">
        <f t="shared" si="6"/>
        <v>2014</v>
      </c>
      <c r="C241" s="3">
        <f t="shared" si="7"/>
        <v>10</v>
      </c>
      <c r="D241" t="s">
        <v>396</v>
      </c>
      <c r="E241" t="s">
        <v>45</v>
      </c>
      <c r="F241" t="s">
        <v>28</v>
      </c>
      <c r="G241" t="s">
        <v>46</v>
      </c>
      <c r="H241" t="s">
        <v>397</v>
      </c>
      <c r="I241" s="2">
        <v>14.45</v>
      </c>
      <c r="J241" s="3">
        <v>5</v>
      </c>
      <c r="K241" s="2">
        <v>6.79</v>
      </c>
    </row>
    <row r="242" spans="1:11" x14ac:dyDescent="0.35">
      <c r="A242" s="1">
        <v>41916</v>
      </c>
      <c r="B242" s="3">
        <f t="shared" si="6"/>
        <v>2014</v>
      </c>
      <c r="C242" s="3">
        <f t="shared" si="7"/>
        <v>10</v>
      </c>
      <c r="D242" t="s">
        <v>396</v>
      </c>
      <c r="E242" t="s">
        <v>45</v>
      </c>
      <c r="F242" t="s">
        <v>28</v>
      </c>
      <c r="G242" t="s">
        <v>48</v>
      </c>
      <c r="H242" t="s">
        <v>398</v>
      </c>
      <c r="I242" s="2">
        <v>95.65</v>
      </c>
      <c r="J242" s="3">
        <v>2</v>
      </c>
      <c r="K242" s="2">
        <v>31.09</v>
      </c>
    </row>
    <row r="243" spans="1:11" x14ac:dyDescent="0.35">
      <c r="A243" s="1">
        <v>41916</v>
      </c>
      <c r="B243" s="3">
        <f t="shared" si="6"/>
        <v>2014</v>
      </c>
      <c r="C243" s="3">
        <f t="shared" si="7"/>
        <v>10</v>
      </c>
      <c r="D243" t="s">
        <v>399</v>
      </c>
      <c r="E243" t="s">
        <v>17</v>
      </c>
      <c r="F243" t="s">
        <v>28</v>
      </c>
      <c r="G243" t="s">
        <v>46</v>
      </c>
      <c r="H243" t="s">
        <v>400</v>
      </c>
      <c r="I243" s="2">
        <v>29.24</v>
      </c>
      <c r="J243" s="3">
        <v>4</v>
      </c>
      <c r="K243" s="2">
        <v>13.74</v>
      </c>
    </row>
    <row r="244" spans="1:11" x14ac:dyDescent="0.35">
      <c r="A244" s="1">
        <v>41916</v>
      </c>
      <c r="B244" s="3">
        <f t="shared" si="6"/>
        <v>2014</v>
      </c>
      <c r="C244" s="3">
        <f t="shared" si="7"/>
        <v>10</v>
      </c>
      <c r="D244" t="s">
        <v>401</v>
      </c>
      <c r="E244" t="s">
        <v>22</v>
      </c>
      <c r="F244" t="s">
        <v>18</v>
      </c>
      <c r="G244" t="s">
        <v>19</v>
      </c>
      <c r="H244" t="s">
        <v>402</v>
      </c>
      <c r="I244" s="2">
        <v>589.41</v>
      </c>
      <c r="J244" s="3">
        <v>5</v>
      </c>
      <c r="K244" s="2">
        <v>-6.55</v>
      </c>
    </row>
    <row r="245" spans="1:11" x14ac:dyDescent="0.35">
      <c r="A245" s="1">
        <v>41947</v>
      </c>
      <c r="B245" s="3">
        <f t="shared" si="6"/>
        <v>2014</v>
      </c>
      <c r="C245" s="3">
        <f t="shared" si="7"/>
        <v>11</v>
      </c>
      <c r="D245" t="s">
        <v>403</v>
      </c>
      <c r="E245" t="s">
        <v>22</v>
      </c>
      <c r="F245" t="s">
        <v>18</v>
      </c>
      <c r="G245" t="s">
        <v>19</v>
      </c>
      <c r="H245" t="s">
        <v>404</v>
      </c>
      <c r="I245" s="2">
        <v>135.88</v>
      </c>
      <c r="J245" s="3">
        <v>1</v>
      </c>
      <c r="K245" s="2">
        <v>24.16</v>
      </c>
    </row>
    <row r="246" spans="1:11" x14ac:dyDescent="0.35">
      <c r="A246" s="1">
        <v>41947</v>
      </c>
      <c r="B246" s="3">
        <f t="shared" si="6"/>
        <v>2014</v>
      </c>
      <c r="C246" s="3">
        <f t="shared" si="7"/>
        <v>11</v>
      </c>
      <c r="D246" t="s">
        <v>403</v>
      </c>
      <c r="E246" t="s">
        <v>22</v>
      </c>
      <c r="F246" t="s">
        <v>13</v>
      </c>
      <c r="G246" t="s">
        <v>204</v>
      </c>
      <c r="H246" t="s">
        <v>405</v>
      </c>
      <c r="I246" s="2">
        <v>3991.98</v>
      </c>
      <c r="J246" s="3">
        <v>2</v>
      </c>
      <c r="K246" s="2">
        <v>1995.99</v>
      </c>
    </row>
    <row r="247" spans="1:11" x14ac:dyDescent="0.35">
      <c r="A247" s="1">
        <v>41947</v>
      </c>
      <c r="B247" s="3">
        <f t="shared" si="6"/>
        <v>2014</v>
      </c>
      <c r="C247" s="3">
        <f t="shared" si="7"/>
        <v>11</v>
      </c>
      <c r="D247" t="s">
        <v>403</v>
      </c>
      <c r="E247" t="s">
        <v>22</v>
      </c>
      <c r="F247" t="s">
        <v>13</v>
      </c>
      <c r="G247" t="s">
        <v>23</v>
      </c>
      <c r="H247" t="s">
        <v>406</v>
      </c>
      <c r="I247" s="2">
        <v>275.94</v>
      </c>
      <c r="J247" s="3">
        <v>6</v>
      </c>
      <c r="K247" s="2">
        <v>80.02</v>
      </c>
    </row>
    <row r="248" spans="1:11" x14ac:dyDescent="0.35">
      <c r="A248" s="1">
        <v>41947</v>
      </c>
      <c r="B248" s="3">
        <f t="shared" si="6"/>
        <v>2014</v>
      </c>
      <c r="C248" s="3">
        <f t="shared" si="7"/>
        <v>11</v>
      </c>
      <c r="D248" t="s">
        <v>403</v>
      </c>
      <c r="E248" t="s">
        <v>22</v>
      </c>
      <c r="F248" t="s">
        <v>13</v>
      </c>
      <c r="G248" t="s">
        <v>14</v>
      </c>
      <c r="H248" t="s">
        <v>407</v>
      </c>
      <c r="I248" s="2">
        <v>360</v>
      </c>
      <c r="J248" s="3">
        <v>4</v>
      </c>
      <c r="K248" s="2">
        <v>129.6</v>
      </c>
    </row>
    <row r="249" spans="1:11" x14ac:dyDescent="0.35">
      <c r="A249" s="1">
        <v>41947</v>
      </c>
      <c r="B249" s="3">
        <f t="shared" si="6"/>
        <v>2014</v>
      </c>
      <c r="C249" s="3">
        <f t="shared" si="7"/>
        <v>11</v>
      </c>
      <c r="D249" t="s">
        <v>403</v>
      </c>
      <c r="E249" t="s">
        <v>22</v>
      </c>
      <c r="F249" t="s">
        <v>28</v>
      </c>
      <c r="G249" t="s">
        <v>38</v>
      </c>
      <c r="H249" t="s">
        <v>408</v>
      </c>
      <c r="I249" s="2">
        <v>43.57</v>
      </c>
      <c r="J249" s="3">
        <v>1</v>
      </c>
      <c r="K249" s="2">
        <v>13.07</v>
      </c>
    </row>
    <row r="250" spans="1:11" x14ac:dyDescent="0.35">
      <c r="A250" s="1">
        <v>41947</v>
      </c>
      <c r="B250" s="3">
        <f t="shared" si="6"/>
        <v>2014</v>
      </c>
      <c r="C250" s="3">
        <f t="shared" si="7"/>
        <v>11</v>
      </c>
      <c r="D250" t="s">
        <v>248</v>
      </c>
      <c r="E250" t="s">
        <v>81</v>
      </c>
      <c r="F250" t="s">
        <v>28</v>
      </c>
      <c r="G250" t="s">
        <v>33</v>
      </c>
      <c r="H250" t="s">
        <v>409</v>
      </c>
      <c r="I250" s="2">
        <v>8.3800000000000008</v>
      </c>
      <c r="J250" s="3">
        <v>3</v>
      </c>
      <c r="K250" s="2">
        <v>2.72</v>
      </c>
    </row>
    <row r="251" spans="1:11" x14ac:dyDescent="0.35">
      <c r="A251" s="1">
        <v>41947</v>
      </c>
      <c r="B251" s="3">
        <f t="shared" si="6"/>
        <v>2014</v>
      </c>
      <c r="C251" s="3">
        <f t="shared" si="7"/>
        <v>11</v>
      </c>
      <c r="D251" t="s">
        <v>248</v>
      </c>
      <c r="E251" t="s">
        <v>81</v>
      </c>
      <c r="F251" t="s">
        <v>28</v>
      </c>
      <c r="G251" t="s">
        <v>58</v>
      </c>
      <c r="H251" t="s">
        <v>73</v>
      </c>
      <c r="I251" s="2">
        <v>58.24</v>
      </c>
      <c r="J251" s="3">
        <v>5</v>
      </c>
      <c r="K251" s="2">
        <v>5.0999999999999996</v>
      </c>
    </row>
    <row r="252" spans="1:11" x14ac:dyDescent="0.35">
      <c r="A252" s="1">
        <v>41947</v>
      </c>
      <c r="B252" s="3">
        <f t="shared" si="6"/>
        <v>2014</v>
      </c>
      <c r="C252" s="3">
        <f t="shared" si="7"/>
        <v>11</v>
      </c>
      <c r="D252" t="s">
        <v>410</v>
      </c>
      <c r="E252" t="s">
        <v>45</v>
      </c>
      <c r="F252" t="s">
        <v>18</v>
      </c>
      <c r="G252" t="s">
        <v>36</v>
      </c>
      <c r="H252" t="s">
        <v>411</v>
      </c>
      <c r="I252" s="2">
        <v>35.340000000000003</v>
      </c>
      <c r="J252" s="3">
        <v>2</v>
      </c>
      <c r="K252" s="2">
        <v>13.43</v>
      </c>
    </row>
    <row r="253" spans="1:11" x14ac:dyDescent="0.35">
      <c r="A253" s="1">
        <v>41947</v>
      </c>
      <c r="B253" s="3">
        <f t="shared" si="6"/>
        <v>2014</v>
      </c>
      <c r="C253" s="3">
        <f t="shared" si="7"/>
        <v>11</v>
      </c>
      <c r="D253" t="s">
        <v>412</v>
      </c>
      <c r="E253" t="s">
        <v>45</v>
      </c>
      <c r="F253" t="s">
        <v>13</v>
      </c>
      <c r="G253" t="s">
        <v>23</v>
      </c>
      <c r="H253" t="s">
        <v>413</v>
      </c>
      <c r="I253" s="2">
        <v>666.34</v>
      </c>
      <c r="J253" s="3">
        <v>7</v>
      </c>
      <c r="K253" s="2">
        <v>66.63</v>
      </c>
    </row>
    <row r="254" spans="1:11" x14ac:dyDescent="0.35">
      <c r="A254" s="1">
        <v>41947</v>
      </c>
      <c r="B254" s="3">
        <f t="shared" si="6"/>
        <v>2014</v>
      </c>
      <c r="C254" s="3">
        <f t="shared" si="7"/>
        <v>11</v>
      </c>
      <c r="D254" t="s">
        <v>412</v>
      </c>
      <c r="E254" t="s">
        <v>45</v>
      </c>
      <c r="F254" t="s">
        <v>18</v>
      </c>
      <c r="G254" t="s">
        <v>42</v>
      </c>
      <c r="H254" t="s">
        <v>414</v>
      </c>
      <c r="I254" s="2">
        <v>573.73</v>
      </c>
      <c r="J254" s="3">
        <v>4</v>
      </c>
      <c r="K254" s="2">
        <v>-64.540000000000006</v>
      </c>
    </row>
    <row r="255" spans="1:11" x14ac:dyDescent="0.35">
      <c r="A255" s="1">
        <v>41947</v>
      </c>
      <c r="B255" s="3">
        <f t="shared" si="6"/>
        <v>2014</v>
      </c>
      <c r="C255" s="3">
        <f t="shared" si="7"/>
        <v>11</v>
      </c>
      <c r="D255" t="s">
        <v>412</v>
      </c>
      <c r="E255" t="s">
        <v>45</v>
      </c>
      <c r="F255" t="s">
        <v>28</v>
      </c>
      <c r="G255" t="s">
        <v>48</v>
      </c>
      <c r="H255" t="s">
        <v>415</v>
      </c>
      <c r="I255" s="2">
        <v>21.94</v>
      </c>
      <c r="J255" s="3">
        <v>3</v>
      </c>
      <c r="K255" s="2">
        <v>8.23</v>
      </c>
    </row>
    <row r="256" spans="1:11" x14ac:dyDescent="0.35">
      <c r="A256" s="1">
        <v>41947</v>
      </c>
      <c r="B256" s="3">
        <f t="shared" si="6"/>
        <v>2014</v>
      </c>
      <c r="C256" s="3">
        <f t="shared" si="7"/>
        <v>11</v>
      </c>
      <c r="D256" t="s">
        <v>412</v>
      </c>
      <c r="E256" t="s">
        <v>45</v>
      </c>
      <c r="F256" t="s">
        <v>28</v>
      </c>
      <c r="G256" t="s">
        <v>29</v>
      </c>
      <c r="H256" t="s">
        <v>416</v>
      </c>
      <c r="I256" s="2">
        <v>19.440000000000001</v>
      </c>
      <c r="J256" s="3">
        <v>3</v>
      </c>
      <c r="K256" s="2">
        <v>9.33</v>
      </c>
    </row>
    <row r="257" spans="1:11" x14ac:dyDescent="0.35">
      <c r="A257" s="1">
        <v>41947</v>
      </c>
      <c r="B257" s="3">
        <f t="shared" si="6"/>
        <v>2014</v>
      </c>
      <c r="C257" s="3">
        <f t="shared" si="7"/>
        <v>11</v>
      </c>
      <c r="D257" t="s">
        <v>412</v>
      </c>
      <c r="E257" t="s">
        <v>45</v>
      </c>
      <c r="F257" t="s">
        <v>13</v>
      </c>
      <c r="G257" t="s">
        <v>204</v>
      </c>
      <c r="H257" t="s">
        <v>417</v>
      </c>
      <c r="I257" s="2">
        <v>447.97</v>
      </c>
      <c r="J257" s="3">
        <v>4</v>
      </c>
      <c r="K257" s="2">
        <v>139.99</v>
      </c>
    </row>
    <row r="258" spans="1:11" x14ac:dyDescent="0.35">
      <c r="A258" s="1">
        <v>41947</v>
      </c>
      <c r="B258" s="3">
        <f t="shared" ref="B258:B321" si="8">YEAR(A258)</f>
        <v>2014</v>
      </c>
      <c r="C258" s="3">
        <f t="shared" ref="C258:C321" si="9">MONTH(A258)</f>
        <v>11</v>
      </c>
      <c r="D258" t="s">
        <v>418</v>
      </c>
      <c r="E258" t="s">
        <v>22</v>
      </c>
      <c r="F258" t="s">
        <v>28</v>
      </c>
      <c r="G258" t="s">
        <v>48</v>
      </c>
      <c r="H258" t="s">
        <v>419</v>
      </c>
      <c r="I258" s="2">
        <v>52.06</v>
      </c>
      <c r="J258" s="3">
        <v>4</v>
      </c>
      <c r="K258" s="2">
        <v>18.87</v>
      </c>
    </row>
    <row r="259" spans="1:11" x14ac:dyDescent="0.35">
      <c r="A259" s="1">
        <v>41947</v>
      </c>
      <c r="B259" s="3">
        <f t="shared" si="8"/>
        <v>2014</v>
      </c>
      <c r="C259" s="3">
        <f t="shared" si="9"/>
        <v>11</v>
      </c>
      <c r="D259" t="s">
        <v>420</v>
      </c>
      <c r="E259" t="s">
        <v>45</v>
      </c>
      <c r="F259" t="s">
        <v>28</v>
      </c>
      <c r="G259" t="s">
        <v>64</v>
      </c>
      <c r="H259" t="s">
        <v>242</v>
      </c>
      <c r="I259" s="2">
        <v>2.94</v>
      </c>
      <c r="J259" s="3">
        <v>1</v>
      </c>
      <c r="K259" s="2">
        <v>0.79</v>
      </c>
    </row>
    <row r="260" spans="1:11" x14ac:dyDescent="0.35">
      <c r="A260" s="1">
        <v>41977</v>
      </c>
      <c r="B260" s="3">
        <f t="shared" si="8"/>
        <v>2014</v>
      </c>
      <c r="C260" s="3">
        <f t="shared" si="9"/>
        <v>12</v>
      </c>
      <c r="D260" t="s">
        <v>421</v>
      </c>
      <c r="E260" t="s">
        <v>22</v>
      </c>
      <c r="F260" t="s">
        <v>13</v>
      </c>
      <c r="G260" t="s">
        <v>23</v>
      </c>
      <c r="H260" t="s">
        <v>109</v>
      </c>
      <c r="I260" s="2">
        <v>129.97999999999999</v>
      </c>
      <c r="J260" s="3">
        <v>2</v>
      </c>
      <c r="K260" s="2">
        <v>62.39</v>
      </c>
    </row>
    <row r="261" spans="1:11" x14ac:dyDescent="0.35">
      <c r="A261" s="1">
        <v>41644</v>
      </c>
      <c r="B261" s="3">
        <f t="shared" si="8"/>
        <v>2014</v>
      </c>
      <c r="C261" s="3">
        <f t="shared" si="9"/>
        <v>1</v>
      </c>
      <c r="D261" t="s">
        <v>422</v>
      </c>
      <c r="E261" t="s">
        <v>89</v>
      </c>
      <c r="F261" t="s">
        <v>28</v>
      </c>
      <c r="G261" t="s">
        <v>64</v>
      </c>
      <c r="H261" t="s">
        <v>423</v>
      </c>
      <c r="I261" s="2">
        <v>19.54</v>
      </c>
      <c r="J261" s="3">
        <v>3</v>
      </c>
      <c r="K261" s="2">
        <v>4.88</v>
      </c>
    </row>
    <row r="262" spans="1:11" x14ac:dyDescent="0.35">
      <c r="A262" s="1">
        <v>41703</v>
      </c>
      <c r="B262" s="3">
        <f t="shared" si="8"/>
        <v>2014</v>
      </c>
      <c r="C262" s="3">
        <f t="shared" si="9"/>
        <v>3</v>
      </c>
      <c r="D262" t="s">
        <v>424</v>
      </c>
      <c r="E262" t="s">
        <v>22</v>
      </c>
      <c r="F262" t="s">
        <v>28</v>
      </c>
      <c r="G262" t="s">
        <v>64</v>
      </c>
      <c r="H262" t="s">
        <v>425</v>
      </c>
      <c r="I262" s="2">
        <v>59.52</v>
      </c>
      <c r="J262" s="3">
        <v>3</v>
      </c>
      <c r="K262" s="2">
        <v>15.48</v>
      </c>
    </row>
    <row r="263" spans="1:11" x14ac:dyDescent="0.35">
      <c r="A263" s="1">
        <v>41703</v>
      </c>
      <c r="B263" s="3">
        <f t="shared" si="8"/>
        <v>2014</v>
      </c>
      <c r="C263" s="3">
        <f t="shared" si="9"/>
        <v>3</v>
      </c>
      <c r="D263" t="s">
        <v>424</v>
      </c>
      <c r="E263" t="s">
        <v>22</v>
      </c>
      <c r="F263" t="s">
        <v>13</v>
      </c>
      <c r="G263" t="s">
        <v>14</v>
      </c>
      <c r="H263" t="s">
        <v>426</v>
      </c>
      <c r="I263" s="2">
        <v>479.97</v>
      </c>
      <c r="J263" s="3">
        <v>3</v>
      </c>
      <c r="K263" s="2">
        <v>177.59</v>
      </c>
    </row>
    <row r="264" spans="1:11" x14ac:dyDescent="0.35">
      <c r="A264" s="1">
        <v>41703</v>
      </c>
      <c r="B264" s="3">
        <f t="shared" si="8"/>
        <v>2014</v>
      </c>
      <c r="C264" s="3">
        <f t="shared" si="9"/>
        <v>3</v>
      </c>
      <c r="D264" t="s">
        <v>424</v>
      </c>
      <c r="E264" t="s">
        <v>22</v>
      </c>
      <c r="F264" t="s">
        <v>28</v>
      </c>
      <c r="G264" t="s">
        <v>215</v>
      </c>
      <c r="H264" t="s">
        <v>427</v>
      </c>
      <c r="I264" s="2">
        <v>18.62</v>
      </c>
      <c r="J264" s="3">
        <v>2</v>
      </c>
      <c r="K264" s="2">
        <v>5.4</v>
      </c>
    </row>
    <row r="265" spans="1:11" x14ac:dyDescent="0.35">
      <c r="A265" s="1">
        <v>41703</v>
      </c>
      <c r="B265" s="3">
        <f t="shared" si="8"/>
        <v>2014</v>
      </c>
      <c r="C265" s="3">
        <f t="shared" si="9"/>
        <v>3</v>
      </c>
      <c r="D265" t="s">
        <v>424</v>
      </c>
      <c r="E265" t="s">
        <v>22</v>
      </c>
      <c r="F265" t="s">
        <v>28</v>
      </c>
      <c r="G265" t="s">
        <v>48</v>
      </c>
      <c r="H265" t="s">
        <v>428</v>
      </c>
      <c r="I265" s="2">
        <v>49.63</v>
      </c>
      <c r="J265" s="3">
        <v>6</v>
      </c>
      <c r="K265" s="2">
        <v>16.75</v>
      </c>
    </row>
    <row r="266" spans="1:11" x14ac:dyDescent="0.35">
      <c r="A266" s="1">
        <v>41703</v>
      </c>
      <c r="B266" s="3">
        <f t="shared" si="8"/>
        <v>2014</v>
      </c>
      <c r="C266" s="3">
        <f t="shared" si="9"/>
        <v>3</v>
      </c>
      <c r="D266" t="s">
        <v>424</v>
      </c>
      <c r="E266" t="s">
        <v>22</v>
      </c>
      <c r="F266" t="s">
        <v>28</v>
      </c>
      <c r="G266" t="s">
        <v>29</v>
      </c>
      <c r="H266" t="s">
        <v>429</v>
      </c>
      <c r="I266" s="2">
        <v>97.82</v>
      </c>
      <c r="J266" s="3">
        <v>2</v>
      </c>
      <c r="K266" s="2">
        <v>45.98</v>
      </c>
    </row>
    <row r="267" spans="1:11" x14ac:dyDescent="0.35">
      <c r="A267" s="1">
        <v>41734</v>
      </c>
      <c r="B267" s="3">
        <f t="shared" si="8"/>
        <v>2014</v>
      </c>
      <c r="C267" s="3">
        <f t="shared" si="9"/>
        <v>4</v>
      </c>
      <c r="D267" t="s">
        <v>430</v>
      </c>
      <c r="E267" t="s">
        <v>22</v>
      </c>
      <c r="F267" t="s">
        <v>28</v>
      </c>
      <c r="G267" t="s">
        <v>29</v>
      </c>
      <c r="H267" t="s">
        <v>431</v>
      </c>
      <c r="I267" s="2">
        <v>55.48</v>
      </c>
      <c r="J267" s="3">
        <v>1</v>
      </c>
      <c r="K267" s="2">
        <v>26.63</v>
      </c>
    </row>
    <row r="268" spans="1:11" x14ac:dyDescent="0.35">
      <c r="A268" s="1">
        <v>41734</v>
      </c>
      <c r="B268" s="3">
        <f t="shared" si="8"/>
        <v>2014</v>
      </c>
      <c r="C268" s="3">
        <f t="shared" si="9"/>
        <v>4</v>
      </c>
      <c r="D268" t="s">
        <v>432</v>
      </c>
      <c r="E268" t="s">
        <v>173</v>
      </c>
      <c r="F268" t="s">
        <v>28</v>
      </c>
      <c r="G268" t="s">
        <v>64</v>
      </c>
      <c r="H268" t="s">
        <v>433</v>
      </c>
      <c r="I268" s="2">
        <v>22.96</v>
      </c>
      <c r="J268" s="3">
        <v>7</v>
      </c>
      <c r="K268" s="2">
        <v>7.58</v>
      </c>
    </row>
    <row r="269" spans="1:11" x14ac:dyDescent="0.35">
      <c r="A269" s="1">
        <v>41734</v>
      </c>
      <c r="B269" s="3">
        <f t="shared" si="8"/>
        <v>2014</v>
      </c>
      <c r="C269" s="3">
        <f t="shared" si="9"/>
        <v>4</v>
      </c>
      <c r="D269" t="s">
        <v>432</v>
      </c>
      <c r="E269" t="s">
        <v>173</v>
      </c>
      <c r="F269" t="s">
        <v>13</v>
      </c>
      <c r="G269" t="s">
        <v>23</v>
      </c>
      <c r="H269" t="s">
        <v>230</v>
      </c>
      <c r="I269" s="2">
        <v>28.99</v>
      </c>
      <c r="J269" s="3">
        <v>1</v>
      </c>
      <c r="K269" s="2">
        <v>8.41</v>
      </c>
    </row>
    <row r="270" spans="1:11" x14ac:dyDescent="0.35">
      <c r="A270" s="1">
        <v>41734</v>
      </c>
      <c r="B270" s="3">
        <f t="shared" si="8"/>
        <v>2014</v>
      </c>
      <c r="C270" s="3">
        <f t="shared" si="9"/>
        <v>4</v>
      </c>
      <c r="D270" t="s">
        <v>432</v>
      </c>
      <c r="E270" t="s">
        <v>173</v>
      </c>
      <c r="F270" t="s">
        <v>28</v>
      </c>
      <c r="G270" t="s">
        <v>29</v>
      </c>
      <c r="H270" t="s">
        <v>434</v>
      </c>
      <c r="I270" s="2">
        <v>12.96</v>
      </c>
      <c r="J270" s="3">
        <v>2</v>
      </c>
      <c r="K270" s="2">
        <v>6.35</v>
      </c>
    </row>
    <row r="271" spans="1:11" x14ac:dyDescent="0.35">
      <c r="A271" s="1">
        <v>41734</v>
      </c>
      <c r="B271" s="3">
        <f t="shared" si="8"/>
        <v>2014</v>
      </c>
      <c r="C271" s="3">
        <f t="shared" si="9"/>
        <v>4</v>
      </c>
      <c r="D271" t="s">
        <v>432</v>
      </c>
      <c r="E271" t="s">
        <v>173</v>
      </c>
      <c r="F271" t="s">
        <v>28</v>
      </c>
      <c r="G271" t="s">
        <v>64</v>
      </c>
      <c r="H271" t="s">
        <v>435</v>
      </c>
      <c r="I271" s="2">
        <v>22.96</v>
      </c>
      <c r="J271" s="3">
        <v>7</v>
      </c>
      <c r="K271" s="2">
        <v>6.66</v>
      </c>
    </row>
    <row r="272" spans="1:11" x14ac:dyDescent="0.35">
      <c r="A272" s="1">
        <v>41734</v>
      </c>
      <c r="B272" s="3">
        <f t="shared" si="8"/>
        <v>2014</v>
      </c>
      <c r="C272" s="3">
        <f t="shared" si="9"/>
        <v>4</v>
      </c>
      <c r="D272" t="s">
        <v>432</v>
      </c>
      <c r="E272" t="s">
        <v>173</v>
      </c>
      <c r="F272" t="s">
        <v>28</v>
      </c>
      <c r="G272" t="s">
        <v>215</v>
      </c>
      <c r="H272" t="s">
        <v>436</v>
      </c>
      <c r="I272" s="2">
        <v>4164.05</v>
      </c>
      <c r="J272" s="3">
        <v>5</v>
      </c>
      <c r="K272" s="2">
        <v>83.28</v>
      </c>
    </row>
    <row r="273" spans="1:11" x14ac:dyDescent="0.35">
      <c r="A273" s="1">
        <v>41734</v>
      </c>
      <c r="B273" s="3">
        <f t="shared" si="8"/>
        <v>2014</v>
      </c>
      <c r="C273" s="3">
        <f t="shared" si="9"/>
        <v>4</v>
      </c>
      <c r="D273" t="s">
        <v>437</v>
      </c>
      <c r="E273" t="s">
        <v>26</v>
      </c>
      <c r="F273" t="s">
        <v>28</v>
      </c>
      <c r="G273" t="s">
        <v>38</v>
      </c>
      <c r="H273" t="s">
        <v>438</v>
      </c>
      <c r="I273" s="2">
        <v>49.63</v>
      </c>
      <c r="J273" s="3">
        <v>4</v>
      </c>
      <c r="K273" s="2">
        <v>3.72</v>
      </c>
    </row>
    <row r="274" spans="1:11" x14ac:dyDescent="0.35">
      <c r="A274" s="1">
        <v>41734</v>
      </c>
      <c r="B274" s="3">
        <f t="shared" si="8"/>
        <v>2014</v>
      </c>
      <c r="C274" s="3">
        <f t="shared" si="9"/>
        <v>4</v>
      </c>
      <c r="D274" t="s">
        <v>437</v>
      </c>
      <c r="E274" t="s">
        <v>26</v>
      </c>
      <c r="F274" t="s">
        <v>28</v>
      </c>
      <c r="G274" t="s">
        <v>38</v>
      </c>
      <c r="H274" t="s">
        <v>439</v>
      </c>
      <c r="I274" s="2">
        <v>52.1</v>
      </c>
      <c r="J274" s="3">
        <v>4</v>
      </c>
      <c r="K274" s="2">
        <v>3.91</v>
      </c>
    </row>
    <row r="275" spans="1:11" x14ac:dyDescent="0.35">
      <c r="A275" s="1">
        <v>41734</v>
      </c>
      <c r="B275" s="3">
        <f t="shared" si="8"/>
        <v>2014</v>
      </c>
      <c r="C275" s="3">
        <f t="shared" si="9"/>
        <v>4</v>
      </c>
      <c r="D275" t="s">
        <v>440</v>
      </c>
      <c r="E275" t="s">
        <v>71</v>
      </c>
      <c r="F275" t="s">
        <v>28</v>
      </c>
      <c r="G275" t="s">
        <v>64</v>
      </c>
      <c r="H275" t="s">
        <v>441</v>
      </c>
      <c r="I275" s="2">
        <v>26.7</v>
      </c>
      <c r="J275" s="3">
        <v>2</v>
      </c>
      <c r="K275" s="2">
        <v>7.48</v>
      </c>
    </row>
    <row r="276" spans="1:11" x14ac:dyDescent="0.35">
      <c r="A276" s="1">
        <v>41734</v>
      </c>
      <c r="B276" s="3">
        <f t="shared" si="8"/>
        <v>2014</v>
      </c>
      <c r="C276" s="3">
        <f t="shared" si="9"/>
        <v>4</v>
      </c>
      <c r="D276" t="s">
        <v>440</v>
      </c>
      <c r="E276" t="s">
        <v>71</v>
      </c>
      <c r="F276" t="s">
        <v>28</v>
      </c>
      <c r="G276" t="s">
        <v>48</v>
      </c>
      <c r="H276" t="s">
        <v>442</v>
      </c>
      <c r="I276" s="2">
        <v>40.200000000000003</v>
      </c>
      <c r="J276" s="3">
        <v>5</v>
      </c>
      <c r="K276" s="2">
        <v>18.09</v>
      </c>
    </row>
    <row r="277" spans="1:11" x14ac:dyDescent="0.35">
      <c r="A277" s="1">
        <v>41734</v>
      </c>
      <c r="B277" s="3">
        <f t="shared" si="8"/>
        <v>2014</v>
      </c>
      <c r="C277" s="3">
        <f t="shared" si="9"/>
        <v>4</v>
      </c>
      <c r="D277" t="s">
        <v>440</v>
      </c>
      <c r="E277" t="s">
        <v>71</v>
      </c>
      <c r="F277" t="s">
        <v>28</v>
      </c>
      <c r="G277" t="s">
        <v>64</v>
      </c>
      <c r="H277" t="s">
        <v>443</v>
      </c>
      <c r="I277" s="2">
        <v>13.89</v>
      </c>
      <c r="J277" s="3">
        <v>3</v>
      </c>
      <c r="K277" s="2">
        <v>4.58</v>
      </c>
    </row>
    <row r="278" spans="1:11" x14ac:dyDescent="0.35">
      <c r="A278" s="1">
        <v>41734</v>
      </c>
      <c r="B278" s="3">
        <f t="shared" si="8"/>
        <v>2014</v>
      </c>
      <c r="C278" s="3">
        <f t="shared" si="9"/>
        <v>4</v>
      </c>
      <c r="D278" t="s">
        <v>440</v>
      </c>
      <c r="E278" t="s">
        <v>71</v>
      </c>
      <c r="F278" t="s">
        <v>28</v>
      </c>
      <c r="G278" t="s">
        <v>38</v>
      </c>
      <c r="H278" t="s">
        <v>444</v>
      </c>
      <c r="I278" s="2">
        <v>689.82</v>
      </c>
      <c r="J278" s="3">
        <v>6</v>
      </c>
      <c r="K278" s="2">
        <v>20.69</v>
      </c>
    </row>
    <row r="279" spans="1:11" x14ac:dyDescent="0.35">
      <c r="A279" s="1">
        <v>41734</v>
      </c>
      <c r="B279" s="3">
        <f t="shared" si="8"/>
        <v>2014</v>
      </c>
      <c r="C279" s="3">
        <f t="shared" si="9"/>
        <v>4</v>
      </c>
      <c r="D279" t="s">
        <v>445</v>
      </c>
      <c r="E279" t="s">
        <v>118</v>
      </c>
      <c r="F279" t="s">
        <v>28</v>
      </c>
      <c r="G279" t="s">
        <v>48</v>
      </c>
      <c r="H279" t="s">
        <v>390</v>
      </c>
      <c r="I279" s="2">
        <v>115.36</v>
      </c>
      <c r="J279" s="3">
        <v>7</v>
      </c>
      <c r="K279" s="2">
        <v>56.53</v>
      </c>
    </row>
    <row r="280" spans="1:11" x14ac:dyDescent="0.35">
      <c r="A280" s="1">
        <v>41764</v>
      </c>
      <c r="B280" s="3">
        <f t="shared" si="8"/>
        <v>2014</v>
      </c>
      <c r="C280" s="3">
        <f t="shared" si="9"/>
        <v>5</v>
      </c>
      <c r="D280" t="s">
        <v>446</v>
      </c>
      <c r="E280" t="s">
        <v>118</v>
      </c>
      <c r="F280" t="s">
        <v>28</v>
      </c>
      <c r="G280" t="s">
        <v>29</v>
      </c>
      <c r="H280" t="s">
        <v>447</v>
      </c>
      <c r="I280" s="2">
        <v>9.42</v>
      </c>
      <c r="J280" s="3">
        <v>3</v>
      </c>
      <c r="K280" s="2">
        <v>4.24</v>
      </c>
    </row>
    <row r="281" spans="1:11" x14ac:dyDescent="0.35">
      <c r="A281" s="1">
        <v>41764</v>
      </c>
      <c r="B281" s="3">
        <f t="shared" si="8"/>
        <v>2014</v>
      </c>
      <c r="C281" s="3">
        <f t="shared" si="9"/>
        <v>5</v>
      </c>
      <c r="D281" t="s">
        <v>446</v>
      </c>
      <c r="E281" t="s">
        <v>118</v>
      </c>
      <c r="F281" t="s">
        <v>28</v>
      </c>
      <c r="G281" t="s">
        <v>64</v>
      </c>
      <c r="H281" t="s">
        <v>448</v>
      </c>
      <c r="I281" s="2">
        <v>6.56</v>
      </c>
      <c r="J281" s="3">
        <v>2</v>
      </c>
      <c r="K281" s="2">
        <v>1.9</v>
      </c>
    </row>
    <row r="282" spans="1:11" x14ac:dyDescent="0.35">
      <c r="A282" s="1">
        <v>41764</v>
      </c>
      <c r="B282" s="3">
        <f t="shared" si="8"/>
        <v>2014</v>
      </c>
      <c r="C282" s="3">
        <f t="shared" si="9"/>
        <v>5</v>
      </c>
      <c r="D282" t="s">
        <v>446</v>
      </c>
      <c r="E282" t="s">
        <v>118</v>
      </c>
      <c r="F282" t="s">
        <v>28</v>
      </c>
      <c r="G282" t="s">
        <v>29</v>
      </c>
      <c r="H282" t="s">
        <v>449</v>
      </c>
      <c r="I282" s="2">
        <v>24.56</v>
      </c>
      <c r="J282" s="3">
        <v>2</v>
      </c>
      <c r="K282" s="2">
        <v>11.54</v>
      </c>
    </row>
    <row r="283" spans="1:11" x14ac:dyDescent="0.35">
      <c r="A283" s="1">
        <v>41764</v>
      </c>
      <c r="B283" s="3">
        <f t="shared" si="8"/>
        <v>2014</v>
      </c>
      <c r="C283" s="3">
        <f t="shared" si="9"/>
        <v>5</v>
      </c>
      <c r="D283" t="s">
        <v>450</v>
      </c>
      <c r="E283" t="s">
        <v>32</v>
      </c>
      <c r="F283" t="s">
        <v>18</v>
      </c>
      <c r="G283" t="s">
        <v>19</v>
      </c>
      <c r="H283" t="s">
        <v>451</v>
      </c>
      <c r="I283" s="2">
        <v>127.87</v>
      </c>
      <c r="J283" s="3">
        <v>3</v>
      </c>
      <c r="K283" s="2">
        <v>-9.1300000000000008</v>
      </c>
    </row>
    <row r="284" spans="1:11" x14ac:dyDescent="0.35">
      <c r="A284" s="1">
        <v>41764</v>
      </c>
      <c r="B284" s="3">
        <f t="shared" si="8"/>
        <v>2014</v>
      </c>
      <c r="C284" s="3">
        <f t="shared" si="9"/>
        <v>5</v>
      </c>
      <c r="D284" t="s">
        <v>50</v>
      </c>
      <c r="E284" t="s">
        <v>26</v>
      </c>
      <c r="F284" t="s">
        <v>28</v>
      </c>
      <c r="G284" t="s">
        <v>38</v>
      </c>
      <c r="H284" t="s">
        <v>452</v>
      </c>
      <c r="I284" s="2">
        <v>45.25</v>
      </c>
      <c r="J284" s="3">
        <v>2</v>
      </c>
      <c r="K284" s="2">
        <v>3.96</v>
      </c>
    </row>
    <row r="285" spans="1:11" x14ac:dyDescent="0.35">
      <c r="A285" s="1">
        <v>41764</v>
      </c>
      <c r="B285" s="3">
        <f t="shared" si="8"/>
        <v>2014</v>
      </c>
      <c r="C285" s="3">
        <f t="shared" si="9"/>
        <v>5</v>
      </c>
      <c r="D285" t="s">
        <v>453</v>
      </c>
      <c r="E285" t="s">
        <v>173</v>
      </c>
      <c r="F285" t="s">
        <v>28</v>
      </c>
      <c r="G285" t="s">
        <v>48</v>
      </c>
      <c r="H285" t="s">
        <v>454</v>
      </c>
      <c r="I285" s="2">
        <v>11.88</v>
      </c>
      <c r="J285" s="3">
        <v>2</v>
      </c>
      <c r="K285" s="2">
        <v>5.35</v>
      </c>
    </row>
    <row r="286" spans="1:11" x14ac:dyDescent="0.35">
      <c r="A286" s="1">
        <v>41764</v>
      </c>
      <c r="B286" s="3">
        <f t="shared" si="8"/>
        <v>2014</v>
      </c>
      <c r="C286" s="3">
        <f t="shared" si="9"/>
        <v>5</v>
      </c>
      <c r="D286" t="s">
        <v>453</v>
      </c>
      <c r="E286" t="s">
        <v>173</v>
      </c>
      <c r="F286" t="s">
        <v>28</v>
      </c>
      <c r="G286" t="s">
        <v>29</v>
      </c>
      <c r="H286" t="s">
        <v>123</v>
      </c>
      <c r="I286" s="2">
        <v>35.44</v>
      </c>
      <c r="J286" s="3">
        <v>1</v>
      </c>
      <c r="K286" s="2">
        <v>16.66</v>
      </c>
    </row>
    <row r="287" spans="1:11" x14ac:dyDescent="0.35">
      <c r="A287" s="1">
        <v>41825</v>
      </c>
      <c r="B287" s="3">
        <f t="shared" si="8"/>
        <v>2014</v>
      </c>
      <c r="C287" s="3">
        <f t="shared" si="9"/>
        <v>7</v>
      </c>
      <c r="D287" t="s">
        <v>455</v>
      </c>
      <c r="E287" t="s">
        <v>456</v>
      </c>
      <c r="F287" t="s">
        <v>13</v>
      </c>
      <c r="G287" t="s">
        <v>14</v>
      </c>
      <c r="H287" t="s">
        <v>457</v>
      </c>
      <c r="I287" s="2">
        <v>479.97</v>
      </c>
      <c r="J287" s="3">
        <v>3</v>
      </c>
      <c r="K287" s="2">
        <v>163.19</v>
      </c>
    </row>
    <row r="288" spans="1:11" x14ac:dyDescent="0.35">
      <c r="A288" s="1">
        <v>41825</v>
      </c>
      <c r="B288" s="3">
        <f t="shared" si="8"/>
        <v>2014</v>
      </c>
      <c r="C288" s="3">
        <f t="shared" si="9"/>
        <v>7</v>
      </c>
      <c r="D288" t="s">
        <v>455</v>
      </c>
      <c r="E288" t="s">
        <v>456</v>
      </c>
      <c r="F288" t="s">
        <v>28</v>
      </c>
      <c r="G288" t="s">
        <v>46</v>
      </c>
      <c r="H288" t="s">
        <v>458</v>
      </c>
      <c r="I288" s="2">
        <v>14.62</v>
      </c>
      <c r="J288" s="3">
        <v>2</v>
      </c>
      <c r="K288" s="2">
        <v>6.87</v>
      </c>
    </row>
    <row r="289" spans="1:11" x14ac:dyDescent="0.35">
      <c r="A289" s="1">
        <v>41825</v>
      </c>
      <c r="B289" s="3">
        <f t="shared" si="8"/>
        <v>2014</v>
      </c>
      <c r="C289" s="3">
        <f t="shared" si="9"/>
        <v>7</v>
      </c>
      <c r="D289" t="s">
        <v>455</v>
      </c>
      <c r="E289" t="s">
        <v>456</v>
      </c>
      <c r="F289" t="s">
        <v>28</v>
      </c>
      <c r="G289" t="s">
        <v>29</v>
      </c>
      <c r="H289" t="s">
        <v>459</v>
      </c>
      <c r="I289" s="2">
        <v>19.440000000000001</v>
      </c>
      <c r="J289" s="3">
        <v>3</v>
      </c>
      <c r="K289" s="2">
        <v>9.33</v>
      </c>
    </row>
    <row r="290" spans="1:11" x14ac:dyDescent="0.35">
      <c r="A290" s="1">
        <v>41825</v>
      </c>
      <c r="B290" s="3">
        <f t="shared" si="8"/>
        <v>2014</v>
      </c>
      <c r="C290" s="3">
        <f t="shared" si="9"/>
        <v>7</v>
      </c>
      <c r="D290" t="s">
        <v>460</v>
      </c>
      <c r="E290" t="s">
        <v>32</v>
      </c>
      <c r="F290" t="s">
        <v>28</v>
      </c>
      <c r="G290" t="s">
        <v>38</v>
      </c>
      <c r="H290" t="s">
        <v>461</v>
      </c>
      <c r="I290" s="2">
        <v>220.78</v>
      </c>
      <c r="J290" s="3">
        <v>3</v>
      </c>
      <c r="K290" s="2">
        <v>-44.16</v>
      </c>
    </row>
    <row r="291" spans="1:11" x14ac:dyDescent="0.35">
      <c r="A291" s="1">
        <v>41825</v>
      </c>
      <c r="B291" s="3">
        <f t="shared" si="8"/>
        <v>2014</v>
      </c>
      <c r="C291" s="3">
        <f t="shared" si="9"/>
        <v>7</v>
      </c>
      <c r="D291" t="s">
        <v>460</v>
      </c>
      <c r="E291" t="s">
        <v>32</v>
      </c>
      <c r="F291" t="s">
        <v>28</v>
      </c>
      <c r="G291" t="s">
        <v>38</v>
      </c>
      <c r="H291" t="s">
        <v>462</v>
      </c>
      <c r="I291" s="2">
        <v>281.42</v>
      </c>
      <c r="J291" s="3">
        <v>11</v>
      </c>
      <c r="K291" s="2">
        <v>-35.18</v>
      </c>
    </row>
    <row r="292" spans="1:11" x14ac:dyDescent="0.35">
      <c r="A292" s="1">
        <v>41825</v>
      </c>
      <c r="B292" s="3">
        <f t="shared" si="8"/>
        <v>2014</v>
      </c>
      <c r="C292" s="3">
        <f t="shared" si="9"/>
        <v>7</v>
      </c>
      <c r="D292" t="s">
        <v>463</v>
      </c>
      <c r="E292" t="s">
        <v>45</v>
      </c>
      <c r="F292" t="s">
        <v>28</v>
      </c>
      <c r="G292" t="s">
        <v>48</v>
      </c>
      <c r="H292" t="s">
        <v>464</v>
      </c>
      <c r="I292" s="2">
        <v>180.96</v>
      </c>
      <c r="J292" s="3">
        <v>6</v>
      </c>
      <c r="K292" s="2">
        <v>67.86</v>
      </c>
    </row>
    <row r="293" spans="1:11" x14ac:dyDescent="0.35">
      <c r="A293" s="1">
        <v>41825</v>
      </c>
      <c r="B293" s="3">
        <f t="shared" si="8"/>
        <v>2014</v>
      </c>
      <c r="C293" s="3">
        <f t="shared" si="9"/>
        <v>7</v>
      </c>
      <c r="D293" t="s">
        <v>465</v>
      </c>
      <c r="E293" t="s">
        <v>326</v>
      </c>
      <c r="F293" t="s">
        <v>28</v>
      </c>
      <c r="G293" t="s">
        <v>64</v>
      </c>
      <c r="H293" t="s">
        <v>466</v>
      </c>
      <c r="I293" s="2">
        <v>4.37</v>
      </c>
      <c r="J293" s="3">
        <v>3</v>
      </c>
      <c r="K293" s="2">
        <v>0.38</v>
      </c>
    </row>
    <row r="294" spans="1:11" x14ac:dyDescent="0.35">
      <c r="A294" s="1">
        <v>41825</v>
      </c>
      <c r="B294" s="3">
        <f t="shared" si="8"/>
        <v>2014</v>
      </c>
      <c r="C294" s="3">
        <f t="shared" si="9"/>
        <v>7</v>
      </c>
      <c r="D294" t="s">
        <v>467</v>
      </c>
      <c r="E294" t="s">
        <v>77</v>
      </c>
      <c r="F294" t="s">
        <v>18</v>
      </c>
      <c r="G294" t="s">
        <v>36</v>
      </c>
      <c r="H294" t="s">
        <v>468</v>
      </c>
      <c r="I294" s="2">
        <v>19.52</v>
      </c>
      <c r="J294" s="3">
        <v>2</v>
      </c>
      <c r="K294" s="2">
        <v>5.37</v>
      </c>
    </row>
    <row r="295" spans="1:11" x14ac:dyDescent="0.35">
      <c r="A295" s="1">
        <v>41825</v>
      </c>
      <c r="B295" s="3">
        <f t="shared" si="8"/>
        <v>2014</v>
      </c>
      <c r="C295" s="3">
        <f t="shared" si="9"/>
        <v>7</v>
      </c>
      <c r="D295" t="s">
        <v>467</v>
      </c>
      <c r="E295" t="s">
        <v>77</v>
      </c>
      <c r="F295" t="s">
        <v>28</v>
      </c>
      <c r="G295" t="s">
        <v>48</v>
      </c>
      <c r="H295" t="s">
        <v>469</v>
      </c>
      <c r="I295" s="2">
        <v>9.81</v>
      </c>
      <c r="J295" s="3">
        <v>5</v>
      </c>
      <c r="K295" s="2">
        <v>-6.87</v>
      </c>
    </row>
    <row r="296" spans="1:11" x14ac:dyDescent="0.35">
      <c r="A296" s="1">
        <v>41825</v>
      </c>
      <c r="B296" s="3">
        <f t="shared" si="8"/>
        <v>2014</v>
      </c>
      <c r="C296" s="3">
        <f t="shared" si="9"/>
        <v>7</v>
      </c>
      <c r="D296" t="s">
        <v>467</v>
      </c>
      <c r="E296" t="s">
        <v>77</v>
      </c>
      <c r="F296" t="s">
        <v>18</v>
      </c>
      <c r="G296" t="s">
        <v>36</v>
      </c>
      <c r="H296" t="s">
        <v>174</v>
      </c>
      <c r="I296" s="2">
        <v>213.22</v>
      </c>
      <c r="J296" s="3">
        <v>3</v>
      </c>
      <c r="K296" s="2">
        <v>15.99</v>
      </c>
    </row>
    <row r="297" spans="1:11" x14ac:dyDescent="0.35">
      <c r="A297" s="1">
        <v>41856</v>
      </c>
      <c r="B297" s="3">
        <f t="shared" si="8"/>
        <v>2014</v>
      </c>
      <c r="C297" s="3">
        <f t="shared" si="9"/>
        <v>8</v>
      </c>
      <c r="D297" t="s">
        <v>470</v>
      </c>
      <c r="E297" t="s">
        <v>45</v>
      </c>
      <c r="F297" t="s">
        <v>28</v>
      </c>
      <c r="G297" t="s">
        <v>29</v>
      </c>
      <c r="H297" t="s">
        <v>471</v>
      </c>
      <c r="I297" s="2">
        <v>20.94</v>
      </c>
      <c r="J297" s="3">
        <v>3</v>
      </c>
      <c r="K297" s="2">
        <v>9.84</v>
      </c>
    </row>
    <row r="298" spans="1:11" x14ac:dyDescent="0.35">
      <c r="A298" s="1">
        <v>41856</v>
      </c>
      <c r="B298" s="3">
        <f t="shared" si="8"/>
        <v>2014</v>
      </c>
      <c r="C298" s="3">
        <f t="shared" si="9"/>
        <v>8</v>
      </c>
      <c r="D298" t="s">
        <v>470</v>
      </c>
      <c r="E298" t="s">
        <v>45</v>
      </c>
      <c r="F298" t="s">
        <v>28</v>
      </c>
      <c r="G298" t="s">
        <v>29</v>
      </c>
      <c r="H298" t="s">
        <v>472</v>
      </c>
      <c r="I298" s="2">
        <v>110.96</v>
      </c>
      <c r="J298" s="3">
        <v>2</v>
      </c>
      <c r="K298" s="2">
        <v>53.26</v>
      </c>
    </row>
    <row r="299" spans="1:11" x14ac:dyDescent="0.35">
      <c r="A299" s="1">
        <v>41856</v>
      </c>
      <c r="B299" s="3">
        <f t="shared" si="8"/>
        <v>2014</v>
      </c>
      <c r="C299" s="3">
        <f t="shared" si="9"/>
        <v>8</v>
      </c>
      <c r="D299" t="s">
        <v>470</v>
      </c>
      <c r="E299" t="s">
        <v>45</v>
      </c>
      <c r="F299" t="s">
        <v>18</v>
      </c>
      <c r="G299" t="s">
        <v>19</v>
      </c>
      <c r="H299" t="s">
        <v>473</v>
      </c>
      <c r="I299" s="2">
        <v>340.14</v>
      </c>
      <c r="J299" s="3">
        <v>7</v>
      </c>
      <c r="K299" s="2">
        <v>21.26</v>
      </c>
    </row>
    <row r="300" spans="1:11" x14ac:dyDescent="0.35">
      <c r="A300" s="1">
        <v>41856</v>
      </c>
      <c r="B300" s="3">
        <f t="shared" si="8"/>
        <v>2014</v>
      </c>
      <c r="C300" s="3">
        <f t="shared" si="9"/>
        <v>8</v>
      </c>
      <c r="D300" t="s">
        <v>474</v>
      </c>
      <c r="E300" t="s">
        <v>45</v>
      </c>
      <c r="F300" t="s">
        <v>13</v>
      </c>
      <c r="G300" t="s">
        <v>14</v>
      </c>
      <c r="H300" t="s">
        <v>475</v>
      </c>
      <c r="I300" s="2">
        <v>16.36</v>
      </c>
      <c r="J300" s="3">
        <v>1</v>
      </c>
      <c r="K300" s="2">
        <v>1.64</v>
      </c>
    </row>
    <row r="301" spans="1:11" x14ac:dyDescent="0.35">
      <c r="A301" s="1">
        <v>41856</v>
      </c>
      <c r="B301" s="3">
        <f t="shared" si="8"/>
        <v>2014</v>
      </c>
      <c r="C301" s="3">
        <f t="shared" si="9"/>
        <v>8</v>
      </c>
      <c r="D301" t="s">
        <v>474</v>
      </c>
      <c r="E301" t="s">
        <v>45</v>
      </c>
      <c r="F301" t="s">
        <v>28</v>
      </c>
      <c r="G301" t="s">
        <v>38</v>
      </c>
      <c r="H301" t="s">
        <v>476</v>
      </c>
      <c r="I301" s="2">
        <v>15.78</v>
      </c>
      <c r="J301" s="3">
        <v>2</v>
      </c>
      <c r="K301" s="2">
        <v>0.63</v>
      </c>
    </row>
    <row r="302" spans="1:11" x14ac:dyDescent="0.35">
      <c r="A302" s="1">
        <v>41856</v>
      </c>
      <c r="B302" s="3">
        <f t="shared" si="8"/>
        <v>2014</v>
      </c>
      <c r="C302" s="3">
        <f t="shared" si="9"/>
        <v>8</v>
      </c>
      <c r="D302" t="s">
        <v>474</v>
      </c>
      <c r="E302" t="s">
        <v>45</v>
      </c>
      <c r="F302" t="s">
        <v>28</v>
      </c>
      <c r="G302" t="s">
        <v>64</v>
      </c>
      <c r="H302" t="s">
        <v>477</v>
      </c>
      <c r="I302" s="2">
        <v>45.98</v>
      </c>
      <c r="J302" s="3">
        <v>2</v>
      </c>
      <c r="K302" s="2">
        <v>12.87</v>
      </c>
    </row>
    <row r="303" spans="1:11" x14ac:dyDescent="0.35">
      <c r="A303" s="1">
        <v>41856</v>
      </c>
      <c r="B303" s="3">
        <f t="shared" si="8"/>
        <v>2014</v>
      </c>
      <c r="C303" s="3">
        <f t="shared" si="9"/>
        <v>8</v>
      </c>
      <c r="D303" t="s">
        <v>478</v>
      </c>
      <c r="E303" t="s">
        <v>323</v>
      </c>
      <c r="F303" t="s">
        <v>28</v>
      </c>
      <c r="G303" t="s">
        <v>58</v>
      </c>
      <c r="H303" t="s">
        <v>479</v>
      </c>
      <c r="I303" s="2">
        <v>79.47</v>
      </c>
      <c r="J303" s="3">
        <v>3</v>
      </c>
      <c r="K303" s="2">
        <v>22.25</v>
      </c>
    </row>
    <row r="304" spans="1:11" x14ac:dyDescent="0.35">
      <c r="A304" s="1">
        <v>41856</v>
      </c>
      <c r="B304" s="3">
        <f t="shared" si="8"/>
        <v>2014</v>
      </c>
      <c r="C304" s="3">
        <f t="shared" si="9"/>
        <v>8</v>
      </c>
      <c r="D304" t="s">
        <v>478</v>
      </c>
      <c r="E304" t="s">
        <v>323</v>
      </c>
      <c r="F304" t="s">
        <v>28</v>
      </c>
      <c r="G304" t="s">
        <v>64</v>
      </c>
      <c r="H304" t="s">
        <v>480</v>
      </c>
      <c r="I304" s="2">
        <v>4.5599999999999996</v>
      </c>
      <c r="J304" s="3">
        <v>2</v>
      </c>
      <c r="K304" s="2">
        <v>2.0099999999999998</v>
      </c>
    </row>
    <row r="305" spans="1:11" x14ac:dyDescent="0.35">
      <c r="A305" s="1">
        <v>41856</v>
      </c>
      <c r="B305" s="3">
        <f t="shared" si="8"/>
        <v>2014</v>
      </c>
      <c r="C305" s="3">
        <f t="shared" si="9"/>
        <v>8</v>
      </c>
      <c r="D305" t="s">
        <v>478</v>
      </c>
      <c r="E305" t="s">
        <v>323</v>
      </c>
      <c r="F305" t="s">
        <v>18</v>
      </c>
      <c r="G305" t="s">
        <v>19</v>
      </c>
      <c r="H305" t="s">
        <v>481</v>
      </c>
      <c r="I305" s="2">
        <v>1133.3499999999999</v>
      </c>
      <c r="J305" s="3">
        <v>5</v>
      </c>
      <c r="K305" s="2">
        <v>294.67</v>
      </c>
    </row>
    <row r="306" spans="1:11" x14ac:dyDescent="0.35">
      <c r="A306" s="1">
        <v>41856</v>
      </c>
      <c r="B306" s="3">
        <f t="shared" si="8"/>
        <v>2014</v>
      </c>
      <c r="C306" s="3">
        <f t="shared" si="9"/>
        <v>8</v>
      </c>
      <c r="D306" t="s">
        <v>333</v>
      </c>
      <c r="E306" t="s">
        <v>22</v>
      </c>
      <c r="F306" t="s">
        <v>13</v>
      </c>
      <c r="G306" t="s">
        <v>23</v>
      </c>
      <c r="H306" t="s">
        <v>482</v>
      </c>
      <c r="I306" s="2">
        <v>135.99</v>
      </c>
      <c r="J306" s="3">
        <v>1</v>
      </c>
      <c r="K306" s="2">
        <v>36.72</v>
      </c>
    </row>
    <row r="307" spans="1:11" x14ac:dyDescent="0.35">
      <c r="A307" s="1">
        <v>41856</v>
      </c>
      <c r="B307" s="3">
        <f t="shared" si="8"/>
        <v>2014</v>
      </c>
      <c r="C307" s="3">
        <f t="shared" si="9"/>
        <v>8</v>
      </c>
      <c r="D307" t="s">
        <v>333</v>
      </c>
      <c r="E307" t="s">
        <v>22</v>
      </c>
      <c r="F307" t="s">
        <v>28</v>
      </c>
      <c r="G307" t="s">
        <v>64</v>
      </c>
      <c r="H307" t="s">
        <v>480</v>
      </c>
      <c r="I307" s="2">
        <v>15.96</v>
      </c>
      <c r="J307" s="3">
        <v>7</v>
      </c>
      <c r="K307" s="2">
        <v>7.02</v>
      </c>
    </row>
    <row r="308" spans="1:11" x14ac:dyDescent="0.35">
      <c r="A308" s="1">
        <v>41856</v>
      </c>
      <c r="B308" s="3">
        <f t="shared" si="8"/>
        <v>2014</v>
      </c>
      <c r="C308" s="3">
        <f t="shared" si="9"/>
        <v>8</v>
      </c>
      <c r="D308" t="s">
        <v>483</v>
      </c>
      <c r="E308" t="s">
        <v>32</v>
      </c>
      <c r="F308" t="s">
        <v>18</v>
      </c>
      <c r="G308" t="s">
        <v>42</v>
      </c>
      <c r="H308" t="s">
        <v>484</v>
      </c>
      <c r="I308" s="2">
        <v>489.23</v>
      </c>
      <c r="J308" s="3">
        <v>2</v>
      </c>
      <c r="K308" s="2">
        <v>41.93</v>
      </c>
    </row>
    <row r="309" spans="1:11" x14ac:dyDescent="0.35">
      <c r="A309" s="1">
        <v>41887</v>
      </c>
      <c r="B309" s="3">
        <f t="shared" si="8"/>
        <v>2014</v>
      </c>
      <c r="C309" s="3">
        <f t="shared" si="9"/>
        <v>9</v>
      </c>
      <c r="D309" t="s">
        <v>485</v>
      </c>
      <c r="E309" t="s">
        <v>131</v>
      </c>
      <c r="F309" t="s">
        <v>28</v>
      </c>
      <c r="G309" t="s">
        <v>38</v>
      </c>
      <c r="H309" t="s">
        <v>486</v>
      </c>
      <c r="I309" s="2">
        <v>264.32</v>
      </c>
      <c r="J309" s="3">
        <v>2</v>
      </c>
      <c r="K309" s="2">
        <v>19.82</v>
      </c>
    </row>
    <row r="310" spans="1:11" x14ac:dyDescent="0.35">
      <c r="A310" s="1">
        <v>41887</v>
      </c>
      <c r="B310" s="3">
        <f t="shared" si="8"/>
        <v>2014</v>
      </c>
      <c r="C310" s="3">
        <f t="shared" si="9"/>
        <v>9</v>
      </c>
      <c r="D310" t="s">
        <v>487</v>
      </c>
      <c r="E310" t="s">
        <v>77</v>
      </c>
      <c r="F310" t="s">
        <v>18</v>
      </c>
      <c r="G310" t="s">
        <v>36</v>
      </c>
      <c r="H310" t="s">
        <v>488</v>
      </c>
      <c r="I310" s="2">
        <v>31.98</v>
      </c>
      <c r="J310" s="3">
        <v>2</v>
      </c>
      <c r="K310" s="2">
        <v>2</v>
      </c>
    </row>
    <row r="311" spans="1:11" x14ac:dyDescent="0.35">
      <c r="A311" s="1">
        <v>41917</v>
      </c>
      <c r="B311" s="3">
        <f t="shared" si="8"/>
        <v>2014</v>
      </c>
      <c r="C311" s="3">
        <f t="shared" si="9"/>
        <v>10</v>
      </c>
      <c r="D311" t="s">
        <v>489</v>
      </c>
      <c r="E311" t="s">
        <v>131</v>
      </c>
      <c r="F311" t="s">
        <v>28</v>
      </c>
      <c r="G311" t="s">
        <v>58</v>
      </c>
      <c r="H311" t="s">
        <v>490</v>
      </c>
      <c r="I311" s="2">
        <v>91.92</v>
      </c>
      <c r="J311" s="3">
        <v>5</v>
      </c>
      <c r="K311" s="2">
        <v>11.49</v>
      </c>
    </row>
    <row r="312" spans="1:11" x14ac:dyDescent="0.35">
      <c r="A312" s="1">
        <v>41917</v>
      </c>
      <c r="B312" s="3">
        <f t="shared" si="8"/>
        <v>2014</v>
      </c>
      <c r="C312" s="3">
        <f t="shared" si="9"/>
        <v>10</v>
      </c>
      <c r="D312" t="s">
        <v>491</v>
      </c>
      <c r="E312" t="s">
        <v>45</v>
      </c>
      <c r="F312" t="s">
        <v>13</v>
      </c>
      <c r="G312" t="s">
        <v>14</v>
      </c>
      <c r="H312" t="s">
        <v>492</v>
      </c>
      <c r="I312" s="2">
        <v>99.98</v>
      </c>
      <c r="J312" s="3">
        <v>2</v>
      </c>
      <c r="K312" s="2">
        <v>34.99</v>
      </c>
    </row>
    <row r="313" spans="1:11" x14ac:dyDescent="0.35">
      <c r="A313" s="1">
        <v>41948</v>
      </c>
      <c r="B313" s="3">
        <f t="shared" si="8"/>
        <v>2014</v>
      </c>
      <c r="C313" s="3">
        <f t="shared" si="9"/>
        <v>11</v>
      </c>
      <c r="D313" t="s">
        <v>493</v>
      </c>
      <c r="E313" t="s">
        <v>45</v>
      </c>
      <c r="F313" t="s">
        <v>18</v>
      </c>
      <c r="G313" t="s">
        <v>36</v>
      </c>
      <c r="H313" t="s">
        <v>494</v>
      </c>
      <c r="I313" s="2">
        <v>20.04</v>
      </c>
      <c r="J313" s="3">
        <v>6</v>
      </c>
      <c r="K313" s="2">
        <v>8.82</v>
      </c>
    </row>
    <row r="314" spans="1:11" x14ac:dyDescent="0.35">
      <c r="A314" s="1">
        <v>41948</v>
      </c>
      <c r="B314" s="3">
        <f t="shared" si="8"/>
        <v>2014</v>
      </c>
      <c r="C314" s="3">
        <f t="shared" si="9"/>
        <v>11</v>
      </c>
      <c r="D314" t="s">
        <v>495</v>
      </c>
      <c r="E314" t="s">
        <v>173</v>
      </c>
      <c r="F314" t="s">
        <v>13</v>
      </c>
      <c r="G314" t="s">
        <v>14</v>
      </c>
      <c r="H314" t="s">
        <v>496</v>
      </c>
      <c r="I314" s="2">
        <v>47.79</v>
      </c>
      <c r="J314" s="3">
        <v>3</v>
      </c>
      <c r="K314" s="2">
        <v>16.25</v>
      </c>
    </row>
    <row r="315" spans="1:11" x14ac:dyDescent="0.35">
      <c r="A315" s="1">
        <v>41948</v>
      </c>
      <c r="B315" s="3">
        <f t="shared" si="8"/>
        <v>2014</v>
      </c>
      <c r="C315" s="3">
        <f t="shared" si="9"/>
        <v>11</v>
      </c>
      <c r="D315" t="s">
        <v>497</v>
      </c>
      <c r="E315" t="s">
        <v>89</v>
      </c>
      <c r="F315" t="s">
        <v>18</v>
      </c>
      <c r="G315" t="s">
        <v>36</v>
      </c>
      <c r="H315" t="s">
        <v>331</v>
      </c>
      <c r="I315" s="2">
        <v>273.57</v>
      </c>
      <c r="J315" s="3">
        <v>2</v>
      </c>
      <c r="K315" s="2">
        <v>-34.200000000000003</v>
      </c>
    </row>
    <row r="316" spans="1:11" x14ac:dyDescent="0.35">
      <c r="A316" s="1">
        <v>41948</v>
      </c>
      <c r="B316" s="3">
        <f t="shared" si="8"/>
        <v>2014</v>
      </c>
      <c r="C316" s="3">
        <f t="shared" si="9"/>
        <v>11</v>
      </c>
      <c r="D316" t="s">
        <v>497</v>
      </c>
      <c r="E316" t="s">
        <v>89</v>
      </c>
      <c r="F316" t="s">
        <v>28</v>
      </c>
      <c r="G316" t="s">
        <v>48</v>
      </c>
      <c r="H316" t="s">
        <v>498</v>
      </c>
      <c r="I316" s="2">
        <v>13.19</v>
      </c>
      <c r="J316" s="3">
        <v>2</v>
      </c>
      <c r="K316" s="2">
        <v>-8.8000000000000007</v>
      </c>
    </row>
    <row r="317" spans="1:11" x14ac:dyDescent="0.35">
      <c r="A317" s="1">
        <v>41948</v>
      </c>
      <c r="B317" s="3">
        <f t="shared" si="8"/>
        <v>2014</v>
      </c>
      <c r="C317" s="3">
        <f t="shared" si="9"/>
        <v>11</v>
      </c>
      <c r="D317" t="s">
        <v>497</v>
      </c>
      <c r="E317" t="s">
        <v>89</v>
      </c>
      <c r="F317" t="s">
        <v>28</v>
      </c>
      <c r="G317" t="s">
        <v>38</v>
      </c>
      <c r="H317" t="s">
        <v>499</v>
      </c>
      <c r="I317" s="2">
        <v>1080.0999999999999</v>
      </c>
      <c r="J317" s="3">
        <v>6</v>
      </c>
      <c r="K317" s="2">
        <v>-94.51</v>
      </c>
    </row>
    <row r="318" spans="1:11" x14ac:dyDescent="0.35">
      <c r="A318" s="1">
        <v>41948</v>
      </c>
      <c r="B318" s="3">
        <f t="shared" si="8"/>
        <v>2014</v>
      </c>
      <c r="C318" s="3">
        <f t="shared" si="9"/>
        <v>11</v>
      </c>
      <c r="D318" t="s">
        <v>497</v>
      </c>
      <c r="E318" t="s">
        <v>89</v>
      </c>
      <c r="F318" t="s">
        <v>13</v>
      </c>
      <c r="G318" t="s">
        <v>14</v>
      </c>
      <c r="H318" t="s">
        <v>500</v>
      </c>
      <c r="I318" s="2">
        <v>51.56</v>
      </c>
      <c r="J318" s="3">
        <v>5</v>
      </c>
      <c r="K318" s="2">
        <v>-6.45</v>
      </c>
    </row>
    <row r="319" spans="1:11" x14ac:dyDescent="0.35">
      <c r="A319" s="1">
        <v>41948</v>
      </c>
      <c r="B319" s="3">
        <f t="shared" si="8"/>
        <v>2014</v>
      </c>
      <c r="C319" s="3">
        <f t="shared" si="9"/>
        <v>11</v>
      </c>
      <c r="D319" t="s">
        <v>497</v>
      </c>
      <c r="E319" t="s">
        <v>89</v>
      </c>
      <c r="F319" t="s">
        <v>13</v>
      </c>
      <c r="G319" t="s">
        <v>14</v>
      </c>
      <c r="H319" t="s">
        <v>501</v>
      </c>
      <c r="I319" s="2">
        <v>58.42</v>
      </c>
      <c r="J319" s="3">
        <v>2</v>
      </c>
      <c r="K319" s="2">
        <v>16.79</v>
      </c>
    </row>
    <row r="320" spans="1:11" x14ac:dyDescent="0.35">
      <c r="A320" s="1">
        <v>41948</v>
      </c>
      <c r="B320" s="3">
        <f t="shared" si="8"/>
        <v>2014</v>
      </c>
      <c r="C320" s="3">
        <f t="shared" si="9"/>
        <v>11</v>
      </c>
      <c r="D320" t="s">
        <v>502</v>
      </c>
      <c r="E320" t="s">
        <v>173</v>
      </c>
      <c r="F320" t="s">
        <v>18</v>
      </c>
      <c r="G320" t="s">
        <v>19</v>
      </c>
      <c r="H320" t="s">
        <v>252</v>
      </c>
      <c r="I320" s="2">
        <v>149.9</v>
      </c>
      <c r="J320" s="3">
        <v>5</v>
      </c>
      <c r="K320" s="2">
        <v>40.47</v>
      </c>
    </row>
    <row r="321" spans="1:11" x14ac:dyDescent="0.35">
      <c r="A321" s="1">
        <v>41978</v>
      </c>
      <c r="B321" s="3">
        <f t="shared" si="8"/>
        <v>2014</v>
      </c>
      <c r="C321" s="3">
        <f t="shared" si="9"/>
        <v>12</v>
      </c>
      <c r="D321" t="s">
        <v>503</v>
      </c>
      <c r="E321" t="s">
        <v>211</v>
      </c>
      <c r="F321" t="s">
        <v>28</v>
      </c>
      <c r="G321" t="s">
        <v>64</v>
      </c>
      <c r="H321" t="s">
        <v>504</v>
      </c>
      <c r="I321" s="2">
        <v>1113.02</v>
      </c>
      <c r="J321" s="3">
        <v>8</v>
      </c>
      <c r="K321" s="2">
        <v>111.3</v>
      </c>
    </row>
    <row r="322" spans="1:11" x14ac:dyDescent="0.35">
      <c r="A322" s="1">
        <v>41978</v>
      </c>
      <c r="B322" s="3">
        <f t="shared" ref="B322:B385" si="10">YEAR(A322)</f>
        <v>2014</v>
      </c>
      <c r="C322" s="3">
        <f t="shared" ref="C322:C385" si="11">MONTH(A322)</f>
        <v>12</v>
      </c>
      <c r="D322" t="s">
        <v>503</v>
      </c>
      <c r="E322" t="s">
        <v>211</v>
      </c>
      <c r="F322" t="s">
        <v>13</v>
      </c>
      <c r="G322" t="s">
        <v>23</v>
      </c>
      <c r="H322" t="s">
        <v>505</v>
      </c>
      <c r="I322" s="2">
        <v>167.97</v>
      </c>
      <c r="J322" s="3">
        <v>4</v>
      </c>
      <c r="K322" s="2">
        <v>62.99</v>
      </c>
    </row>
    <row r="323" spans="1:11" x14ac:dyDescent="0.35">
      <c r="A323" s="1">
        <v>41978</v>
      </c>
      <c r="B323" s="3">
        <f t="shared" si="10"/>
        <v>2014</v>
      </c>
      <c r="C323" s="3">
        <f t="shared" si="11"/>
        <v>12</v>
      </c>
      <c r="D323" t="s">
        <v>506</v>
      </c>
      <c r="E323" t="s">
        <v>26</v>
      </c>
      <c r="F323" t="s">
        <v>28</v>
      </c>
      <c r="G323" t="s">
        <v>38</v>
      </c>
      <c r="H323" t="s">
        <v>438</v>
      </c>
      <c r="I323" s="2">
        <v>24.82</v>
      </c>
      <c r="J323" s="3">
        <v>2</v>
      </c>
      <c r="K323" s="2">
        <v>1.86</v>
      </c>
    </row>
    <row r="324" spans="1:11" x14ac:dyDescent="0.35">
      <c r="A324" s="1">
        <v>41978</v>
      </c>
      <c r="B324" s="3">
        <f t="shared" si="10"/>
        <v>2014</v>
      </c>
      <c r="C324" s="3">
        <f t="shared" si="11"/>
        <v>12</v>
      </c>
      <c r="D324" t="s">
        <v>506</v>
      </c>
      <c r="E324" t="s">
        <v>26</v>
      </c>
      <c r="F324" t="s">
        <v>13</v>
      </c>
      <c r="G324" t="s">
        <v>14</v>
      </c>
      <c r="H324" t="s">
        <v>507</v>
      </c>
      <c r="I324" s="2">
        <v>408.74</v>
      </c>
      <c r="J324" s="3">
        <v>7</v>
      </c>
      <c r="K324" s="2">
        <v>76.64</v>
      </c>
    </row>
    <row r="325" spans="1:11" x14ac:dyDescent="0.35">
      <c r="A325" s="1">
        <v>41978</v>
      </c>
      <c r="B325" s="3">
        <f t="shared" si="10"/>
        <v>2014</v>
      </c>
      <c r="C325" s="3">
        <f t="shared" si="11"/>
        <v>12</v>
      </c>
      <c r="D325" t="s">
        <v>508</v>
      </c>
      <c r="E325" t="s">
        <v>173</v>
      </c>
      <c r="F325" t="s">
        <v>28</v>
      </c>
      <c r="G325" t="s">
        <v>38</v>
      </c>
      <c r="H325" t="s">
        <v>509</v>
      </c>
      <c r="I325" s="2">
        <v>24.56</v>
      </c>
      <c r="J325" s="3">
        <v>2</v>
      </c>
      <c r="K325" s="2">
        <v>6.88</v>
      </c>
    </row>
    <row r="326" spans="1:11" x14ac:dyDescent="0.35">
      <c r="A326" s="1">
        <v>41978</v>
      </c>
      <c r="B326" s="3">
        <f t="shared" si="10"/>
        <v>2014</v>
      </c>
      <c r="C326" s="3">
        <f t="shared" si="11"/>
        <v>12</v>
      </c>
      <c r="D326" t="s">
        <v>510</v>
      </c>
      <c r="E326" t="s">
        <v>89</v>
      </c>
      <c r="F326" t="s">
        <v>28</v>
      </c>
      <c r="G326" t="s">
        <v>158</v>
      </c>
      <c r="H326" t="s">
        <v>511</v>
      </c>
      <c r="I326" s="2">
        <v>348.49</v>
      </c>
      <c r="J326" s="3">
        <v>7</v>
      </c>
      <c r="K326" s="2">
        <v>117.61</v>
      </c>
    </row>
    <row r="327" spans="1:11" x14ac:dyDescent="0.35">
      <c r="A327" s="1">
        <v>41978</v>
      </c>
      <c r="B327" s="3">
        <f t="shared" si="10"/>
        <v>2014</v>
      </c>
      <c r="C327" s="3">
        <f t="shared" si="11"/>
        <v>12</v>
      </c>
      <c r="D327" t="s">
        <v>510</v>
      </c>
      <c r="E327" t="s">
        <v>89</v>
      </c>
      <c r="F327" t="s">
        <v>28</v>
      </c>
      <c r="G327" t="s">
        <v>38</v>
      </c>
      <c r="H327" t="s">
        <v>39</v>
      </c>
      <c r="I327" s="2">
        <v>172.74</v>
      </c>
      <c r="J327" s="3">
        <v>4</v>
      </c>
      <c r="K327" s="2">
        <v>-30.23</v>
      </c>
    </row>
    <row r="328" spans="1:11" x14ac:dyDescent="0.35">
      <c r="A328" s="1">
        <v>41978</v>
      </c>
      <c r="B328" s="3">
        <f t="shared" si="10"/>
        <v>2014</v>
      </c>
      <c r="C328" s="3">
        <f t="shared" si="11"/>
        <v>12</v>
      </c>
      <c r="D328" t="s">
        <v>130</v>
      </c>
      <c r="E328" t="s">
        <v>131</v>
      </c>
      <c r="F328" t="s">
        <v>28</v>
      </c>
      <c r="G328" t="s">
        <v>29</v>
      </c>
      <c r="H328" t="s">
        <v>512</v>
      </c>
      <c r="I328" s="2">
        <v>98.38</v>
      </c>
      <c r="J328" s="3">
        <v>3</v>
      </c>
      <c r="K328" s="2">
        <v>35.659999999999997</v>
      </c>
    </row>
    <row r="329" spans="1:11" x14ac:dyDescent="0.35">
      <c r="A329" s="1">
        <v>41978</v>
      </c>
      <c r="B329" s="3">
        <f t="shared" si="10"/>
        <v>2014</v>
      </c>
      <c r="C329" s="3">
        <f t="shared" si="11"/>
        <v>12</v>
      </c>
      <c r="D329" t="s">
        <v>130</v>
      </c>
      <c r="E329" t="s">
        <v>131</v>
      </c>
      <c r="F329" t="s">
        <v>28</v>
      </c>
      <c r="G329" t="s">
        <v>48</v>
      </c>
      <c r="H329" t="s">
        <v>513</v>
      </c>
      <c r="I329" s="2">
        <v>29.94</v>
      </c>
      <c r="J329" s="3">
        <v>4</v>
      </c>
      <c r="K329" s="2">
        <v>-23.95</v>
      </c>
    </row>
    <row r="330" spans="1:11" x14ac:dyDescent="0.35">
      <c r="A330" s="1">
        <v>41978</v>
      </c>
      <c r="B330" s="3">
        <f t="shared" si="10"/>
        <v>2014</v>
      </c>
      <c r="C330" s="3">
        <f t="shared" si="11"/>
        <v>12</v>
      </c>
      <c r="D330" t="s">
        <v>130</v>
      </c>
      <c r="E330" t="s">
        <v>131</v>
      </c>
      <c r="F330" t="s">
        <v>28</v>
      </c>
      <c r="G330" t="s">
        <v>29</v>
      </c>
      <c r="H330" t="s">
        <v>30</v>
      </c>
      <c r="I330" s="2">
        <v>17.47</v>
      </c>
      <c r="J330" s="3">
        <v>3</v>
      </c>
      <c r="K330" s="2">
        <v>5.68</v>
      </c>
    </row>
    <row r="331" spans="1:11" x14ac:dyDescent="0.35">
      <c r="A331" s="1">
        <v>41978</v>
      </c>
      <c r="B331" s="3">
        <f t="shared" si="10"/>
        <v>2014</v>
      </c>
      <c r="C331" s="3">
        <f t="shared" si="11"/>
        <v>12</v>
      </c>
      <c r="D331" t="s">
        <v>130</v>
      </c>
      <c r="E331" t="s">
        <v>131</v>
      </c>
      <c r="F331" t="s">
        <v>13</v>
      </c>
      <c r="G331" t="s">
        <v>23</v>
      </c>
      <c r="H331" t="s">
        <v>514</v>
      </c>
      <c r="I331" s="2">
        <v>36.74</v>
      </c>
      <c r="J331" s="3">
        <v>1</v>
      </c>
      <c r="K331" s="2">
        <v>-9.18</v>
      </c>
    </row>
    <row r="332" spans="1:11" x14ac:dyDescent="0.35">
      <c r="A332" s="1">
        <v>41978</v>
      </c>
      <c r="B332" s="3">
        <f t="shared" si="10"/>
        <v>2014</v>
      </c>
      <c r="C332" s="3">
        <f t="shared" si="11"/>
        <v>12</v>
      </c>
      <c r="D332" t="s">
        <v>130</v>
      </c>
      <c r="E332" t="s">
        <v>131</v>
      </c>
      <c r="F332" t="s">
        <v>13</v>
      </c>
      <c r="G332" t="s">
        <v>23</v>
      </c>
      <c r="H332" t="s">
        <v>515</v>
      </c>
      <c r="I332" s="2">
        <v>179.94</v>
      </c>
      <c r="J332" s="3">
        <v>2</v>
      </c>
      <c r="K332" s="2">
        <v>-44.99</v>
      </c>
    </row>
    <row r="333" spans="1:11" x14ac:dyDescent="0.35">
      <c r="A333" s="1">
        <v>41978</v>
      </c>
      <c r="B333" s="3">
        <f t="shared" si="10"/>
        <v>2014</v>
      </c>
      <c r="C333" s="3">
        <f t="shared" si="11"/>
        <v>12</v>
      </c>
      <c r="D333" t="s">
        <v>516</v>
      </c>
      <c r="E333" t="s">
        <v>45</v>
      </c>
      <c r="F333" t="s">
        <v>28</v>
      </c>
      <c r="G333" t="s">
        <v>64</v>
      </c>
      <c r="H333" t="s">
        <v>517</v>
      </c>
      <c r="I333" s="2">
        <v>26.46</v>
      </c>
      <c r="J333" s="3">
        <v>9</v>
      </c>
      <c r="K333" s="2">
        <v>11.91</v>
      </c>
    </row>
    <row r="334" spans="1:11" x14ac:dyDescent="0.35">
      <c r="A334" s="1">
        <v>41978</v>
      </c>
      <c r="B334" s="3">
        <f t="shared" si="10"/>
        <v>2014</v>
      </c>
      <c r="C334" s="3">
        <f t="shared" si="11"/>
        <v>12</v>
      </c>
      <c r="D334" t="s">
        <v>516</v>
      </c>
      <c r="E334" t="s">
        <v>45</v>
      </c>
      <c r="F334" t="s">
        <v>28</v>
      </c>
      <c r="G334" t="s">
        <v>29</v>
      </c>
      <c r="H334" t="s">
        <v>449</v>
      </c>
      <c r="I334" s="2">
        <v>49.12</v>
      </c>
      <c r="J334" s="3">
        <v>4</v>
      </c>
      <c r="K334" s="2">
        <v>23.09</v>
      </c>
    </row>
    <row r="335" spans="1:11" x14ac:dyDescent="0.35">
      <c r="A335" s="1">
        <v>41978</v>
      </c>
      <c r="B335" s="3">
        <f t="shared" si="10"/>
        <v>2014</v>
      </c>
      <c r="C335" s="3">
        <f t="shared" si="11"/>
        <v>12</v>
      </c>
      <c r="D335" t="s">
        <v>516</v>
      </c>
      <c r="E335" t="s">
        <v>45</v>
      </c>
      <c r="F335" t="s">
        <v>28</v>
      </c>
      <c r="G335" t="s">
        <v>33</v>
      </c>
      <c r="H335" t="s">
        <v>518</v>
      </c>
      <c r="I335" s="2">
        <v>15</v>
      </c>
      <c r="J335" s="3">
        <v>3</v>
      </c>
      <c r="K335" s="2">
        <v>7.2</v>
      </c>
    </row>
    <row r="336" spans="1:11" x14ac:dyDescent="0.35">
      <c r="A336" s="1">
        <v>41978</v>
      </c>
      <c r="B336" s="3">
        <f t="shared" si="10"/>
        <v>2014</v>
      </c>
      <c r="C336" s="3">
        <f t="shared" si="11"/>
        <v>12</v>
      </c>
      <c r="D336" t="s">
        <v>519</v>
      </c>
      <c r="E336" t="s">
        <v>45</v>
      </c>
      <c r="F336" t="s">
        <v>28</v>
      </c>
      <c r="G336" t="s">
        <v>58</v>
      </c>
      <c r="H336" t="s">
        <v>520</v>
      </c>
      <c r="I336" s="2">
        <v>250.26</v>
      </c>
      <c r="J336" s="3">
        <v>6</v>
      </c>
      <c r="K336" s="2">
        <v>72.58</v>
      </c>
    </row>
    <row r="337" spans="1:11" x14ac:dyDescent="0.35">
      <c r="A337" s="1">
        <v>41645</v>
      </c>
      <c r="B337" s="3">
        <f t="shared" si="10"/>
        <v>2014</v>
      </c>
      <c r="C337" s="3">
        <f t="shared" si="11"/>
        <v>1</v>
      </c>
      <c r="D337" t="s">
        <v>521</v>
      </c>
      <c r="E337" t="s">
        <v>45</v>
      </c>
      <c r="F337" t="s">
        <v>28</v>
      </c>
      <c r="G337" t="s">
        <v>29</v>
      </c>
      <c r="H337" t="s">
        <v>522</v>
      </c>
      <c r="I337" s="2">
        <v>19.440000000000001</v>
      </c>
      <c r="J337" s="3">
        <v>3</v>
      </c>
      <c r="K337" s="2">
        <v>9.33</v>
      </c>
    </row>
    <row r="338" spans="1:11" x14ac:dyDescent="0.35">
      <c r="A338" s="1">
        <v>41645</v>
      </c>
      <c r="B338" s="3">
        <f t="shared" si="10"/>
        <v>2014</v>
      </c>
      <c r="C338" s="3">
        <f t="shared" si="11"/>
        <v>1</v>
      </c>
      <c r="D338" t="s">
        <v>117</v>
      </c>
      <c r="E338" t="s">
        <v>165</v>
      </c>
      <c r="F338" t="s">
        <v>28</v>
      </c>
      <c r="G338" t="s">
        <v>64</v>
      </c>
      <c r="H338" t="s">
        <v>523</v>
      </c>
      <c r="I338" s="2">
        <v>12.78</v>
      </c>
      <c r="J338" s="3">
        <v>3</v>
      </c>
      <c r="K338" s="2">
        <v>5.24</v>
      </c>
    </row>
    <row r="339" spans="1:11" x14ac:dyDescent="0.35">
      <c r="A339" s="1">
        <v>41645</v>
      </c>
      <c r="B339" s="3">
        <f t="shared" si="10"/>
        <v>2014</v>
      </c>
      <c r="C339" s="3">
        <f t="shared" si="11"/>
        <v>1</v>
      </c>
      <c r="D339" t="s">
        <v>524</v>
      </c>
      <c r="E339" t="s">
        <v>118</v>
      </c>
      <c r="F339" t="s">
        <v>18</v>
      </c>
      <c r="G339" t="s">
        <v>19</v>
      </c>
      <c r="H339" t="s">
        <v>20</v>
      </c>
      <c r="I339" s="2">
        <v>2573.8200000000002</v>
      </c>
      <c r="J339" s="3">
        <v>9</v>
      </c>
      <c r="K339" s="2">
        <v>746.41</v>
      </c>
    </row>
    <row r="340" spans="1:11" x14ac:dyDescent="0.35">
      <c r="A340" s="1">
        <v>41645</v>
      </c>
      <c r="B340" s="3">
        <f t="shared" si="10"/>
        <v>2014</v>
      </c>
      <c r="C340" s="3">
        <f t="shared" si="11"/>
        <v>1</v>
      </c>
      <c r="D340" t="s">
        <v>524</v>
      </c>
      <c r="E340" t="s">
        <v>118</v>
      </c>
      <c r="F340" t="s">
        <v>28</v>
      </c>
      <c r="G340" t="s">
        <v>48</v>
      </c>
      <c r="H340" t="s">
        <v>525</v>
      </c>
      <c r="I340" s="2">
        <v>609.98</v>
      </c>
      <c r="J340" s="3">
        <v>2</v>
      </c>
      <c r="K340" s="2">
        <v>274.49</v>
      </c>
    </row>
    <row r="341" spans="1:11" x14ac:dyDescent="0.35">
      <c r="A341" s="1">
        <v>41645</v>
      </c>
      <c r="B341" s="3">
        <f t="shared" si="10"/>
        <v>2014</v>
      </c>
      <c r="C341" s="3">
        <f t="shared" si="11"/>
        <v>1</v>
      </c>
      <c r="D341" t="s">
        <v>524</v>
      </c>
      <c r="E341" t="s">
        <v>118</v>
      </c>
      <c r="F341" t="s">
        <v>28</v>
      </c>
      <c r="G341" t="s">
        <v>64</v>
      </c>
      <c r="H341" t="s">
        <v>526</v>
      </c>
      <c r="I341" s="2">
        <v>5.48</v>
      </c>
      <c r="J341" s="3">
        <v>2</v>
      </c>
      <c r="K341" s="2">
        <v>1.48</v>
      </c>
    </row>
    <row r="342" spans="1:11" x14ac:dyDescent="0.35">
      <c r="A342" s="1">
        <v>41645</v>
      </c>
      <c r="B342" s="3">
        <f t="shared" si="10"/>
        <v>2014</v>
      </c>
      <c r="C342" s="3">
        <f t="shared" si="11"/>
        <v>1</v>
      </c>
      <c r="D342" t="s">
        <v>524</v>
      </c>
      <c r="E342" t="s">
        <v>118</v>
      </c>
      <c r="F342" t="s">
        <v>13</v>
      </c>
      <c r="G342" t="s">
        <v>23</v>
      </c>
      <c r="H342" t="s">
        <v>527</v>
      </c>
      <c r="I342" s="2">
        <v>391.98</v>
      </c>
      <c r="J342" s="3">
        <v>2</v>
      </c>
      <c r="K342" s="2">
        <v>113.67</v>
      </c>
    </row>
    <row r="343" spans="1:11" x14ac:dyDescent="0.35">
      <c r="A343" s="1">
        <v>41645</v>
      </c>
      <c r="B343" s="3">
        <f t="shared" si="10"/>
        <v>2014</v>
      </c>
      <c r="C343" s="3">
        <f t="shared" si="11"/>
        <v>1</v>
      </c>
      <c r="D343" t="s">
        <v>524</v>
      </c>
      <c r="E343" t="s">
        <v>118</v>
      </c>
      <c r="F343" t="s">
        <v>13</v>
      </c>
      <c r="G343" t="s">
        <v>23</v>
      </c>
      <c r="H343" t="s">
        <v>528</v>
      </c>
      <c r="I343" s="2">
        <v>755.96</v>
      </c>
      <c r="J343" s="3">
        <v>4</v>
      </c>
      <c r="K343" s="2">
        <v>204.11</v>
      </c>
    </row>
    <row r="344" spans="1:11" x14ac:dyDescent="0.35">
      <c r="A344" s="1">
        <v>41645</v>
      </c>
      <c r="B344" s="3">
        <f t="shared" si="10"/>
        <v>2014</v>
      </c>
      <c r="C344" s="3">
        <f t="shared" si="11"/>
        <v>1</v>
      </c>
      <c r="D344" t="s">
        <v>524</v>
      </c>
      <c r="E344" t="s">
        <v>118</v>
      </c>
      <c r="F344" t="s">
        <v>28</v>
      </c>
      <c r="G344" t="s">
        <v>33</v>
      </c>
      <c r="H344" t="s">
        <v>529</v>
      </c>
      <c r="I344" s="2">
        <v>31.12</v>
      </c>
      <c r="J344" s="3">
        <v>4</v>
      </c>
      <c r="K344" s="2">
        <v>0.31</v>
      </c>
    </row>
    <row r="345" spans="1:11" x14ac:dyDescent="0.35">
      <c r="A345" s="1">
        <v>41645</v>
      </c>
      <c r="B345" s="3">
        <f t="shared" si="10"/>
        <v>2014</v>
      </c>
      <c r="C345" s="3">
        <f t="shared" si="11"/>
        <v>1</v>
      </c>
      <c r="D345" t="s">
        <v>524</v>
      </c>
      <c r="E345" t="s">
        <v>118</v>
      </c>
      <c r="F345" t="s">
        <v>28</v>
      </c>
      <c r="G345" t="s">
        <v>29</v>
      </c>
      <c r="H345" t="s">
        <v>530</v>
      </c>
      <c r="I345" s="2">
        <v>6.54</v>
      </c>
      <c r="J345" s="3">
        <v>1</v>
      </c>
      <c r="K345" s="2">
        <v>3.01</v>
      </c>
    </row>
    <row r="346" spans="1:11" x14ac:dyDescent="0.35">
      <c r="A346" s="1">
        <v>41676</v>
      </c>
      <c r="B346" s="3">
        <f t="shared" si="10"/>
        <v>2014</v>
      </c>
      <c r="C346" s="3">
        <f t="shared" si="11"/>
        <v>2</v>
      </c>
      <c r="D346" t="s">
        <v>531</v>
      </c>
      <c r="E346" t="s">
        <v>173</v>
      </c>
      <c r="F346" t="s">
        <v>28</v>
      </c>
      <c r="G346" t="s">
        <v>46</v>
      </c>
      <c r="H346" t="s">
        <v>532</v>
      </c>
      <c r="I346" s="2">
        <v>15</v>
      </c>
      <c r="J346" s="3">
        <v>4</v>
      </c>
      <c r="K346" s="2">
        <v>7.2</v>
      </c>
    </row>
    <row r="347" spans="1:11" x14ac:dyDescent="0.35">
      <c r="A347" s="1">
        <v>41676</v>
      </c>
      <c r="B347" s="3">
        <f t="shared" si="10"/>
        <v>2014</v>
      </c>
      <c r="C347" s="3">
        <f t="shared" si="11"/>
        <v>2</v>
      </c>
      <c r="D347" t="s">
        <v>531</v>
      </c>
      <c r="E347" t="s">
        <v>173</v>
      </c>
      <c r="F347" t="s">
        <v>13</v>
      </c>
      <c r="G347" t="s">
        <v>23</v>
      </c>
      <c r="H347" t="s">
        <v>533</v>
      </c>
      <c r="I347" s="2">
        <v>161.61000000000001</v>
      </c>
      <c r="J347" s="3">
        <v>1</v>
      </c>
      <c r="K347" s="2">
        <v>42.02</v>
      </c>
    </row>
    <row r="348" spans="1:11" x14ac:dyDescent="0.35">
      <c r="A348" s="1">
        <v>41676</v>
      </c>
      <c r="B348" s="3">
        <f t="shared" si="10"/>
        <v>2014</v>
      </c>
      <c r="C348" s="3">
        <f t="shared" si="11"/>
        <v>2</v>
      </c>
      <c r="D348" t="s">
        <v>531</v>
      </c>
      <c r="E348" t="s">
        <v>173</v>
      </c>
      <c r="F348" t="s">
        <v>13</v>
      </c>
      <c r="G348" t="s">
        <v>23</v>
      </c>
      <c r="H348" t="s">
        <v>230</v>
      </c>
      <c r="I348" s="2">
        <v>144.94999999999999</v>
      </c>
      <c r="J348" s="3">
        <v>5</v>
      </c>
      <c r="K348" s="2">
        <v>42.04</v>
      </c>
    </row>
    <row r="349" spans="1:11" x14ac:dyDescent="0.35">
      <c r="A349" s="1">
        <v>41676</v>
      </c>
      <c r="B349" s="3">
        <f t="shared" si="10"/>
        <v>2014</v>
      </c>
      <c r="C349" s="3">
        <f t="shared" si="11"/>
        <v>2</v>
      </c>
      <c r="D349" t="s">
        <v>534</v>
      </c>
      <c r="E349" t="s">
        <v>26</v>
      </c>
      <c r="F349" t="s">
        <v>28</v>
      </c>
      <c r="G349" t="s">
        <v>48</v>
      </c>
      <c r="H349" t="s">
        <v>535</v>
      </c>
      <c r="I349" s="2">
        <v>8.9499999999999993</v>
      </c>
      <c r="J349" s="3">
        <v>2</v>
      </c>
      <c r="K349" s="2">
        <v>-14.77</v>
      </c>
    </row>
    <row r="350" spans="1:11" x14ac:dyDescent="0.35">
      <c r="A350" s="1">
        <v>41735</v>
      </c>
      <c r="B350" s="3">
        <f t="shared" si="10"/>
        <v>2014</v>
      </c>
      <c r="C350" s="3">
        <f t="shared" si="11"/>
        <v>4</v>
      </c>
      <c r="D350" t="s">
        <v>536</v>
      </c>
      <c r="E350" t="s">
        <v>89</v>
      </c>
      <c r="F350" t="s">
        <v>28</v>
      </c>
      <c r="G350" t="s">
        <v>48</v>
      </c>
      <c r="H350" t="s">
        <v>513</v>
      </c>
      <c r="I350" s="2">
        <v>44.91</v>
      </c>
      <c r="J350" s="3">
        <v>6</v>
      </c>
      <c r="K350" s="2">
        <v>-35.93</v>
      </c>
    </row>
    <row r="351" spans="1:11" x14ac:dyDescent="0.35">
      <c r="A351" s="1">
        <v>41735</v>
      </c>
      <c r="B351" s="3">
        <f t="shared" si="10"/>
        <v>2014</v>
      </c>
      <c r="C351" s="3">
        <f t="shared" si="11"/>
        <v>4</v>
      </c>
      <c r="D351" t="s">
        <v>537</v>
      </c>
      <c r="E351" t="s">
        <v>89</v>
      </c>
      <c r="F351" t="s">
        <v>28</v>
      </c>
      <c r="G351" t="s">
        <v>215</v>
      </c>
      <c r="H351" t="s">
        <v>538</v>
      </c>
      <c r="I351" s="2">
        <v>10.3</v>
      </c>
      <c r="J351" s="3">
        <v>1</v>
      </c>
      <c r="K351" s="2">
        <v>-2.19</v>
      </c>
    </row>
    <row r="352" spans="1:11" x14ac:dyDescent="0.35">
      <c r="A352" s="1">
        <v>41735</v>
      </c>
      <c r="B352" s="3">
        <f t="shared" si="10"/>
        <v>2014</v>
      </c>
      <c r="C352" s="3">
        <f t="shared" si="11"/>
        <v>4</v>
      </c>
      <c r="D352" t="s">
        <v>537</v>
      </c>
      <c r="E352" t="s">
        <v>89</v>
      </c>
      <c r="F352" t="s">
        <v>18</v>
      </c>
      <c r="G352" t="s">
        <v>42</v>
      </c>
      <c r="H352" t="s">
        <v>283</v>
      </c>
      <c r="I352" s="2">
        <v>154.76</v>
      </c>
      <c r="J352" s="3">
        <v>3</v>
      </c>
      <c r="K352" s="2">
        <v>-36.11</v>
      </c>
    </row>
    <row r="353" spans="1:11" x14ac:dyDescent="0.35">
      <c r="A353" s="1">
        <v>41735</v>
      </c>
      <c r="B353" s="3">
        <f t="shared" si="10"/>
        <v>2014</v>
      </c>
      <c r="C353" s="3">
        <f t="shared" si="11"/>
        <v>4</v>
      </c>
      <c r="D353" t="s">
        <v>537</v>
      </c>
      <c r="E353" t="s">
        <v>89</v>
      </c>
      <c r="F353" t="s">
        <v>13</v>
      </c>
      <c r="G353" t="s">
        <v>14</v>
      </c>
      <c r="H353" t="s">
        <v>507</v>
      </c>
      <c r="I353" s="2">
        <v>116.78</v>
      </c>
      <c r="J353" s="3">
        <v>2</v>
      </c>
      <c r="K353" s="2">
        <v>21.9</v>
      </c>
    </row>
    <row r="354" spans="1:11" x14ac:dyDescent="0.35">
      <c r="A354" s="1">
        <v>41735</v>
      </c>
      <c r="B354" s="3">
        <f t="shared" si="10"/>
        <v>2014</v>
      </c>
      <c r="C354" s="3">
        <f t="shared" si="11"/>
        <v>4</v>
      </c>
      <c r="D354" t="s">
        <v>539</v>
      </c>
      <c r="E354" t="s">
        <v>17</v>
      </c>
      <c r="F354" t="s">
        <v>18</v>
      </c>
      <c r="G354" t="s">
        <v>42</v>
      </c>
      <c r="H354" t="s">
        <v>540</v>
      </c>
      <c r="I354" s="2">
        <v>653.54999999999995</v>
      </c>
      <c r="J354" s="3">
        <v>3</v>
      </c>
      <c r="K354" s="2">
        <v>111.1</v>
      </c>
    </row>
    <row r="355" spans="1:11" x14ac:dyDescent="0.35">
      <c r="A355" s="1">
        <v>41735</v>
      </c>
      <c r="B355" s="3">
        <f t="shared" si="10"/>
        <v>2014</v>
      </c>
      <c r="C355" s="3">
        <f t="shared" si="11"/>
        <v>4</v>
      </c>
      <c r="D355" t="s">
        <v>539</v>
      </c>
      <c r="E355" t="s">
        <v>17</v>
      </c>
      <c r="F355" t="s">
        <v>13</v>
      </c>
      <c r="G355" t="s">
        <v>14</v>
      </c>
      <c r="H355" t="s">
        <v>541</v>
      </c>
      <c r="I355" s="2">
        <v>33.9</v>
      </c>
      <c r="J355" s="3">
        <v>2</v>
      </c>
      <c r="K355" s="2">
        <v>2.0299999999999998</v>
      </c>
    </row>
    <row r="356" spans="1:11" x14ac:dyDescent="0.35">
      <c r="A356" s="1">
        <v>41735</v>
      </c>
      <c r="B356" s="3">
        <f t="shared" si="10"/>
        <v>2014</v>
      </c>
      <c r="C356" s="3">
        <f t="shared" si="11"/>
        <v>4</v>
      </c>
      <c r="D356" t="s">
        <v>542</v>
      </c>
      <c r="E356" t="s">
        <v>45</v>
      </c>
      <c r="F356" t="s">
        <v>18</v>
      </c>
      <c r="G356" t="s">
        <v>36</v>
      </c>
      <c r="H356" t="s">
        <v>543</v>
      </c>
      <c r="I356" s="2">
        <v>91.96</v>
      </c>
      <c r="J356" s="3">
        <v>2</v>
      </c>
      <c r="K356" s="2">
        <v>15.63</v>
      </c>
    </row>
    <row r="357" spans="1:11" x14ac:dyDescent="0.35">
      <c r="A357" s="1">
        <v>41735</v>
      </c>
      <c r="B357" s="3">
        <f t="shared" si="10"/>
        <v>2014</v>
      </c>
      <c r="C357" s="3">
        <f t="shared" si="11"/>
        <v>4</v>
      </c>
      <c r="D357" t="s">
        <v>542</v>
      </c>
      <c r="E357" t="s">
        <v>45</v>
      </c>
      <c r="F357" t="s">
        <v>18</v>
      </c>
      <c r="G357" t="s">
        <v>36</v>
      </c>
      <c r="H357" t="s">
        <v>544</v>
      </c>
      <c r="I357" s="2">
        <v>33.11</v>
      </c>
      <c r="J357" s="3">
        <v>7</v>
      </c>
      <c r="K357" s="2">
        <v>12.91</v>
      </c>
    </row>
    <row r="358" spans="1:11" x14ac:dyDescent="0.35">
      <c r="A358" s="1">
        <v>41735</v>
      </c>
      <c r="B358" s="3">
        <f t="shared" si="10"/>
        <v>2014</v>
      </c>
      <c r="C358" s="3">
        <f t="shared" si="11"/>
        <v>4</v>
      </c>
      <c r="D358" t="s">
        <v>542</v>
      </c>
      <c r="E358" t="s">
        <v>45</v>
      </c>
      <c r="F358" t="s">
        <v>28</v>
      </c>
      <c r="G358" t="s">
        <v>29</v>
      </c>
      <c r="H358" t="s">
        <v>545</v>
      </c>
      <c r="I358" s="2">
        <v>19.440000000000001</v>
      </c>
      <c r="J358" s="3">
        <v>3</v>
      </c>
      <c r="K358" s="2">
        <v>9.33</v>
      </c>
    </row>
    <row r="359" spans="1:11" x14ac:dyDescent="0.35">
      <c r="A359" s="1">
        <v>41735</v>
      </c>
      <c r="B359" s="3">
        <f t="shared" si="10"/>
        <v>2014</v>
      </c>
      <c r="C359" s="3">
        <f t="shared" si="11"/>
        <v>4</v>
      </c>
      <c r="D359" t="s">
        <v>542</v>
      </c>
      <c r="E359" t="s">
        <v>45</v>
      </c>
      <c r="F359" t="s">
        <v>28</v>
      </c>
      <c r="G359" t="s">
        <v>29</v>
      </c>
      <c r="H359" t="s">
        <v>382</v>
      </c>
      <c r="I359" s="2">
        <v>55.48</v>
      </c>
      <c r="J359" s="3">
        <v>1</v>
      </c>
      <c r="K359" s="2">
        <v>26.63</v>
      </c>
    </row>
    <row r="360" spans="1:11" x14ac:dyDescent="0.35">
      <c r="A360" s="1">
        <v>41735</v>
      </c>
      <c r="B360" s="3">
        <f t="shared" si="10"/>
        <v>2014</v>
      </c>
      <c r="C360" s="3">
        <f t="shared" si="11"/>
        <v>4</v>
      </c>
      <c r="D360" t="s">
        <v>546</v>
      </c>
      <c r="E360" t="s">
        <v>45</v>
      </c>
      <c r="F360" t="s">
        <v>28</v>
      </c>
      <c r="G360" t="s">
        <v>64</v>
      </c>
      <c r="H360" t="s">
        <v>372</v>
      </c>
      <c r="I360" s="2">
        <v>70.95</v>
      </c>
      <c r="J360" s="3">
        <v>3</v>
      </c>
      <c r="K360" s="2">
        <v>18.45</v>
      </c>
    </row>
    <row r="361" spans="1:11" x14ac:dyDescent="0.35">
      <c r="A361" s="1">
        <v>41735</v>
      </c>
      <c r="B361" s="3">
        <f t="shared" si="10"/>
        <v>2014</v>
      </c>
      <c r="C361" s="3">
        <f t="shared" si="11"/>
        <v>4</v>
      </c>
      <c r="D361" t="s">
        <v>546</v>
      </c>
      <c r="E361" t="s">
        <v>45</v>
      </c>
      <c r="F361" t="s">
        <v>28</v>
      </c>
      <c r="G361" t="s">
        <v>48</v>
      </c>
      <c r="H361" t="s">
        <v>547</v>
      </c>
      <c r="I361" s="2">
        <v>65.569999999999993</v>
      </c>
      <c r="J361" s="3">
        <v>2</v>
      </c>
      <c r="K361" s="2">
        <v>23.77</v>
      </c>
    </row>
    <row r="362" spans="1:11" x14ac:dyDescent="0.35">
      <c r="A362" s="1">
        <v>41735</v>
      </c>
      <c r="B362" s="3">
        <f t="shared" si="10"/>
        <v>2014</v>
      </c>
      <c r="C362" s="3">
        <f t="shared" si="11"/>
        <v>4</v>
      </c>
      <c r="D362" t="s">
        <v>546</v>
      </c>
      <c r="E362" t="s">
        <v>45</v>
      </c>
      <c r="F362" t="s">
        <v>13</v>
      </c>
      <c r="G362" t="s">
        <v>14</v>
      </c>
      <c r="H362" t="s">
        <v>228</v>
      </c>
      <c r="I362" s="2">
        <v>299.97000000000003</v>
      </c>
      <c r="J362" s="3">
        <v>3</v>
      </c>
      <c r="K362" s="2">
        <v>131.99</v>
      </c>
    </row>
    <row r="363" spans="1:11" x14ac:dyDescent="0.35">
      <c r="A363" s="1">
        <v>41765</v>
      </c>
      <c r="B363" s="3">
        <f t="shared" si="10"/>
        <v>2014</v>
      </c>
      <c r="C363" s="3">
        <f t="shared" si="11"/>
        <v>5</v>
      </c>
      <c r="D363" t="s">
        <v>548</v>
      </c>
      <c r="E363" t="s">
        <v>45</v>
      </c>
      <c r="F363" t="s">
        <v>28</v>
      </c>
      <c r="G363" t="s">
        <v>48</v>
      </c>
      <c r="H363" t="s">
        <v>498</v>
      </c>
      <c r="I363" s="2">
        <v>140.74</v>
      </c>
      <c r="J363" s="3">
        <v>8</v>
      </c>
      <c r="K363" s="2">
        <v>52.78</v>
      </c>
    </row>
    <row r="364" spans="1:11" x14ac:dyDescent="0.35">
      <c r="A364" s="1">
        <v>41765</v>
      </c>
      <c r="B364" s="3">
        <f t="shared" si="10"/>
        <v>2014</v>
      </c>
      <c r="C364" s="3">
        <f t="shared" si="11"/>
        <v>5</v>
      </c>
      <c r="D364" t="s">
        <v>549</v>
      </c>
      <c r="E364" t="s">
        <v>45</v>
      </c>
      <c r="F364" t="s">
        <v>28</v>
      </c>
      <c r="G364" t="s">
        <v>46</v>
      </c>
      <c r="H364" t="s">
        <v>550</v>
      </c>
      <c r="I364" s="2">
        <v>5.78</v>
      </c>
      <c r="J364" s="3">
        <v>2</v>
      </c>
      <c r="K364" s="2">
        <v>2.72</v>
      </c>
    </row>
    <row r="365" spans="1:11" x14ac:dyDescent="0.35">
      <c r="A365" s="1">
        <v>41765</v>
      </c>
      <c r="B365" s="3">
        <f t="shared" si="10"/>
        <v>2014</v>
      </c>
      <c r="C365" s="3">
        <f t="shared" si="11"/>
        <v>5</v>
      </c>
      <c r="D365" t="s">
        <v>549</v>
      </c>
      <c r="E365" t="s">
        <v>45</v>
      </c>
      <c r="F365" t="s">
        <v>28</v>
      </c>
      <c r="G365" t="s">
        <v>64</v>
      </c>
      <c r="H365" t="s">
        <v>104</v>
      </c>
      <c r="I365" s="2">
        <v>107.94</v>
      </c>
      <c r="J365" s="3">
        <v>6</v>
      </c>
      <c r="K365" s="2">
        <v>30.22</v>
      </c>
    </row>
    <row r="366" spans="1:11" x14ac:dyDescent="0.35">
      <c r="A366" s="1">
        <v>41796</v>
      </c>
      <c r="B366" s="3">
        <f t="shared" si="10"/>
        <v>2014</v>
      </c>
      <c r="C366" s="3">
        <f t="shared" si="11"/>
        <v>6</v>
      </c>
      <c r="D366" t="s">
        <v>208</v>
      </c>
      <c r="E366" t="s">
        <v>22</v>
      </c>
      <c r="F366" t="s">
        <v>28</v>
      </c>
      <c r="G366" t="s">
        <v>64</v>
      </c>
      <c r="H366" t="s">
        <v>551</v>
      </c>
      <c r="I366" s="2">
        <v>13.36</v>
      </c>
      <c r="J366" s="3">
        <v>2</v>
      </c>
      <c r="K366" s="2">
        <v>4.9400000000000004</v>
      </c>
    </row>
    <row r="367" spans="1:11" x14ac:dyDescent="0.35">
      <c r="A367" s="1">
        <v>41796</v>
      </c>
      <c r="B367" s="3">
        <f t="shared" si="10"/>
        <v>2014</v>
      </c>
      <c r="C367" s="3">
        <f t="shared" si="11"/>
        <v>6</v>
      </c>
      <c r="D367" t="s">
        <v>552</v>
      </c>
      <c r="E367" t="s">
        <v>22</v>
      </c>
      <c r="F367" t="s">
        <v>28</v>
      </c>
      <c r="G367" t="s">
        <v>48</v>
      </c>
      <c r="H367" t="s">
        <v>553</v>
      </c>
      <c r="I367" s="2">
        <v>149.54</v>
      </c>
      <c r="J367" s="3">
        <v>9</v>
      </c>
      <c r="K367" s="2">
        <v>50.47</v>
      </c>
    </row>
    <row r="368" spans="1:11" x14ac:dyDescent="0.35">
      <c r="A368" s="1">
        <v>41796</v>
      </c>
      <c r="B368" s="3">
        <f t="shared" si="10"/>
        <v>2014</v>
      </c>
      <c r="C368" s="3">
        <f t="shared" si="11"/>
        <v>6</v>
      </c>
      <c r="D368" t="s">
        <v>552</v>
      </c>
      <c r="E368" t="s">
        <v>22</v>
      </c>
      <c r="F368" t="s">
        <v>28</v>
      </c>
      <c r="G368" t="s">
        <v>215</v>
      </c>
      <c r="H368" t="s">
        <v>554</v>
      </c>
      <c r="I368" s="2">
        <v>17.14</v>
      </c>
      <c r="J368" s="3">
        <v>2</v>
      </c>
      <c r="K368" s="2">
        <v>4.46</v>
      </c>
    </row>
    <row r="369" spans="1:11" x14ac:dyDescent="0.35">
      <c r="A369" s="1">
        <v>41796</v>
      </c>
      <c r="B369" s="3">
        <f t="shared" si="10"/>
        <v>2014</v>
      </c>
      <c r="C369" s="3">
        <f t="shared" si="11"/>
        <v>6</v>
      </c>
      <c r="D369" t="s">
        <v>552</v>
      </c>
      <c r="E369" t="s">
        <v>22</v>
      </c>
      <c r="F369" t="s">
        <v>18</v>
      </c>
      <c r="G369" t="s">
        <v>42</v>
      </c>
      <c r="H369" t="s">
        <v>555</v>
      </c>
      <c r="I369" s="2">
        <v>991.76</v>
      </c>
      <c r="J369" s="3">
        <v>3</v>
      </c>
      <c r="K369" s="2">
        <v>-347.12</v>
      </c>
    </row>
    <row r="370" spans="1:11" x14ac:dyDescent="0.35">
      <c r="A370" s="1">
        <v>41796</v>
      </c>
      <c r="B370" s="3">
        <f t="shared" si="10"/>
        <v>2014</v>
      </c>
      <c r="C370" s="3">
        <f t="shared" si="11"/>
        <v>6</v>
      </c>
      <c r="D370" t="s">
        <v>556</v>
      </c>
      <c r="E370" t="s">
        <v>26</v>
      </c>
      <c r="F370" t="s">
        <v>28</v>
      </c>
      <c r="G370" t="s">
        <v>48</v>
      </c>
      <c r="H370" t="s">
        <v>547</v>
      </c>
      <c r="I370" s="2">
        <v>24.59</v>
      </c>
      <c r="J370" s="3">
        <v>3</v>
      </c>
      <c r="K370" s="2">
        <v>-38.11</v>
      </c>
    </row>
    <row r="371" spans="1:11" x14ac:dyDescent="0.35">
      <c r="A371" s="1">
        <v>41796</v>
      </c>
      <c r="B371" s="3">
        <f t="shared" si="10"/>
        <v>2014</v>
      </c>
      <c r="C371" s="3">
        <f t="shared" si="11"/>
        <v>6</v>
      </c>
      <c r="D371" t="s">
        <v>556</v>
      </c>
      <c r="E371" t="s">
        <v>26</v>
      </c>
      <c r="F371" t="s">
        <v>28</v>
      </c>
      <c r="G371" t="s">
        <v>158</v>
      </c>
      <c r="H371" t="s">
        <v>557</v>
      </c>
      <c r="I371" s="2">
        <v>13.98</v>
      </c>
      <c r="J371" s="3">
        <v>2</v>
      </c>
      <c r="K371" s="2">
        <v>4.72</v>
      </c>
    </row>
    <row r="372" spans="1:11" x14ac:dyDescent="0.35">
      <c r="A372" s="1">
        <v>41796</v>
      </c>
      <c r="B372" s="3">
        <f t="shared" si="10"/>
        <v>2014</v>
      </c>
      <c r="C372" s="3">
        <f t="shared" si="11"/>
        <v>6</v>
      </c>
      <c r="D372" t="s">
        <v>558</v>
      </c>
      <c r="E372" t="s">
        <v>32</v>
      </c>
      <c r="F372" t="s">
        <v>28</v>
      </c>
      <c r="G372" t="s">
        <v>46</v>
      </c>
      <c r="H372" t="s">
        <v>559</v>
      </c>
      <c r="I372" s="2">
        <v>100.24</v>
      </c>
      <c r="J372" s="3">
        <v>10</v>
      </c>
      <c r="K372" s="2">
        <v>33.83</v>
      </c>
    </row>
    <row r="373" spans="1:11" x14ac:dyDescent="0.35">
      <c r="A373" s="1">
        <v>41796</v>
      </c>
      <c r="B373" s="3">
        <f t="shared" si="10"/>
        <v>2014</v>
      </c>
      <c r="C373" s="3">
        <f t="shared" si="11"/>
        <v>6</v>
      </c>
      <c r="D373" t="s">
        <v>182</v>
      </c>
      <c r="E373" t="s">
        <v>77</v>
      </c>
      <c r="F373" t="s">
        <v>28</v>
      </c>
      <c r="G373" t="s">
        <v>48</v>
      </c>
      <c r="H373" t="s">
        <v>560</v>
      </c>
      <c r="I373" s="2">
        <v>1.37</v>
      </c>
      <c r="J373" s="3">
        <v>1</v>
      </c>
      <c r="K373" s="2">
        <v>-0.91</v>
      </c>
    </row>
    <row r="374" spans="1:11" x14ac:dyDescent="0.35">
      <c r="A374" s="1">
        <v>41796</v>
      </c>
      <c r="B374" s="3">
        <f t="shared" si="10"/>
        <v>2014</v>
      </c>
      <c r="C374" s="3">
        <f t="shared" si="11"/>
        <v>6</v>
      </c>
      <c r="D374" t="s">
        <v>182</v>
      </c>
      <c r="E374" t="s">
        <v>77</v>
      </c>
      <c r="F374" t="s">
        <v>28</v>
      </c>
      <c r="G374" t="s">
        <v>29</v>
      </c>
      <c r="H374" t="s">
        <v>561</v>
      </c>
      <c r="I374" s="2">
        <v>62.02</v>
      </c>
      <c r="J374" s="3">
        <v>2</v>
      </c>
      <c r="K374" s="2">
        <v>22.48</v>
      </c>
    </row>
    <row r="375" spans="1:11" x14ac:dyDescent="0.35">
      <c r="A375" s="1">
        <v>41826</v>
      </c>
      <c r="B375" s="3">
        <f t="shared" si="10"/>
        <v>2014</v>
      </c>
      <c r="C375" s="3">
        <f t="shared" si="11"/>
        <v>7</v>
      </c>
      <c r="D375" t="s">
        <v>562</v>
      </c>
      <c r="E375" t="s">
        <v>22</v>
      </c>
      <c r="F375" t="s">
        <v>13</v>
      </c>
      <c r="G375" t="s">
        <v>143</v>
      </c>
      <c r="H375" t="s">
        <v>563</v>
      </c>
      <c r="I375" s="2">
        <v>559.99</v>
      </c>
      <c r="J375" s="3">
        <v>1</v>
      </c>
      <c r="K375" s="2">
        <v>175</v>
      </c>
    </row>
    <row r="376" spans="1:11" x14ac:dyDescent="0.35">
      <c r="A376" s="1">
        <v>41826</v>
      </c>
      <c r="B376" s="3">
        <f t="shared" si="10"/>
        <v>2014</v>
      </c>
      <c r="C376" s="3">
        <f t="shared" si="11"/>
        <v>7</v>
      </c>
      <c r="D376" t="s">
        <v>564</v>
      </c>
      <c r="E376" t="s">
        <v>45</v>
      </c>
      <c r="F376" t="s">
        <v>18</v>
      </c>
      <c r="G376" t="s">
        <v>19</v>
      </c>
      <c r="H376" t="s">
        <v>565</v>
      </c>
      <c r="I376" s="2">
        <v>478.48</v>
      </c>
      <c r="J376" s="3">
        <v>2</v>
      </c>
      <c r="K376" s="2">
        <v>47.85</v>
      </c>
    </row>
    <row r="377" spans="1:11" x14ac:dyDescent="0.35">
      <c r="A377" s="1">
        <v>41857</v>
      </c>
      <c r="B377" s="3">
        <f t="shared" si="10"/>
        <v>2014</v>
      </c>
      <c r="C377" s="3">
        <f t="shared" si="11"/>
        <v>8</v>
      </c>
      <c r="D377" t="s">
        <v>566</v>
      </c>
      <c r="E377" t="s">
        <v>351</v>
      </c>
      <c r="F377" t="s">
        <v>13</v>
      </c>
      <c r="G377" t="s">
        <v>14</v>
      </c>
      <c r="H377" t="s">
        <v>233</v>
      </c>
      <c r="I377" s="2">
        <v>62.91</v>
      </c>
      <c r="J377" s="3">
        <v>3</v>
      </c>
      <c r="K377" s="2">
        <v>22.65</v>
      </c>
    </row>
    <row r="378" spans="1:11" x14ac:dyDescent="0.35">
      <c r="A378" s="1">
        <v>41857</v>
      </c>
      <c r="B378" s="3">
        <f t="shared" si="10"/>
        <v>2014</v>
      </c>
      <c r="C378" s="3">
        <f t="shared" si="11"/>
        <v>8</v>
      </c>
      <c r="D378" t="s">
        <v>567</v>
      </c>
      <c r="E378" t="s">
        <v>22</v>
      </c>
      <c r="F378" t="s">
        <v>13</v>
      </c>
      <c r="G378" t="s">
        <v>14</v>
      </c>
      <c r="H378" t="s">
        <v>568</v>
      </c>
      <c r="I378" s="2">
        <v>199.98</v>
      </c>
      <c r="J378" s="3">
        <v>2</v>
      </c>
      <c r="K378" s="2">
        <v>83.99</v>
      </c>
    </row>
    <row r="379" spans="1:11" x14ac:dyDescent="0.35">
      <c r="A379" s="1">
        <v>41888</v>
      </c>
      <c r="B379" s="3">
        <f t="shared" si="10"/>
        <v>2014</v>
      </c>
      <c r="C379" s="3">
        <f t="shared" si="11"/>
        <v>9</v>
      </c>
      <c r="D379" t="s">
        <v>569</v>
      </c>
      <c r="E379" t="s">
        <v>45</v>
      </c>
      <c r="F379" t="s">
        <v>18</v>
      </c>
      <c r="G379" t="s">
        <v>36</v>
      </c>
      <c r="H379" t="s">
        <v>570</v>
      </c>
      <c r="I379" s="2">
        <v>41.88</v>
      </c>
      <c r="J379" s="3">
        <v>6</v>
      </c>
      <c r="K379" s="2">
        <v>12.15</v>
      </c>
    </row>
    <row r="380" spans="1:11" x14ac:dyDescent="0.35">
      <c r="A380" s="1">
        <v>41888</v>
      </c>
      <c r="B380" s="3">
        <f t="shared" si="10"/>
        <v>2014</v>
      </c>
      <c r="C380" s="3">
        <f t="shared" si="11"/>
        <v>9</v>
      </c>
      <c r="D380" t="s">
        <v>569</v>
      </c>
      <c r="E380" t="s">
        <v>45</v>
      </c>
      <c r="F380" t="s">
        <v>28</v>
      </c>
      <c r="G380" t="s">
        <v>46</v>
      </c>
      <c r="H380" t="s">
        <v>458</v>
      </c>
      <c r="I380" s="2">
        <v>58.48</v>
      </c>
      <c r="J380" s="3">
        <v>8</v>
      </c>
      <c r="K380" s="2">
        <v>27.49</v>
      </c>
    </row>
    <row r="381" spans="1:11" x14ac:dyDescent="0.35">
      <c r="A381" s="1">
        <v>41918</v>
      </c>
      <c r="B381" s="3">
        <f t="shared" si="10"/>
        <v>2014</v>
      </c>
      <c r="C381" s="3">
        <f t="shared" si="11"/>
        <v>10</v>
      </c>
      <c r="D381" t="s">
        <v>571</v>
      </c>
      <c r="E381" t="s">
        <v>45</v>
      </c>
      <c r="F381" t="s">
        <v>13</v>
      </c>
      <c r="G381" t="s">
        <v>14</v>
      </c>
      <c r="H381" t="s">
        <v>572</v>
      </c>
      <c r="I381" s="2">
        <v>9.09</v>
      </c>
      <c r="J381" s="3">
        <v>3</v>
      </c>
      <c r="K381" s="2">
        <v>1.91</v>
      </c>
    </row>
    <row r="382" spans="1:11" x14ac:dyDescent="0.35">
      <c r="A382" s="1">
        <v>41918</v>
      </c>
      <c r="B382" s="3">
        <f t="shared" si="10"/>
        <v>2014</v>
      </c>
      <c r="C382" s="3">
        <f t="shared" si="11"/>
        <v>10</v>
      </c>
      <c r="D382" t="s">
        <v>573</v>
      </c>
      <c r="E382" t="s">
        <v>334</v>
      </c>
      <c r="F382" t="s">
        <v>28</v>
      </c>
      <c r="G382" t="s">
        <v>48</v>
      </c>
      <c r="H382" t="s">
        <v>301</v>
      </c>
      <c r="I382" s="2">
        <v>15.36</v>
      </c>
      <c r="J382" s="3">
        <v>2</v>
      </c>
      <c r="K382" s="2">
        <v>7.68</v>
      </c>
    </row>
    <row r="383" spans="1:11" x14ac:dyDescent="0.35">
      <c r="A383" s="1">
        <v>41918</v>
      </c>
      <c r="B383" s="3">
        <f t="shared" si="10"/>
        <v>2014</v>
      </c>
      <c r="C383" s="3">
        <f t="shared" si="11"/>
        <v>10</v>
      </c>
      <c r="D383" t="s">
        <v>399</v>
      </c>
      <c r="E383" t="s">
        <v>89</v>
      </c>
      <c r="F383" t="s">
        <v>28</v>
      </c>
      <c r="G383" t="s">
        <v>38</v>
      </c>
      <c r="H383" t="s">
        <v>574</v>
      </c>
      <c r="I383" s="2">
        <v>83.92</v>
      </c>
      <c r="J383" s="3">
        <v>5</v>
      </c>
      <c r="K383" s="2">
        <v>-13.64</v>
      </c>
    </row>
    <row r="384" spans="1:11" x14ac:dyDescent="0.35">
      <c r="A384" s="1">
        <v>41918</v>
      </c>
      <c r="B384" s="3">
        <f t="shared" si="10"/>
        <v>2014</v>
      </c>
      <c r="C384" s="3">
        <f t="shared" si="11"/>
        <v>10</v>
      </c>
      <c r="D384" t="s">
        <v>569</v>
      </c>
      <c r="E384" t="s">
        <v>575</v>
      </c>
      <c r="F384" t="s">
        <v>28</v>
      </c>
      <c r="G384" t="s">
        <v>38</v>
      </c>
      <c r="H384" t="s">
        <v>576</v>
      </c>
      <c r="I384" s="2">
        <v>386.34</v>
      </c>
      <c r="J384" s="3">
        <v>2</v>
      </c>
      <c r="K384" s="2">
        <v>54.09</v>
      </c>
    </row>
    <row r="385" spans="1:11" x14ac:dyDescent="0.35">
      <c r="A385" s="1">
        <v>41949</v>
      </c>
      <c r="B385" s="3">
        <f t="shared" si="10"/>
        <v>2014</v>
      </c>
      <c r="C385" s="3">
        <f t="shared" si="11"/>
        <v>11</v>
      </c>
      <c r="D385" t="s">
        <v>577</v>
      </c>
      <c r="E385" t="s">
        <v>165</v>
      </c>
      <c r="F385" t="s">
        <v>28</v>
      </c>
      <c r="G385" t="s">
        <v>29</v>
      </c>
      <c r="H385" t="s">
        <v>160</v>
      </c>
      <c r="I385" s="2">
        <v>43.68</v>
      </c>
      <c r="J385" s="3">
        <v>6</v>
      </c>
      <c r="K385" s="2">
        <v>20.97</v>
      </c>
    </row>
    <row r="386" spans="1:11" x14ac:dyDescent="0.35">
      <c r="A386" s="1">
        <v>41979</v>
      </c>
      <c r="B386" s="3">
        <f t="shared" ref="B386:B449" si="12">YEAR(A386)</f>
        <v>2014</v>
      </c>
      <c r="C386" s="3">
        <f t="shared" ref="C386:C449" si="13">MONTH(A386)</f>
        <v>12</v>
      </c>
      <c r="D386" t="s">
        <v>578</v>
      </c>
      <c r="E386" t="s">
        <v>32</v>
      </c>
      <c r="F386" t="s">
        <v>18</v>
      </c>
      <c r="G386" t="s">
        <v>36</v>
      </c>
      <c r="H386" t="s">
        <v>243</v>
      </c>
      <c r="I386" s="2">
        <v>23.98</v>
      </c>
      <c r="J386" s="3">
        <v>3</v>
      </c>
      <c r="K386" s="2">
        <v>-14.39</v>
      </c>
    </row>
    <row r="387" spans="1:11" x14ac:dyDescent="0.35">
      <c r="A387" s="1">
        <v>41979</v>
      </c>
      <c r="B387" s="3">
        <f t="shared" si="12"/>
        <v>2014</v>
      </c>
      <c r="C387" s="3">
        <f t="shared" si="13"/>
        <v>12</v>
      </c>
      <c r="D387" t="s">
        <v>579</v>
      </c>
      <c r="E387" t="s">
        <v>107</v>
      </c>
      <c r="F387" t="s">
        <v>28</v>
      </c>
      <c r="G387" t="s">
        <v>38</v>
      </c>
      <c r="H387" t="s">
        <v>580</v>
      </c>
      <c r="I387" s="2">
        <v>53.42</v>
      </c>
      <c r="J387" s="3">
        <v>3</v>
      </c>
      <c r="K387" s="2">
        <v>4.67</v>
      </c>
    </row>
    <row r="388" spans="1:11" x14ac:dyDescent="0.35">
      <c r="A388" s="1">
        <v>41979</v>
      </c>
      <c r="B388" s="3">
        <f t="shared" si="12"/>
        <v>2014</v>
      </c>
      <c r="C388" s="3">
        <f t="shared" si="13"/>
        <v>12</v>
      </c>
      <c r="D388" t="s">
        <v>579</v>
      </c>
      <c r="E388" t="s">
        <v>107</v>
      </c>
      <c r="F388" t="s">
        <v>18</v>
      </c>
      <c r="G388" t="s">
        <v>42</v>
      </c>
      <c r="H388" t="s">
        <v>555</v>
      </c>
      <c r="I388" s="2">
        <v>275.49</v>
      </c>
      <c r="J388" s="3">
        <v>1</v>
      </c>
      <c r="K388" s="2">
        <v>-170.8</v>
      </c>
    </row>
    <row r="389" spans="1:11" x14ac:dyDescent="0.35">
      <c r="A389" s="1">
        <v>41979</v>
      </c>
      <c r="B389" s="3">
        <f t="shared" si="12"/>
        <v>2014</v>
      </c>
      <c r="C389" s="3">
        <f t="shared" si="13"/>
        <v>12</v>
      </c>
      <c r="D389" t="s">
        <v>292</v>
      </c>
      <c r="E389" t="s">
        <v>26</v>
      </c>
      <c r="F389" t="s">
        <v>28</v>
      </c>
      <c r="G389" t="s">
        <v>58</v>
      </c>
      <c r="H389" t="s">
        <v>581</v>
      </c>
      <c r="I389" s="2">
        <v>14.02</v>
      </c>
      <c r="J389" s="3">
        <v>4</v>
      </c>
      <c r="K389" s="2">
        <v>-31.54</v>
      </c>
    </row>
    <row r="390" spans="1:11" x14ac:dyDescent="0.35">
      <c r="A390" s="1">
        <v>41979</v>
      </c>
      <c r="B390" s="3">
        <f t="shared" si="12"/>
        <v>2014</v>
      </c>
      <c r="C390" s="3">
        <f t="shared" si="13"/>
        <v>12</v>
      </c>
      <c r="D390" t="s">
        <v>292</v>
      </c>
      <c r="E390" t="s">
        <v>26</v>
      </c>
      <c r="F390" t="s">
        <v>18</v>
      </c>
      <c r="G390" t="s">
        <v>42</v>
      </c>
      <c r="H390" t="s">
        <v>283</v>
      </c>
      <c r="I390" s="2">
        <v>214.95</v>
      </c>
      <c r="J390" s="3">
        <v>5</v>
      </c>
      <c r="K390" s="2">
        <v>-120.37</v>
      </c>
    </row>
    <row r="391" spans="1:11" x14ac:dyDescent="0.35">
      <c r="A391" s="1">
        <v>41979</v>
      </c>
      <c r="B391" s="3">
        <f t="shared" si="12"/>
        <v>2014</v>
      </c>
      <c r="C391" s="3">
        <f t="shared" si="13"/>
        <v>12</v>
      </c>
      <c r="D391" t="s">
        <v>292</v>
      </c>
      <c r="E391" t="s">
        <v>26</v>
      </c>
      <c r="F391" t="s">
        <v>13</v>
      </c>
      <c r="G391" t="s">
        <v>23</v>
      </c>
      <c r="H391" t="s">
        <v>582</v>
      </c>
      <c r="I391" s="2">
        <v>35.04</v>
      </c>
      <c r="J391" s="3">
        <v>4</v>
      </c>
      <c r="K391" s="2">
        <v>-7.01</v>
      </c>
    </row>
    <row r="392" spans="1:11" x14ac:dyDescent="0.35">
      <c r="A392" s="1">
        <v>41979</v>
      </c>
      <c r="B392" s="3">
        <f t="shared" si="12"/>
        <v>2014</v>
      </c>
      <c r="C392" s="3">
        <f t="shared" si="13"/>
        <v>12</v>
      </c>
      <c r="D392" t="s">
        <v>292</v>
      </c>
      <c r="E392" t="s">
        <v>26</v>
      </c>
      <c r="F392" t="s">
        <v>18</v>
      </c>
      <c r="G392" t="s">
        <v>36</v>
      </c>
      <c r="H392" t="s">
        <v>583</v>
      </c>
      <c r="I392" s="2">
        <v>10.78</v>
      </c>
      <c r="J392" s="3">
        <v>3</v>
      </c>
      <c r="K392" s="2">
        <v>-4.8499999999999996</v>
      </c>
    </row>
    <row r="393" spans="1:11" x14ac:dyDescent="0.35">
      <c r="A393" s="1">
        <v>41979</v>
      </c>
      <c r="B393" s="3">
        <f t="shared" si="12"/>
        <v>2014</v>
      </c>
      <c r="C393" s="3">
        <f t="shared" si="13"/>
        <v>12</v>
      </c>
      <c r="D393" t="s">
        <v>292</v>
      </c>
      <c r="E393" t="s">
        <v>26</v>
      </c>
      <c r="F393" t="s">
        <v>28</v>
      </c>
      <c r="G393" t="s">
        <v>48</v>
      </c>
      <c r="H393" t="s">
        <v>584</v>
      </c>
      <c r="I393" s="2">
        <v>4.5999999999999996</v>
      </c>
      <c r="J393" s="3">
        <v>2</v>
      </c>
      <c r="K393" s="2">
        <v>-8.0500000000000007</v>
      </c>
    </row>
    <row r="394" spans="1:11" x14ac:dyDescent="0.35">
      <c r="A394" s="1">
        <v>41979</v>
      </c>
      <c r="B394" s="3">
        <f t="shared" si="12"/>
        <v>2014</v>
      </c>
      <c r="C394" s="3">
        <f t="shared" si="13"/>
        <v>12</v>
      </c>
      <c r="D394" t="s">
        <v>292</v>
      </c>
      <c r="E394" t="s">
        <v>26</v>
      </c>
      <c r="F394" t="s">
        <v>28</v>
      </c>
      <c r="G394" t="s">
        <v>38</v>
      </c>
      <c r="H394" t="s">
        <v>585</v>
      </c>
      <c r="I394" s="2">
        <v>35.17</v>
      </c>
      <c r="J394" s="3">
        <v>2</v>
      </c>
      <c r="K394" s="2">
        <v>-8.35</v>
      </c>
    </row>
    <row r="395" spans="1:11" x14ac:dyDescent="0.35">
      <c r="A395" s="1">
        <v>41979</v>
      </c>
      <c r="B395" s="3">
        <f t="shared" si="12"/>
        <v>2014</v>
      </c>
      <c r="C395" s="3">
        <f t="shared" si="13"/>
        <v>12</v>
      </c>
      <c r="D395" t="s">
        <v>586</v>
      </c>
      <c r="E395" t="s">
        <v>45</v>
      </c>
      <c r="F395" t="s">
        <v>28</v>
      </c>
      <c r="G395" t="s">
        <v>38</v>
      </c>
      <c r="H395" t="s">
        <v>587</v>
      </c>
      <c r="I395" s="2">
        <v>1261.33</v>
      </c>
      <c r="J395" s="3">
        <v>7</v>
      </c>
      <c r="K395" s="2">
        <v>327.95</v>
      </c>
    </row>
    <row r="396" spans="1:11" x14ac:dyDescent="0.35">
      <c r="A396" s="1">
        <v>41979</v>
      </c>
      <c r="B396" s="3">
        <f t="shared" si="12"/>
        <v>2014</v>
      </c>
      <c r="C396" s="3">
        <f t="shared" si="13"/>
        <v>12</v>
      </c>
      <c r="D396" t="s">
        <v>502</v>
      </c>
      <c r="E396" t="s">
        <v>326</v>
      </c>
      <c r="F396" t="s">
        <v>28</v>
      </c>
      <c r="G396" t="s">
        <v>29</v>
      </c>
      <c r="H396" t="s">
        <v>588</v>
      </c>
      <c r="I396" s="2">
        <v>42.21</v>
      </c>
      <c r="J396" s="3">
        <v>2</v>
      </c>
      <c r="K396" s="2">
        <v>13.72</v>
      </c>
    </row>
    <row r="397" spans="1:11" x14ac:dyDescent="0.35">
      <c r="A397" s="1">
        <v>41646</v>
      </c>
      <c r="B397" s="3">
        <f t="shared" si="12"/>
        <v>2014</v>
      </c>
      <c r="C397" s="3">
        <f t="shared" si="13"/>
        <v>1</v>
      </c>
      <c r="D397" t="s">
        <v>589</v>
      </c>
      <c r="E397" t="s">
        <v>32</v>
      </c>
      <c r="F397" t="s">
        <v>18</v>
      </c>
      <c r="G397" t="s">
        <v>36</v>
      </c>
      <c r="H397" t="s">
        <v>590</v>
      </c>
      <c r="I397" s="2">
        <v>76.73</v>
      </c>
      <c r="J397" s="3">
        <v>3</v>
      </c>
      <c r="K397" s="2">
        <v>-53.71</v>
      </c>
    </row>
    <row r="398" spans="1:11" x14ac:dyDescent="0.35">
      <c r="A398" s="1">
        <v>41646</v>
      </c>
      <c r="B398" s="3">
        <f t="shared" si="12"/>
        <v>2014</v>
      </c>
      <c r="C398" s="3">
        <f t="shared" si="13"/>
        <v>1</v>
      </c>
      <c r="D398" t="s">
        <v>589</v>
      </c>
      <c r="E398" t="s">
        <v>32</v>
      </c>
      <c r="F398" t="s">
        <v>28</v>
      </c>
      <c r="G398" t="s">
        <v>48</v>
      </c>
      <c r="H398" t="s">
        <v>591</v>
      </c>
      <c r="I398" s="2">
        <v>10.43</v>
      </c>
      <c r="J398" s="3">
        <v>7</v>
      </c>
      <c r="K398" s="2">
        <v>-18.25</v>
      </c>
    </row>
    <row r="399" spans="1:11" x14ac:dyDescent="0.35">
      <c r="A399" s="1">
        <v>41677</v>
      </c>
      <c r="B399" s="3">
        <f t="shared" si="12"/>
        <v>2014</v>
      </c>
      <c r="C399" s="3">
        <f t="shared" si="13"/>
        <v>2</v>
      </c>
      <c r="D399" t="s">
        <v>592</v>
      </c>
      <c r="E399" t="s">
        <v>62</v>
      </c>
      <c r="F399" t="s">
        <v>13</v>
      </c>
      <c r="G399" t="s">
        <v>14</v>
      </c>
      <c r="H399" t="s">
        <v>593</v>
      </c>
      <c r="I399" s="2">
        <v>115.36</v>
      </c>
      <c r="J399" s="3">
        <v>7</v>
      </c>
      <c r="K399" s="2">
        <v>49.6</v>
      </c>
    </row>
    <row r="400" spans="1:11" x14ac:dyDescent="0.35">
      <c r="A400" s="1">
        <v>41677</v>
      </c>
      <c r="B400" s="3">
        <f t="shared" si="12"/>
        <v>2014</v>
      </c>
      <c r="C400" s="3">
        <f t="shared" si="13"/>
        <v>2</v>
      </c>
      <c r="D400" t="s">
        <v>594</v>
      </c>
      <c r="E400" t="s">
        <v>22</v>
      </c>
      <c r="F400" t="s">
        <v>28</v>
      </c>
      <c r="G400" t="s">
        <v>38</v>
      </c>
      <c r="H400" t="s">
        <v>328</v>
      </c>
      <c r="I400" s="2">
        <v>64.959999999999994</v>
      </c>
      <c r="J400" s="3">
        <v>4</v>
      </c>
      <c r="K400" s="2">
        <v>9.74</v>
      </c>
    </row>
    <row r="401" spans="1:11" x14ac:dyDescent="0.35">
      <c r="A401" s="1">
        <v>41705</v>
      </c>
      <c r="B401" s="3">
        <f t="shared" si="12"/>
        <v>2014</v>
      </c>
      <c r="C401" s="3">
        <f t="shared" si="13"/>
        <v>3</v>
      </c>
      <c r="D401" t="s">
        <v>595</v>
      </c>
      <c r="E401" t="s">
        <v>17</v>
      </c>
      <c r="F401" t="s">
        <v>18</v>
      </c>
      <c r="G401" t="s">
        <v>19</v>
      </c>
      <c r="H401" t="s">
        <v>596</v>
      </c>
      <c r="I401" s="2">
        <v>48.71</v>
      </c>
      <c r="J401" s="3">
        <v>1</v>
      </c>
      <c r="K401" s="2">
        <v>5.48</v>
      </c>
    </row>
    <row r="402" spans="1:11" x14ac:dyDescent="0.35">
      <c r="A402" s="1">
        <v>41705</v>
      </c>
      <c r="B402" s="3">
        <f t="shared" si="12"/>
        <v>2014</v>
      </c>
      <c r="C402" s="3">
        <f t="shared" si="13"/>
        <v>3</v>
      </c>
      <c r="D402" t="s">
        <v>595</v>
      </c>
      <c r="E402" t="s">
        <v>17</v>
      </c>
      <c r="F402" t="s">
        <v>28</v>
      </c>
      <c r="G402" t="s">
        <v>64</v>
      </c>
      <c r="H402" t="s">
        <v>597</v>
      </c>
      <c r="I402" s="2">
        <v>17.940000000000001</v>
      </c>
      <c r="J402" s="3">
        <v>3</v>
      </c>
      <c r="K402" s="2">
        <v>4.66</v>
      </c>
    </row>
    <row r="403" spans="1:11" x14ac:dyDescent="0.35">
      <c r="A403" s="1">
        <v>41705</v>
      </c>
      <c r="B403" s="3">
        <f t="shared" si="12"/>
        <v>2014</v>
      </c>
      <c r="C403" s="3">
        <f t="shared" si="13"/>
        <v>3</v>
      </c>
      <c r="D403" t="s">
        <v>595</v>
      </c>
      <c r="E403" t="s">
        <v>17</v>
      </c>
      <c r="F403" t="s">
        <v>28</v>
      </c>
      <c r="G403" t="s">
        <v>38</v>
      </c>
      <c r="H403" t="s">
        <v>598</v>
      </c>
      <c r="I403" s="2">
        <v>242.94</v>
      </c>
      <c r="J403" s="3">
        <v>3</v>
      </c>
      <c r="K403" s="2">
        <v>4.8600000000000003</v>
      </c>
    </row>
    <row r="404" spans="1:11" x14ac:dyDescent="0.35">
      <c r="A404" s="1">
        <v>41705</v>
      </c>
      <c r="B404" s="3">
        <f t="shared" si="12"/>
        <v>2014</v>
      </c>
      <c r="C404" s="3">
        <f t="shared" si="13"/>
        <v>3</v>
      </c>
      <c r="D404" t="s">
        <v>599</v>
      </c>
      <c r="E404" t="s">
        <v>17</v>
      </c>
      <c r="F404" t="s">
        <v>28</v>
      </c>
      <c r="G404" t="s">
        <v>48</v>
      </c>
      <c r="H404" t="s">
        <v>600</v>
      </c>
      <c r="I404" s="2">
        <v>107.65</v>
      </c>
      <c r="J404" s="3">
        <v>2</v>
      </c>
      <c r="K404" s="2">
        <v>33.64</v>
      </c>
    </row>
    <row r="405" spans="1:11" x14ac:dyDescent="0.35">
      <c r="A405" s="1">
        <v>41705</v>
      </c>
      <c r="B405" s="3">
        <f t="shared" si="12"/>
        <v>2014</v>
      </c>
      <c r="C405" s="3">
        <f t="shared" si="13"/>
        <v>3</v>
      </c>
      <c r="D405" t="s">
        <v>601</v>
      </c>
      <c r="E405" t="s">
        <v>17</v>
      </c>
      <c r="F405" t="s">
        <v>28</v>
      </c>
      <c r="G405" t="s">
        <v>64</v>
      </c>
      <c r="H405" t="s">
        <v>602</v>
      </c>
      <c r="I405" s="2">
        <v>20.65</v>
      </c>
      <c r="J405" s="3">
        <v>5</v>
      </c>
      <c r="K405" s="2">
        <v>9.5</v>
      </c>
    </row>
    <row r="406" spans="1:11" x14ac:dyDescent="0.35">
      <c r="A406" s="1">
        <v>41705</v>
      </c>
      <c r="B406" s="3">
        <f t="shared" si="12"/>
        <v>2014</v>
      </c>
      <c r="C406" s="3">
        <f t="shared" si="13"/>
        <v>3</v>
      </c>
      <c r="D406" t="s">
        <v>601</v>
      </c>
      <c r="E406" t="s">
        <v>17</v>
      </c>
      <c r="F406" t="s">
        <v>28</v>
      </c>
      <c r="G406" t="s">
        <v>38</v>
      </c>
      <c r="H406" t="s">
        <v>603</v>
      </c>
      <c r="I406" s="2">
        <v>204.9</v>
      </c>
      <c r="J406" s="3">
        <v>5</v>
      </c>
      <c r="K406" s="2">
        <v>0</v>
      </c>
    </row>
    <row r="407" spans="1:11" x14ac:dyDescent="0.35">
      <c r="A407" s="1">
        <v>41705</v>
      </c>
      <c r="B407" s="3">
        <f t="shared" si="12"/>
        <v>2014</v>
      </c>
      <c r="C407" s="3">
        <f t="shared" si="13"/>
        <v>3</v>
      </c>
      <c r="D407" t="s">
        <v>601</v>
      </c>
      <c r="E407" t="s">
        <v>17</v>
      </c>
      <c r="F407" t="s">
        <v>18</v>
      </c>
      <c r="G407" t="s">
        <v>19</v>
      </c>
      <c r="H407" t="s">
        <v>604</v>
      </c>
      <c r="I407" s="2">
        <v>436.7</v>
      </c>
      <c r="J407" s="3">
        <v>6</v>
      </c>
      <c r="K407" s="2">
        <v>21.84</v>
      </c>
    </row>
    <row r="408" spans="1:11" x14ac:dyDescent="0.35">
      <c r="A408" s="1">
        <v>41705</v>
      </c>
      <c r="B408" s="3">
        <f t="shared" si="12"/>
        <v>2014</v>
      </c>
      <c r="C408" s="3">
        <f t="shared" si="13"/>
        <v>3</v>
      </c>
      <c r="D408" t="s">
        <v>601</v>
      </c>
      <c r="E408" t="s">
        <v>17</v>
      </c>
      <c r="F408" t="s">
        <v>18</v>
      </c>
      <c r="G408" t="s">
        <v>19</v>
      </c>
      <c r="H408" t="s">
        <v>605</v>
      </c>
      <c r="I408" s="2">
        <v>481.57</v>
      </c>
      <c r="J408" s="3">
        <v>2</v>
      </c>
      <c r="K408" s="2">
        <v>54.18</v>
      </c>
    </row>
    <row r="409" spans="1:11" x14ac:dyDescent="0.35">
      <c r="A409" s="1">
        <v>41736</v>
      </c>
      <c r="B409" s="3">
        <f t="shared" si="12"/>
        <v>2014</v>
      </c>
      <c r="C409" s="3">
        <f t="shared" si="13"/>
        <v>4</v>
      </c>
      <c r="D409" t="s">
        <v>606</v>
      </c>
      <c r="E409" t="s">
        <v>607</v>
      </c>
      <c r="F409" t="s">
        <v>18</v>
      </c>
      <c r="G409" t="s">
        <v>36</v>
      </c>
      <c r="H409" t="s">
        <v>608</v>
      </c>
      <c r="I409" s="2">
        <v>8.9600000000000009</v>
      </c>
      <c r="J409" s="3">
        <v>2</v>
      </c>
      <c r="K409" s="2">
        <v>2.78</v>
      </c>
    </row>
    <row r="410" spans="1:11" x14ac:dyDescent="0.35">
      <c r="A410" s="1">
        <v>41736</v>
      </c>
      <c r="B410" s="3">
        <f t="shared" si="12"/>
        <v>2014</v>
      </c>
      <c r="C410" s="3">
        <f t="shared" si="13"/>
        <v>4</v>
      </c>
      <c r="D410" t="s">
        <v>586</v>
      </c>
      <c r="E410" t="s">
        <v>351</v>
      </c>
      <c r="F410" t="s">
        <v>13</v>
      </c>
      <c r="G410" t="s">
        <v>23</v>
      </c>
      <c r="H410" t="s">
        <v>609</v>
      </c>
      <c r="I410" s="2">
        <v>629.95000000000005</v>
      </c>
      <c r="J410" s="3">
        <v>5</v>
      </c>
      <c r="K410" s="2">
        <v>163.79</v>
      </c>
    </row>
    <row r="411" spans="1:11" x14ac:dyDescent="0.35">
      <c r="A411" s="1">
        <v>41736</v>
      </c>
      <c r="B411" s="3">
        <f t="shared" si="12"/>
        <v>2014</v>
      </c>
      <c r="C411" s="3">
        <f t="shared" si="13"/>
        <v>4</v>
      </c>
      <c r="D411" t="s">
        <v>586</v>
      </c>
      <c r="E411" t="s">
        <v>351</v>
      </c>
      <c r="F411" t="s">
        <v>28</v>
      </c>
      <c r="G411" t="s">
        <v>29</v>
      </c>
      <c r="H411" t="s">
        <v>610</v>
      </c>
      <c r="I411" s="2">
        <v>122.97</v>
      </c>
      <c r="J411" s="3">
        <v>3</v>
      </c>
      <c r="K411" s="2">
        <v>60.26</v>
      </c>
    </row>
    <row r="412" spans="1:11" x14ac:dyDescent="0.35">
      <c r="A412" s="1">
        <v>41736</v>
      </c>
      <c r="B412" s="3">
        <f t="shared" si="12"/>
        <v>2014</v>
      </c>
      <c r="C412" s="3">
        <f t="shared" si="13"/>
        <v>4</v>
      </c>
      <c r="D412" t="s">
        <v>611</v>
      </c>
      <c r="E412" t="s">
        <v>165</v>
      </c>
      <c r="F412" t="s">
        <v>28</v>
      </c>
      <c r="G412" t="s">
        <v>29</v>
      </c>
      <c r="H412" t="s">
        <v>612</v>
      </c>
      <c r="I412" s="2">
        <v>58.32</v>
      </c>
      <c r="J412" s="3">
        <v>9</v>
      </c>
      <c r="K412" s="2">
        <v>27.99</v>
      </c>
    </row>
    <row r="413" spans="1:11" x14ac:dyDescent="0.35">
      <c r="A413" s="1">
        <v>41736</v>
      </c>
      <c r="B413" s="3">
        <f t="shared" si="12"/>
        <v>2014</v>
      </c>
      <c r="C413" s="3">
        <f t="shared" si="13"/>
        <v>4</v>
      </c>
      <c r="D413" t="s">
        <v>611</v>
      </c>
      <c r="E413" t="s">
        <v>165</v>
      </c>
      <c r="F413" t="s">
        <v>13</v>
      </c>
      <c r="G413" t="s">
        <v>23</v>
      </c>
      <c r="H413" t="s">
        <v>613</v>
      </c>
      <c r="I413" s="2">
        <v>200.97</v>
      </c>
      <c r="J413" s="3">
        <v>3</v>
      </c>
      <c r="K413" s="2">
        <v>50.24</v>
      </c>
    </row>
    <row r="414" spans="1:11" x14ac:dyDescent="0.35">
      <c r="A414" s="1">
        <v>41766</v>
      </c>
      <c r="B414" s="3">
        <f t="shared" si="12"/>
        <v>2014</v>
      </c>
      <c r="C414" s="3">
        <f t="shared" si="13"/>
        <v>5</v>
      </c>
      <c r="D414" t="s">
        <v>614</v>
      </c>
      <c r="E414" t="s">
        <v>51</v>
      </c>
      <c r="F414" t="s">
        <v>28</v>
      </c>
      <c r="G414" t="s">
        <v>48</v>
      </c>
      <c r="H414" t="s">
        <v>615</v>
      </c>
      <c r="I414" s="2">
        <v>16.14</v>
      </c>
      <c r="J414" s="3">
        <v>3</v>
      </c>
      <c r="K414" s="2">
        <v>7.91</v>
      </c>
    </row>
    <row r="415" spans="1:11" x14ac:dyDescent="0.35">
      <c r="A415" s="1">
        <v>41766</v>
      </c>
      <c r="B415" s="3">
        <f t="shared" si="12"/>
        <v>2014</v>
      </c>
      <c r="C415" s="3">
        <f t="shared" si="13"/>
        <v>5</v>
      </c>
      <c r="D415" t="s">
        <v>614</v>
      </c>
      <c r="E415" t="s">
        <v>51</v>
      </c>
      <c r="F415" t="s">
        <v>18</v>
      </c>
      <c r="G415" t="s">
        <v>42</v>
      </c>
      <c r="H415" t="s">
        <v>616</v>
      </c>
      <c r="I415" s="2">
        <v>194.25</v>
      </c>
      <c r="J415" s="3">
        <v>2</v>
      </c>
      <c r="K415" s="2">
        <v>-38.85</v>
      </c>
    </row>
    <row r="416" spans="1:11" x14ac:dyDescent="0.35">
      <c r="A416" s="1">
        <v>41766</v>
      </c>
      <c r="B416" s="3">
        <f t="shared" si="12"/>
        <v>2014</v>
      </c>
      <c r="C416" s="3">
        <f t="shared" si="13"/>
        <v>5</v>
      </c>
      <c r="D416" t="s">
        <v>614</v>
      </c>
      <c r="E416" t="s">
        <v>51</v>
      </c>
      <c r="F416" t="s">
        <v>28</v>
      </c>
      <c r="G416" t="s">
        <v>64</v>
      </c>
      <c r="H416" t="s">
        <v>617</v>
      </c>
      <c r="I416" s="2">
        <v>8.64</v>
      </c>
      <c r="J416" s="3">
        <v>3</v>
      </c>
      <c r="K416" s="2">
        <v>2.5099999999999998</v>
      </c>
    </row>
    <row r="417" spans="1:11" x14ac:dyDescent="0.35">
      <c r="A417" s="1">
        <v>41766</v>
      </c>
      <c r="B417" s="3">
        <f t="shared" si="12"/>
        <v>2014</v>
      </c>
      <c r="C417" s="3">
        <f t="shared" si="13"/>
        <v>5</v>
      </c>
      <c r="D417" t="s">
        <v>614</v>
      </c>
      <c r="E417" t="s">
        <v>51</v>
      </c>
      <c r="F417" t="s">
        <v>18</v>
      </c>
      <c r="G417" t="s">
        <v>19</v>
      </c>
      <c r="H417" t="s">
        <v>618</v>
      </c>
      <c r="I417" s="2">
        <v>872.32</v>
      </c>
      <c r="J417" s="3">
        <v>4</v>
      </c>
      <c r="K417" s="2">
        <v>244.25</v>
      </c>
    </row>
    <row r="418" spans="1:11" x14ac:dyDescent="0.35">
      <c r="A418" s="1">
        <v>41797</v>
      </c>
      <c r="B418" s="3">
        <f t="shared" si="12"/>
        <v>2014</v>
      </c>
      <c r="C418" s="3">
        <f t="shared" si="13"/>
        <v>6</v>
      </c>
      <c r="D418" t="s">
        <v>619</v>
      </c>
      <c r="E418" t="s">
        <v>26</v>
      </c>
      <c r="F418" t="s">
        <v>28</v>
      </c>
      <c r="G418" t="s">
        <v>48</v>
      </c>
      <c r="H418" t="s">
        <v>553</v>
      </c>
      <c r="I418" s="2">
        <v>12.46</v>
      </c>
      <c r="J418" s="3">
        <v>3</v>
      </c>
      <c r="K418" s="2">
        <v>-20.56</v>
      </c>
    </row>
    <row r="419" spans="1:11" x14ac:dyDescent="0.35">
      <c r="A419" s="1">
        <v>41797</v>
      </c>
      <c r="B419" s="3">
        <f t="shared" si="12"/>
        <v>2014</v>
      </c>
      <c r="C419" s="3">
        <f t="shared" si="13"/>
        <v>6</v>
      </c>
      <c r="D419" t="s">
        <v>620</v>
      </c>
      <c r="E419" t="s">
        <v>26</v>
      </c>
      <c r="F419" t="s">
        <v>18</v>
      </c>
      <c r="G419" t="s">
        <v>42</v>
      </c>
      <c r="H419" t="s">
        <v>414</v>
      </c>
      <c r="I419" s="2">
        <v>268.94</v>
      </c>
      <c r="J419" s="3">
        <v>3</v>
      </c>
      <c r="K419" s="2">
        <v>-209.77</v>
      </c>
    </row>
    <row r="420" spans="1:11" x14ac:dyDescent="0.35">
      <c r="A420" s="1">
        <v>41827</v>
      </c>
      <c r="B420" s="3">
        <f t="shared" si="12"/>
        <v>2014</v>
      </c>
      <c r="C420" s="3">
        <f t="shared" si="13"/>
        <v>7</v>
      </c>
      <c r="D420" t="s">
        <v>621</v>
      </c>
      <c r="E420" t="s">
        <v>89</v>
      </c>
      <c r="F420" t="s">
        <v>18</v>
      </c>
      <c r="G420" t="s">
        <v>19</v>
      </c>
      <c r="H420" t="s">
        <v>303</v>
      </c>
      <c r="I420" s="2">
        <v>172.19</v>
      </c>
      <c r="J420" s="3">
        <v>2</v>
      </c>
      <c r="K420" s="2">
        <v>-46.74</v>
      </c>
    </row>
    <row r="421" spans="1:11" x14ac:dyDescent="0.35">
      <c r="A421" s="1">
        <v>41827</v>
      </c>
      <c r="B421" s="3">
        <f t="shared" si="12"/>
        <v>2014</v>
      </c>
      <c r="C421" s="3">
        <f t="shared" si="13"/>
        <v>7</v>
      </c>
      <c r="D421" t="s">
        <v>621</v>
      </c>
      <c r="E421" t="s">
        <v>89</v>
      </c>
      <c r="F421" t="s">
        <v>18</v>
      </c>
      <c r="G421" t="s">
        <v>36</v>
      </c>
      <c r="H421" t="s">
        <v>622</v>
      </c>
      <c r="I421" s="2">
        <v>69.010000000000005</v>
      </c>
      <c r="J421" s="3">
        <v>2</v>
      </c>
      <c r="K421" s="2">
        <v>12.08</v>
      </c>
    </row>
    <row r="422" spans="1:11" x14ac:dyDescent="0.35">
      <c r="A422" s="1">
        <v>41889</v>
      </c>
      <c r="B422" s="3">
        <f t="shared" si="12"/>
        <v>2014</v>
      </c>
      <c r="C422" s="3">
        <f t="shared" si="13"/>
        <v>9</v>
      </c>
      <c r="D422" t="s">
        <v>623</v>
      </c>
      <c r="E422" t="s">
        <v>89</v>
      </c>
      <c r="F422" t="s">
        <v>28</v>
      </c>
      <c r="G422" t="s">
        <v>38</v>
      </c>
      <c r="H422" t="s">
        <v>598</v>
      </c>
      <c r="I422" s="2">
        <v>64.78</v>
      </c>
      <c r="J422" s="3">
        <v>1</v>
      </c>
      <c r="K422" s="2">
        <v>-14.58</v>
      </c>
    </row>
    <row r="423" spans="1:11" x14ac:dyDescent="0.35">
      <c r="A423" s="1">
        <v>41889</v>
      </c>
      <c r="B423" s="3">
        <f t="shared" si="12"/>
        <v>2014</v>
      </c>
      <c r="C423" s="3">
        <f t="shared" si="13"/>
        <v>9</v>
      </c>
      <c r="D423" t="s">
        <v>623</v>
      </c>
      <c r="E423" t="s">
        <v>89</v>
      </c>
      <c r="F423" t="s">
        <v>13</v>
      </c>
      <c r="G423" t="s">
        <v>23</v>
      </c>
      <c r="H423" t="s">
        <v>624</v>
      </c>
      <c r="I423" s="2">
        <v>32.380000000000003</v>
      </c>
      <c r="J423" s="3">
        <v>3</v>
      </c>
      <c r="K423" s="2">
        <v>4.32</v>
      </c>
    </row>
    <row r="424" spans="1:11" x14ac:dyDescent="0.35">
      <c r="A424" s="1">
        <v>41889</v>
      </c>
      <c r="B424" s="3">
        <f t="shared" si="12"/>
        <v>2014</v>
      </c>
      <c r="C424" s="3">
        <f t="shared" si="13"/>
        <v>9</v>
      </c>
      <c r="D424" t="s">
        <v>623</v>
      </c>
      <c r="E424" t="s">
        <v>89</v>
      </c>
      <c r="F424" t="s">
        <v>18</v>
      </c>
      <c r="G424" t="s">
        <v>36</v>
      </c>
      <c r="H424" t="s">
        <v>315</v>
      </c>
      <c r="I424" s="2">
        <v>42.37</v>
      </c>
      <c r="J424" s="3">
        <v>2</v>
      </c>
      <c r="K424" s="2">
        <v>8.4700000000000006</v>
      </c>
    </row>
    <row r="425" spans="1:11" x14ac:dyDescent="0.35">
      <c r="A425" s="1">
        <v>41889</v>
      </c>
      <c r="B425" s="3">
        <f t="shared" si="12"/>
        <v>2014</v>
      </c>
      <c r="C425" s="3">
        <f t="shared" si="13"/>
        <v>9</v>
      </c>
      <c r="D425" t="s">
        <v>623</v>
      </c>
      <c r="E425" t="s">
        <v>89</v>
      </c>
      <c r="F425" t="s">
        <v>13</v>
      </c>
      <c r="G425" t="s">
        <v>204</v>
      </c>
      <c r="H425" t="s">
        <v>625</v>
      </c>
      <c r="I425" s="2">
        <v>399.54</v>
      </c>
      <c r="J425" s="3">
        <v>4</v>
      </c>
      <c r="K425" s="2">
        <v>-559.36</v>
      </c>
    </row>
    <row r="426" spans="1:11" x14ac:dyDescent="0.35">
      <c r="A426" s="1">
        <v>41889</v>
      </c>
      <c r="B426" s="3">
        <f t="shared" si="12"/>
        <v>2014</v>
      </c>
      <c r="C426" s="3">
        <f t="shared" si="13"/>
        <v>9</v>
      </c>
      <c r="D426" t="s">
        <v>259</v>
      </c>
      <c r="E426" t="s">
        <v>339</v>
      </c>
      <c r="F426" t="s">
        <v>18</v>
      </c>
      <c r="G426" t="s">
        <v>36</v>
      </c>
      <c r="H426" t="s">
        <v>626</v>
      </c>
      <c r="I426" s="2">
        <v>57.69</v>
      </c>
      <c r="J426" s="3">
        <v>3</v>
      </c>
      <c r="K426" s="2">
        <v>23.65</v>
      </c>
    </row>
    <row r="427" spans="1:11" x14ac:dyDescent="0.35">
      <c r="A427" s="1">
        <v>41889</v>
      </c>
      <c r="B427" s="3">
        <f t="shared" si="12"/>
        <v>2014</v>
      </c>
      <c r="C427" s="3">
        <f t="shared" si="13"/>
        <v>9</v>
      </c>
      <c r="D427" t="s">
        <v>259</v>
      </c>
      <c r="E427" t="s">
        <v>339</v>
      </c>
      <c r="F427" t="s">
        <v>28</v>
      </c>
      <c r="G427" t="s">
        <v>48</v>
      </c>
      <c r="H427" t="s">
        <v>627</v>
      </c>
      <c r="I427" s="2">
        <v>42.81</v>
      </c>
      <c r="J427" s="3">
        <v>3</v>
      </c>
      <c r="K427" s="2">
        <v>20.12</v>
      </c>
    </row>
    <row r="428" spans="1:11" x14ac:dyDescent="0.35">
      <c r="A428" s="1">
        <v>41889</v>
      </c>
      <c r="B428" s="3">
        <f t="shared" si="12"/>
        <v>2014</v>
      </c>
      <c r="C428" s="3">
        <f t="shared" si="13"/>
        <v>9</v>
      </c>
      <c r="D428" t="s">
        <v>259</v>
      </c>
      <c r="E428" t="s">
        <v>339</v>
      </c>
      <c r="F428" t="s">
        <v>28</v>
      </c>
      <c r="G428" t="s">
        <v>29</v>
      </c>
      <c r="H428" t="s">
        <v>416</v>
      </c>
      <c r="I428" s="2">
        <v>12.96</v>
      </c>
      <c r="J428" s="3">
        <v>2</v>
      </c>
      <c r="K428" s="2">
        <v>6.22</v>
      </c>
    </row>
    <row r="429" spans="1:11" x14ac:dyDescent="0.35">
      <c r="A429" s="1">
        <v>41889</v>
      </c>
      <c r="B429" s="3">
        <f t="shared" si="12"/>
        <v>2014</v>
      </c>
      <c r="C429" s="3">
        <f t="shared" si="13"/>
        <v>9</v>
      </c>
      <c r="D429" t="s">
        <v>259</v>
      </c>
      <c r="E429" t="s">
        <v>339</v>
      </c>
      <c r="F429" t="s">
        <v>18</v>
      </c>
      <c r="G429" t="s">
        <v>36</v>
      </c>
      <c r="H429" t="s">
        <v>628</v>
      </c>
      <c r="I429" s="2">
        <v>821.88</v>
      </c>
      <c r="J429" s="3">
        <v>6</v>
      </c>
      <c r="K429" s="2">
        <v>213.69</v>
      </c>
    </row>
    <row r="430" spans="1:11" x14ac:dyDescent="0.35">
      <c r="A430" s="1">
        <v>41889</v>
      </c>
      <c r="B430" s="3">
        <f t="shared" si="12"/>
        <v>2014</v>
      </c>
      <c r="C430" s="3">
        <f t="shared" si="13"/>
        <v>9</v>
      </c>
      <c r="D430" t="s">
        <v>259</v>
      </c>
      <c r="E430" t="s">
        <v>339</v>
      </c>
      <c r="F430" t="s">
        <v>13</v>
      </c>
      <c r="G430" t="s">
        <v>23</v>
      </c>
      <c r="H430" t="s">
        <v>629</v>
      </c>
      <c r="I430" s="2">
        <v>104.85</v>
      </c>
      <c r="J430" s="3">
        <v>3</v>
      </c>
      <c r="K430" s="2">
        <v>28.31</v>
      </c>
    </row>
    <row r="431" spans="1:11" x14ac:dyDescent="0.35">
      <c r="A431" s="1">
        <v>41889</v>
      </c>
      <c r="B431" s="3">
        <f t="shared" si="12"/>
        <v>2014</v>
      </c>
      <c r="C431" s="3">
        <f t="shared" si="13"/>
        <v>9</v>
      </c>
      <c r="D431" t="s">
        <v>630</v>
      </c>
      <c r="E431" t="s">
        <v>22</v>
      </c>
      <c r="F431" t="s">
        <v>13</v>
      </c>
      <c r="G431" t="s">
        <v>23</v>
      </c>
      <c r="H431" t="s">
        <v>631</v>
      </c>
      <c r="I431" s="2">
        <v>377.97</v>
      </c>
      <c r="J431" s="3">
        <v>3</v>
      </c>
      <c r="K431" s="2">
        <v>109.61</v>
      </c>
    </row>
    <row r="432" spans="1:11" x14ac:dyDescent="0.35">
      <c r="A432" s="1">
        <v>41889</v>
      </c>
      <c r="B432" s="3">
        <f t="shared" si="12"/>
        <v>2014</v>
      </c>
      <c r="C432" s="3">
        <f t="shared" si="13"/>
        <v>9</v>
      </c>
      <c r="D432" t="s">
        <v>418</v>
      </c>
      <c r="E432" t="s">
        <v>32</v>
      </c>
      <c r="F432" t="s">
        <v>13</v>
      </c>
      <c r="G432" t="s">
        <v>23</v>
      </c>
      <c r="H432" t="s">
        <v>632</v>
      </c>
      <c r="I432" s="2">
        <v>196.78</v>
      </c>
      <c r="J432" s="3">
        <v>3</v>
      </c>
      <c r="K432" s="2">
        <v>14.76</v>
      </c>
    </row>
    <row r="433" spans="1:11" x14ac:dyDescent="0.35">
      <c r="A433" s="1">
        <v>41889</v>
      </c>
      <c r="B433" s="3">
        <f t="shared" si="12"/>
        <v>2014</v>
      </c>
      <c r="C433" s="3">
        <f t="shared" si="13"/>
        <v>9</v>
      </c>
      <c r="D433" t="s">
        <v>418</v>
      </c>
      <c r="E433" t="s">
        <v>32</v>
      </c>
      <c r="F433" t="s">
        <v>28</v>
      </c>
      <c r="G433" t="s">
        <v>48</v>
      </c>
      <c r="H433" t="s">
        <v>239</v>
      </c>
      <c r="I433" s="2">
        <v>2.92</v>
      </c>
      <c r="J433" s="3">
        <v>2</v>
      </c>
      <c r="K433" s="2">
        <v>-4.82</v>
      </c>
    </row>
    <row r="434" spans="1:11" x14ac:dyDescent="0.35">
      <c r="A434" s="1">
        <v>41889</v>
      </c>
      <c r="B434" s="3">
        <f t="shared" si="12"/>
        <v>2014</v>
      </c>
      <c r="C434" s="3">
        <f t="shared" si="13"/>
        <v>9</v>
      </c>
      <c r="D434" t="s">
        <v>418</v>
      </c>
      <c r="E434" t="s">
        <v>32</v>
      </c>
      <c r="F434" t="s">
        <v>18</v>
      </c>
      <c r="G434" t="s">
        <v>42</v>
      </c>
      <c r="H434" t="s">
        <v>633</v>
      </c>
      <c r="I434" s="2">
        <v>200.8</v>
      </c>
      <c r="J434" s="3">
        <v>1</v>
      </c>
      <c r="K434" s="2">
        <v>-22.95</v>
      </c>
    </row>
    <row r="435" spans="1:11" x14ac:dyDescent="0.35">
      <c r="A435" s="1">
        <v>41889</v>
      </c>
      <c r="B435" s="3">
        <f t="shared" si="12"/>
        <v>2014</v>
      </c>
      <c r="C435" s="3">
        <f t="shared" si="13"/>
        <v>9</v>
      </c>
      <c r="D435" t="s">
        <v>418</v>
      </c>
      <c r="E435" t="s">
        <v>32</v>
      </c>
      <c r="F435" t="s">
        <v>13</v>
      </c>
      <c r="G435" t="s">
        <v>14</v>
      </c>
      <c r="H435" t="s">
        <v>634</v>
      </c>
      <c r="I435" s="2">
        <v>46.69</v>
      </c>
      <c r="J435" s="3">
        <v>4</v>
      </c>
      <c r="K435" s="2">
        <v>-2.92</v>
      </c>
    </row>
    <row r="436" spans="1:11" x14ac:dyDescent="0.35">
      <c r="A436" s="1">
        <v>41889</v>
      </c>
      <c r="B436" s="3">
        <f t="shared" si="12"/>
        <v>2014</v>
      </c>
      <c r="C436" s="3">
        <f t="shared" si="13"/>
        <v>9</v>
      </c>
      <c r="D436" t="s">
        <v>418</v>
      </c>
      <c r="E436" t="s">
        <v>32</v>
      </c>
      <c r="F436" t="s">
        <v>28</v>
      </c>
      <c r="G436" t="s">
        <v>64</v>
      </c>
      <c r="H436" t="s">
        <v>635</v>
      </c>
      <c r="I436" s="2">
        <v>21.86</v>
      </c>
      <c r="J436" s="3">
        <v>3</v>
      </c>
      <c r="K436" s="2">
        <v>3.55</v>
      </c>
    </row>
    <row r="437" spans="1:11" x14ac:dyDescent="0.35">
      <c r="A437" s="1">
        <v>41889</v>
      </c>
      <c r="B437" s="3">
        <f t="shared" si="12"/>
        <v>2014</v>
      </c>
      <c r="C437" s="3">
        <f t="shared" si="13"/>
        <v>9</v>
      </c>
      <c r="D437" t="s">
        <v>636</v>
      </c>
      <c r="E437" t="s">
        <v>339</v>
      </c>
      <c r="F437" t="s">
        <v>18</v>
      </c>
      <c r="G437" t="s">
        <v>42</v>
      </c>
      <c r="H437" t="s">
        <v>283</v>
      </c>
      <c r="I437" s="2">
        <v>429.9</v>
      </c>
      <c r="J437" s="3">
        <v>5</v>
      </c>
      <c r="K437" s="2">
        <v>111.77</v>
      </c>
    </row>
    <row r="438" spans="1:11" x14ac:dyDescent="0.35">
      <c r="A438" s="1">
        <v>41889</v>
      </c>
      <c r="B438" s="3">
        <f t="shared" si="12"/>
        <v>2014</v>
      </c>
      <c r="C438" s="3">
        <f t="shared" si="13"/>
        <v>9</v>
      </c>
      <c r="D438" t="s">
        <v>636</v>
      </c>
      <c r="E438" t="s">
        <v>339</v>
      </c>
      <c r="F438" t="s">
        <v>28</v>
      </c>
      <c r="G438" t="s">
        <v>48</v>
      </c>
      <c r="H438" t="s">
        <v>637</v>
      </c>
      <c r="I438" s="2">
        <v>32.06</v>
      </c>
      <c r="J438" s="3">
        <v>2</v>
      </c>
      <c r="K438" s="2">
        <v>15.39</v>
      </c>
    </row>
    <row r="439" spans="1:11" x14ac:dyDescent="0.35">
      <c r="A439" s="1">
        <v>41889</v>
      </c>
      <c r="B439" s="3">
        <f t="shared" si="12"/>
        <v>2014</v>
      </c>
      <c r="C439" s="3">
        <f t="shared" si="13"/>
        <v>9</v>
      </c>
      <c r="D439" t="s">
        <v>636</v>
      </c>
      <c r="E439" t="s">
        <v>339</v>
      </c>
      <c r="F439" t="s">
        <v>18</v>
      </c>
      <c r="G439" t="s">
        <v>19</v>
      </c>
      <c r="H439" t="s">
        <v>638</v>
      </c>
      <c r="I439" s="2">
        <v>161.96</v>
      </c>
      <c r="J439" s="3">
        <v>2</v>
      </c>
      <c r="K439" s="2">
        <v>45.35</v>
      </c>
    </row>
    <row r="440" spans="1:11" x14ac:dyDescent="0.35">
      <c r="A440" s="1">
        <v>41889</v>
      </c>
      <c r="B440" s="3">
        <f t="shared" si="12"/>
        <v>2014</v>
      </c>
      <c r="C440" s="3">
        <f t="shared" si="13"/>
        <v>9</v>
      </c>
      <c r="D440" t="s">
        <v>636</v>
      </c>
      <c r="E440" t="s">
        <v>339</v>
      </c>
      <c r="F440" t="s">
        <v>28</v>
      </c>
      <c r="G440" t="s">
        <v>38</v>
      </c>
      <c r="H440" t="s">
        <v>639</v>
      </c>
      <c r="I440" s="2">
        <v>19.86</v>
      </c>
      <c r="J440" s="3">
        <v>2</v>
      </c>
      <c r="K440" s="2">
        <v>5.76</v>
      </c>
    </row>
    <row r="441" spans="1:11" x14ac:dyDescent="0.35">
      <c r="A441" s="1">
        <v>41889</v>
      </c>
      <c r="B441" s="3">
        <f t="shared" si="12"/>
        <v>2014</v>
      </c>
      <c r="C441" s="3">
        <f t="shared" si="13"/>
        <v>9</v>
      </c>
      <c r="D441" t="s">
        <v>640</v>
      </c>
      <c r="E441" t="s">
        <v>45</v>
      </c>
      <c r="F441" t="s">
        <v>28</v>
      </c>
      <c r="G441" t="s">
        <v>215</v>
      </c>
      <c r="H441" t="s">
        <v>641</v>
      </c>
      <c r="I441" s="2">
        <v>27.36</v>
      </c>
      <c r="J441" s="3">
        <v>4</v>
      </c>
      <c r="K441" s="2">
        <v>7.39</v>
      </c>
    </row>
    <row r="442" spans="1:11" x14ac:dyDescent="0.35">
      <c r="A442" s="1">
        <v>41889</v>
      </c>
      <c r="B442" s="3">
        <f t="shared" si="12"/>
        <v>2014</v>
      </c>
      <c r="C442" s="3">
        <f t="shared" si="13"/>
        <v>9</v>
      </c>
      <c r="D442" t="s">
        <v>640</v>
      </c>
      <c r="E442" t="s">
        <v>45</v>
      </c>
      <c r="F442" t="s">
        <v>28</v>
      </c>
      <c r="G442" t="s">
        <v>29</v>
      </c>
      <c r="H442" t="s">
        <v>258</v>
      </c>
      <c r="I442" s="2">
        <v>20.56</v>
      </c>
      <c r="J442" s="3">
        <v>2</v>
      </c>
      <c r="K442" s="2">
        <v>9.66</v>
      </c>
    </row>
    <row r="443" spans="1:11" x14ac:dyDescent="0.35">
      <c r="A443" s="1">
        <v>41889</v>
      </c>
      <c r="B443" s="3">
        <f t="shared" si="12"/>
        <v>2014</v>
      </c>
      <c r="C443" s="3">
        <f t="shared" si="13"/>
        <v>9</v>
      </c>
      <c r="D443" t="s">
        <v>640</v>
      </c>
      <c r="E443" t="s">
        <v>45</v>
      </c>
      <c r="F443" t="s">
        <v>28</v>
      </c>
      <c r="G443" t="s">
        <v>48</v>
      </c>
      <c r="H443" t="s">
        <v>642</v>
      </c>
      <c r="I443" s="2">
        <v>83.92</v>
      </c>
      <c r="J443" s="3">
        <v>5</v>
      </c>
      <c r="K443" s="2">
        <v>31.47</v>
      </c>
    </row>
    <row r="444" spans="1:11" x14ac:dyDescent="0.35">
      <c r="A444" s="1">
        <v>41889</v>
      </c>
      <c r="B444" s="3">
        <f t="shared" si="12"/>
        <v>2014</v>
      </c>
      <c r="C444" s="3">
        <f t="shared" si="13"/>
        <v>9</v>
      </c>
      <c r="D444" t="s">
        <v>643</v>
      </c>
      <c r="E444" t="s">
        <v>26</v>
      </c>
      <c r="F444" t="s">
        <v>28</v>
      </c>
      <c r="G444" t="s">
        <v>33</v>
      </c>
      <c r="H444" t="s">
        <v>644</v>
      </c>
      <c r="I444" s="2">
        <v>13.16</v>
      </c>
      <c r="J444" s="3">
        <v>5</v>
      </c>
      <c r="K444" s="2">
        <v>4.1100000000000003</v>
      </c>
    </row>
    <row r="445" spans="1:11" x14ac:dyDescent="0.35">
      <c r="A445" s="1">
        <v>41889</v>
      </c>
      <c r="B445" s="3">
        <f t="shared" si="12"/>
        <v>2014</v>
      </c>
      <c r="C445" s="3">
        <f t="shared" si="13"/>
        <v>9</v>
      </c>
      <c r="D445" t="s">
        <v>643</v>
      </c>
      <c r="E445" t="s">
        <v>26</v>
      </c>
      <c r="F445" t="s">
        <v>28</v>
      </c>
      <c r="G445" t="s">
        <v>48</v>
      </c>
      <c r="H445" t="s">
        <v>645</v>
      </c>
      <c r="I445" s="2">
        <v>3.83</v>
      </c>
      <c r="J445" s="3">
        <v>3</v>
      </c>
      <c r="K445" s="2">
        <v>-6.51</v>
      </c>
    </row>
    <row r="446" spans="1:11" x14ac:dyDescent="0.35">
      <c r="A446" s="1">
        <v>41889</v>
      </c>
      <c r="B446" s="3">
        <f t="shared" si="12"/>
        <v>2014</v>
      </c>
      <c r="C446" s="3">
        <f t="shared" si="13"/>
        <v>9</v>
      </c>
      <c r="D446" t="s">
        <v>643</v>
      </c>
      <c r="E446" t="s">
        <v>26</v>
      </c>
      <c r="F446" t="s">
        <v>28</v>
      </c>
      <c r="G446" t="s">
        <v>48</v>
      </c>
      <c r="H446" t="s">
        <v>525</v>
      </c>
      <c r="I446" s="2">
        <v>304.99</v>
      </c>
      <c r="J446" s="3">
        <v>5</v>
      </c>
      <c r="K446" s="2">
        <v>-533.73</v>
      </c>
    </row>
    <row r="447" spans="1:11" x14ac:dyDescent="0.35">
      <c r="A447" s="1">
        <v>41919</v>
      </c>
      <c r="B447" s="3">
        <f t="shared" si="12"/>
        <v>2014</v>
      </c>
      <c r="C447" s="3">
        <f t="shared" si="13"/>
        <v>10</v>
      </c>
      <c r="D447" t="s">
        <v>300</v>
      </c>
      <c r="E447" t="s">
        <v>89</v>
      </c>
      <c r="F447" t="s">
        <v>18</v>
      </c>
      <c r="G447" t="s">
        <v>36</v>
      </c>
      <c r="H447" t="s">
        <v>646</v>
      </c>
      <c r="I447" s="2">
        <v>129.91999999999999</v>
      </c>
      <c r="J447" s="3">
        <v>5</v>
      </c>
      <c r="K447" s="2">
        <v>21.11</v>
      </c>
    </row>
    <row r="448" spans="1:11" x14ac:dyDescent="0.35">
      <c r="A448" s="1">
        <v>41919</v>
      </c>
      <c r="B448" s="3">
        <f t="shared" si="12"/>
        <v>2014</v>
      </c>
      <c r="C448" s="3">
        <f t="shared" si="13"/>
        <v>10</v>
      </c>
      <c r="D448" t="s">
        <v>437</v>
      </c>
      <c r="E448" t="s">
        <v>32</v>
      </c>
      <c r="F448" t="s">
        <v>28</v>
      </c>
      <c r="G448" t="s">
        <v>38</v>
      </c>
      <c r="H448" t="s">
        <v>647</v>
      </c>
      <c r="I448" s="2">
        <v>107.44</v>
      </c>
      <c r="J448" s="3">
        <v>10</v>
      </c>
      <c r="K448" s="2">
        <v>10.74</v>
      </c>
    </row>
    <row r="449" spans="1:11" x14ac:dyDescent="0.35">
      <c r="A449" s="1">
        <v>41950</v>
      </c>
      <c r="B449" s="3">
        <f t="shared" si="12"/>
        <v>2014</v>
      </c>
      <c r="C449" s="3">
        <f t="shared" si="13"/>
        <v>11</v>
      </c>
      <c r="D449" t="s">
        <v>648</v>
      </c>
      <c r="E449" t="s">
        <v>32</v>
      </c>
      <c r="F449" t="s">
        <v>28</v>
      </c>
      <c r="G449" t="s">
        <v>48</v>
      </c>
      <c r="H449" t="s">
        <v>649</v>
      </c>
      <c r="I449" s="2">
        <v>26.05</v>
      </c>
      <c r="J449" s="3">
        <v>3</v>
      </c>
      <c r="K449" s="2">
        <v>-44.28</v>
      </c>
    </row>
    <row r="450" spans="1:11" x14ac:dyDescent="0.35">
      <c r="A450" s="1">
        <v>41950</v>
      </c>
      <c r="B450" s="3">
        <f t="shared" ref="B450:B513" si="14">YEAR(A450)</f>
        <v>2014</v>
      </c>
      <c r="C450" s="3">
        <f t="shared" ref="C450:C513" si="15">MONTH(A450)</f>
        <v>11</v>
      </c>
      <c r="D450" t="s">
        <v>648</v>
      </c>
      <c r="E450" t="s">
        <v>32</v>
      </c>
      <c r="F450" t="s">
        <v>28</v>
      </c>
      <c r="G450" t="s">
        <v>158</v>
      </c>
      <c r="H450" t="s">
        <v>159</v>
      </c>
      <c r="I450" s="2">
        <v>74.349999999999994</v>
      </c>
      <c r="J450" s="3">
        <v>3</v>
      </c>
      <c r="K450" s="2">
        <v>26.95</v>
      </c>
    </row>
    <row r="451" spans="1:11" x14ac:dyDescent="0.35">
      <c r="A451" s="1">
        <v>41950</v>
      </c>
      <c r="B451" s="3">
        <f t="shared" si="14"/>
        <v>2014</v>
      </c>
      <c r="C451" s="3">
        <f t="shared" si="15"/>
        <v>11</v>
      </c>
      <c r="D451" t="s">
        <v>96</v>
      </c>
      <c r="E451" t="s">
        <v>45</v>
      </c>
      <c r="F451" t="s">
        <v>28</v>
      </c>
      <c r="G451" t="s">
        <v>48</v>
      </c>
      <c r="H451" t="s">
        <v>498</v>
      </c>
      <c r="I451" s="2">
        <v>123.14</v>
      </c>
      <c r="J451" s="3">
        <v>7</v>
      </c>
      <c r="K451" s="2">
        <v>46.18</v>
      </c>
    </row>
    <row r="452" spans="1:11" x14ac:dyDescent="0.35">
      <c r="A452" s="1">
        <v>41950</v>
      </c>
      <c r="B452" s="3">
        <f t="shared" si="14"/>
        <v>2014</v>
      </c>
      <c r="C452" s="3">
        <f t="shared" si="15"/>
        <v>11</v>
      </c>
      <c r="D452" t="s">
        <v>282</v>
      </c>
      <c r="E452" t="s">
        <v>32</v>
      </c>
      <c r="F452" t="s">
        <v>18</v>
      </c>
      <c r="G452" t="s">
        <v>19</v>
      </c>
      <c r="H452" t="s">
        <v>650</v>
      </c>
      <c r="I452" s="2">
        <v>683.14</v>
      </c>
      <c r="J452" s="3">
        <v>4</v>
      </c>
      <c r="K452" s="2">
        <v>0</v>
      </c>
    </row>
    <row r="453" spans="1:11" x14ac:dyDescent="0.35">
      <c r="A453" s="1">
        <v>41950</v>
      </c>
      <c r="B453" s="3">
        <f t="shared" si="14"/>
        <v>2014</v>
      </c>
      <c r="C453" s="3">
        <f t="shared" si="15"/>
        <v>11</v>
      </c>
      <c r="D453" t="s">
        <v>282</v>
      </c>
      <c r="E453" t="s">
        <v>32</v>
      </c>
      <c r="F453" t="s">
        <v>28</v>
      </c>
      <c r="G453" t="s">
        <v>48</v>
      </c>
      <c r="H453" t="s">
        <v>651</v>
      </c>
      <c r="I453" s="2">
        <v>1.48</v>
      </c>
      <c r="J453" s="3">
        <v>3</v>
      </c>
      <c r="K453" s="2">
        <v>-2.21</v>
      </c>
    </row>
    <row r="454" spans="1:11" x14ac:dyDescent="0.35">
      <c r="A454" s="1">
        <v>41950</v>
      </c>
      <c r="B454" s="3">
        <f t="shared" si="14"/>
        <v>2014</v>
      </c>
      <c r="C454" s="3">
        <f t="shared" si="15"/>
        <v>11</v>
      </c>
      <c r="D454" t="s">
        <v>282</v>
      </c>
      <c r="E454" t="s">
        <v>32</v>
      </c>
      <c r="F454" t="s">
        <v>28</v>
      </c>
      <c r="G454" t="s">
        <v>215</v>
      </c>
      <c r="H454" t="s">
        <v>652</v>
      </c>
      <c r="I454" s="2">
        <v>40.71</v>
      </c>
      <c r="J454" s="3">
        <v>7</v>
      </c>
      <c r="K454" s="2">
        <v>3.56</v>
      </c>
    </row>
    <row r="455" spans="1:11" x14ac:dyDescent="0.35">
      <c r="A455" s="1">
        <v>41950</v>
      </c>
      <c r="B455" s="3">
        <f t="shared" si="14"/>
        <v>2014</v>
      </c>
      <c r="C455" s="3">
        <f t="shared" si="15"/>
        <v>11</v>
      </c>
      <c r="D455" t="s">
        <v>653</v>
      </c>
      <c r="E455" t="s">
        <v>12</v>
      </c>
      <c r="F455" t="s">
        <v>28</v>
      </c>
      <c r="G455" t="s">
        <v>58</v>
      </c>
      <c r="H455" t="s">
        <v>654</v>
      </c>
      <c r="I455" s="2">
        <v>245.88</v>
      </c>
      <c r="J455" s="3">
        <v>6</v>
      </c>
      <c r="K455" s="2">
        <v>68.849999999999994</v>
      </c>
    </row>
    <row r="456" spans="1:11" x14ac:dyDescent="0.35">
      <c r="A456" s="1">
        <v>41950</v>
      </c>
      <c r="B456" s="3">
        <f t="shared" si="14"/>
        <v>2014</v>
      </c>
      <c r="C456" s="3">
        <f t="shared" si="15"/>
        <v>11</v>
      </c>
      <c r="D456" t="s">
        <v>653</v>
      </c>
      <c r="E456" t="s">
        <v>12</v>
      </c>
      <c r="F456" t="s">
        <v>28</v>
      </c>
      <c r="G456" t="s">
        <v>38</v>
      </c>
      <c r="H456" t="s">
        <v>655</v>
      </c>
      <c r="I456" s="2">
        <v>36.630000000000003</v>
      </c>
      <c r="J456" s="3">
        <v>3</v>
      </c>
      <c r="K456" s="2">
        <v>9.89</v>
      </c>
    </row>
    <row r="457" spans="1:11" x14ac:dyDescent="0.35">
      <c r="A457" s="1">
        <v>41950</v>
      </c>
      <c r="B457" s="3">
        <f t="shared" si="14"/>
        <v>2014</v>
      </c>
      <c r="C457" s="3">
        <f t="shared" si="15"/>
        <v>11</v>
      </c>
      <c r="D457" t="s">
        <v>653</v>
      </c>
      <c r="E457" t="s">
        <v>12</v>
      </c>
      <c r="F457" t="s">
        <v>28</v>
      </c>
      <c r="G457" t="s">
        <v>38</v>
      </c>
      <c r="H457" t="s">
        <v>656</v>
      </c>
      <c r="I457" s="2">
        <v>22.58</v>
      </c>
      <c r="J457" s="3">
        <v>2</v>
      </c>
      <c r="K457" s="2">
        <v>5.87</v>
      </c>
    </row>
    <row r="458" spans="1:11" x14ac:dyDescent="0.35">
      <c r="A458" s="1">
        <v>41950</v>
      </c>
      <c r="B458" s="3">
        <f t="shared" si="14"/>
        <v>2014</v>
      </c>
      <c r="C458" s="3">
        <f t="shared" si="15"/>
        <v>11</v>
      </c>
      <c r="D458" t="s">
        <v>653</v>
      </c>
      <c r="E458" t="s">
        <v>12</v>
      </c>
      <c r="F458" t="s">
        <v>28</v>
      </c>
      <c r="G458" t="s">
        <v>48</v>
      </c>
      <c r="H458" t="s">
        <v>657</v>
      </c>
      <c r="I458" s="2">
        <v>12.39</v>
      </c>
      <c r="J458" s="3">
        <v>3</v>
      </c>
      <c r="K458" s="2">
        <v>5.82</v>
      </c>
    </row>
    <row r="459" spans="1:11" x14ac:dyDescent="0.35">
      <c r="A459" s="1">
        <v>41950</v>
      </c>
      <c r="B459" s="3">
        <f t="shared" si="14"/>
        <v>2014</v>
      </c>
      <c r="C459" s="3">
        <f t="shared" si="15"/>
        <v>11</v>
      </c>
      <c r="D459" t="s">
        <v>619</v>
      </c>
      <c r="E459" t="s">
        <v>22</v>
      </c>
      <c r="F459" t="s">
        <v>28</v>
      </c>
      <c r="G459" t="s">
        <v>33</v>
      </c>
      <c r="H459" t="s">
        <v>658</v>
      </c>
      <c r="I459" s="2">
        <v>5.92</v>
      </c>
      <c r="J459" s="3">
        <v>4</v>
      </c>
      <c r="K459" s="2">
        <v>2.84</v>
      </c>
    </row>
    <row r="460" spans="1:11" x14ac:dyDescent="0.35">
      <c r="A460" s="1">
        <v>41950</v>
      </c>
      <c r="B460" s="3">
        <f t="shared" si="14"/>
        <v>2014</v>
      </c>
      <c r="C460" s="3">
        <f t="shared" si="15"/>
        <v>11</v>
      </c>
      <c r="D460" t="s">
        <v>619</v>
      </c>
      <c r="E460" t="s">
        <v>22</v>
      </c>
      <c r="F460" t="s">
        <v>28</v>
      </c>
      <c r="G460" t="s">
        <v>29</v>
      </c>
      <c r="H460" t="s">
        <v>659</v>
      </c>
      <c r="I460" s="2">
        <v>30.18</v>
      </c>
      <c r="J460" s="3">
        <v>3</v>
      </c>
      <c r="K460" s="2">
        <v>13.88</v>
      </c>
    </row>
    <row r="461" spans="1:11" x14ac:dyDescent="0.35">
      <c r="A461" s="1">
        <v>41950</v>
      </c>
      <c r="B461" s="3">
        <f t="shared" si="14"/>
        <v>2014</v>
      </c>
      <c r="C461" s="3">
        <f t="shared" si="15"/>
        <v>11</v>
      </c>
      <c r="D461" t="s">
        <v>660</v>
      </c>
      <c r="E461" t="s">
        <v>107</v>
      </c>
      <c r="F461" t="s">
        <v>28</v>
      </c>
      <c r="G461" t="s">
        <v>29</v>
      </c>
      <c r="H461" t="s">
        <v>459</v>
      </c>
      <c r="I461" s="2">
        <v>25.92</v>
      </c>
      <c r="J461" s="3">
        <v>5</v>
      </c>
      <c r="K461" s="2">
        <v>9.07</v>
      </c>
    </row>
    <row r="462" spans="1:11" x14ac:dyDescent="0.35">
      <c r="A462" s="1">
        <v>41950</v>
      </c>
      <c r="B462" s="3">
        <f t="shared" si="14"/>
        <v>2014</v>
      </c>
      <c r="C462" s="3">
        <f t="shared" si="15"/>
        <v>11</v>
      </c>
      <c r="D462" t="s">
        <v>660</v>
      </c>
      <c r="E462" t="s">
        <v>107</v>
      </c>
      <c r="F462" t="s">
        <v>28</v>
      </c>
      <c r="G462" t="s">
        <v>64</v>
      </c>
      <c r="H462" t="s">
        <v>661</v>
      </c>
      <c r="I462" s="2">
        <v>120.77</v>
      </c>
      <c r="J462" s="3">
        <v>4</v>
      </c>
      <c r="K462" s="2">
        <v>9.06</v>
      </c>
    </row>
    <row r="463" spans="1:11" x14ac:dyDescent="0.35">
      <c r="A463" s="1">
        <v>41980</v>
      </c>
      <c r="B463" s="3">
        <f t="shared" si="14"/>
        <v>2014</v>
      </c>
      <c r="C463" s="3">
        <f t="shared" si="15"/>
        <v>12</v>
      </c>
      <c r="D463" t="s">
        <v>222</v>
      </c>
      <c r="E463" t="s">
        <v>173</v>
      </c>
      <c r="F463" t="s">
        <v>28</v>
      </c>
      <c r="G463" t="s">
        <v>29</v>
      </c>
      <c r="H463" t="s">
        <v>588</v>
      </c>
      <c r="I463" s="2">
        <v>105.52</v>
      </c>
      <c r="J463" s="3">
        <v>4</v>
      </c>
      <c r="K463" s="2">
        <v>48.54</v>
      </c>
    </row>
    <row r="464" spans="1:11" x14ac:dyDescent="0.35">
      <c r="A464" s="1">
        <v>41980</v>
      </c>
      <c r="B464" s="3">
        <f t="shared" si="14"/>
        <v>2014</v>
      </c>
      <c r="C464" s="3">
        <f t="shared" si="15"/>
        <v>12</v>
      </c>
      <c r="D464" t="s">
        <v>662</v>
      </c>
      <c r="E464" t="s">
        <v>45</v>
      </c>
      <c r="F464" t="s">
        <v>28</v>
      </c>
      <c r="G464" t="s">
        <v>64</v>
      </c>
      <c r="H464" t="s">
        <v>663</v>
      </c>
      <c r="I464" s="2">
        <v>8.64</v>
      </c>
      <c r="J464" s="3">
        <v>3</v>
      </c>
      <c r="K464" s="2">
        <v>2.42</v>
      </c>
    </row>
    <row r="465" spans="1:11" x14ac:dyDescent="0.35">
      <c r="A465" s="1">
        <v>41980</v>
      </c>
      <c r="B465" s="3">
        <f t="shared" si="14"/>
        <v>2014</v>
      </c>
      <c r="C465" s="3">
        <f t="shared" si="15"/>
        <v>12</v>
      </c>
      <c r="D465" t="s">
        <v>88</v>
      </c>
      <c r="E465" t="s">
        <v>17</v>
      </c>
      <c r="F465" t="s">
        <v>28</v>
      </c>
      <c r="G465" t="s">
        <v>38</v>
      </c>
      <c r="H465" t="s">
        <v>307</v>
      </c>
      <c r="I465" s="2">
        <v>269.36</v>
      </c>
      <c r="J465" s="3">
        <v>7</v>
      </c>
      <c r="K465" s="2">
        <v>70.03</v>
      </c>
    </row>
    <row r="466" spans="1:11" x14ac:dyDescent="0.35">
      <c r="A466" s="1">
        <v>41980</v>
      </c>
      <c r="B466" s="3">
        <f t="shared" si="14"/>
        <v>2014</v>
      </c>
      <c r="C466" s="3">
        <f t="shared" si="15"/>
        <v>12</v>
      </c>
      <c r="D466" t="s">
        <v>664</v>
      </c>
      <c r="E466" t="s">
        <v>45</v>
      </c>
      <c r="F466" t="s">
        <v>28</v>
      </c>
      <c r="G466" t="s">
        <v>29</v>
      </c>
      <c r="H466" t="s">
        <v>665</v>
      </c>
      <c r="I466" s="2">
        <v>164.88</v>
      </c>
      <c r="J466" s="3">
        <v>3</v>
      </c>
      <c r="K466" s="2">
        <v>80.790000000000006</v>
      </c>
    </row>
    <row r="467" spans="1:11" x14ac:dyDescent="0.35">
      <c r="A467" s="1">
        <v>41678</v>
      </c>
      <c r="B467" s="3">
        <f t="shared" si="14"/>
        <v>2014</v>
      </c>
      <c r="C467" s="3">
        <f t="shared" si="15"/>
        <v>2</v>
      </c>
      <c r="D467" t="s">
        <v>403</v>
      </c>
      <c r="E467" t="s">
        <v>100</v>
      </c>
      <c r="F467" t="s">
        <v>18</v>
      </c>
      <c r="G467" t="s">
        <v>36</v>
      </c>
      <c r="H467" t="s">
        <v>666</v>
      </c>
      <c r="I467" s="2">
        <v>14.56</v>
      </c>
      <c r="J467" s="3">
        <v>2</v>
      </c>
      <c r="K467" s="2">
        <v>5.53</v>
      </c>
    </row>
    <row r="468" spans="1:11" x14ac:dyDescent="0.35">
      <c r="A468" s="1">
        <v>41737</v>
      </c>
      <c r="B468" s="3">
        <f t="shared" si="14"/>
        <v>2014</v>
      </c>
      <c r="C468" s="3">
        <f t="shared" si="15"/>
        <v>4</v>
      </c>
      <c r="D468" t="s">
        <v>667</v>
      </c>
      <c r="E468" t="s">
        <v>211</v>
      </c>
      <c r="F468" t="s">
        <v>28</v>
      </c>
      <c r="G468" t="s">
        <v>33</v>
      </c>
      <c r="H468" t="s">
        <v>658</v>
      </c>
      <c r="I468" s="2">
        <v>2.37</v>
      </c>
      <c r="J468" s="3">
        <v>2</v>
      </c>
      <c r="K468" s="2">
        <v>0.83</v>
      </c>
    </row>
    <row r="469" spans="1:11" x14ac:dyDescent="0.35">
      <c r="A469" s="1">
        <v>41737</v>
      </c>
      <c r="B469" s="3">
        <f t="shared" si="14"/>
        <v>2014</v>
      </c>
      <c r="C469" s="3">
        <f t="shared" si="15"/>
        <v>4</v>
      </c>
      <c r="D469" t="s">
        <v>667</v>
      </c>
      <c r="E469" t="s">
        <v>211</v>
      </c>
      <c r="F469" t="s">
        <v>28</v>
      </c>
      <c r="G469" t="s">
        <v>29</v>
      </c>
      <c r="H469" t="s">
        <v>668</v>
      </c>
      <c r="I469" s="2">
        <v>19.010000000000002</v>
      </c>
      <c r="J469" s="3">
        <v>3</v>
      </c>
      <c r="K469" s="2">
        <v>6.89</v>
      </c>
    </row>
    <row r="470" spans="1:11" x14ac:dyDescent="0.35">
      <c r="A470" s="1">
        <v>41737</v>
      </c>
      <c r="B470" s="3">
        <f t="shared" si="14"/>
        <v>2014</v>
      </c>
      <c r="C470" s="3">
        <f t="shared" si="15"/>
        <v>4</v>
      </c>
      <c r="D470" t="s">
        <v>669</v>
      </c>
      <c r="E470" t="s">
        <v>607</v>
      </c>
      <c r="F470" t="s">
        <v>18</v>
      </c>
      <c r="G470" t="s">
        <v>42</v>
      </c>
      <c r="H470" t="s">
        <v>670</v>
      </c>
      <c r="I470" s="2">
        <v>1215.92</v>
      </c>
      <c r="J470" s="3">
        <v>8</v>
      </c>
      <c r="K470" s="2">
        <v>316.14</v>
      </c>
    </row>
    <row r="471" spans="1:11" x14ac:dyDescent="0.35">
      <c r="A471" s="1">
        <v>41737</v>
      </c>
      <c r="B471" s="3">
        <f t="shared" si="14"/>
        <v>2014</v>
      </c>
      <c r="C471" s="3">
        <f t="shared" si="15"/>
        <v>4</v>
      </c>
      <c r="D471" t="s">
        <v>671</v>
      </c>
      <c r="E471" t="s">
        <v>211</v>
      </c>
      <c r="F471" t="s">
        <v>28</v>
      </c>
      <c r="G471" t="s">
        <v>33</v>
      </c>
      <c r="H471" t="s">
        <v>529</v>
      </c>
      <c r="I471" s="2">
        <v>49.79</v>
      </c>
      <c r="J471" s="3">
        <v>8</v>
      </c>
      <c r="K471" s="2">
        <v>-11.83</v>
      </c>
    </row>
    <row r="472" spans="1:11" x14ac:dyDescent="0.35">
      <c r="A472" s="1">
        <v>41737</v>
      </c>
      <c r="B472" s="3">
        <f t="shared" si="14"/>
        <v>2014</v>
      </c>
      <c r="C472" s="3">
        <f t="shared" si="15"/>
        <v>4</v>
      </c>
      <c r="D472" t="s">
        <v>403</v>
      </c>
      <c r="E472" t="s">
        <v>45</v>
      </c>
      <c r="F472" t="s">
        <v>18</v>
      </c>
      <c r="G472" t="s">
        <v>42</v>
      </c>
      <c r="H472" t="s">
        <v>672</v>
      </c>
      <c r="I472" s="2">
        <v>99.59</v>
      </c>
      <c r="J472" s="3">
        <v>1</v>
      </c>
      <c r="K472" s="2">
        <v>2.4900000000000002</v>
      </c>
    </row>
    <row r="473" spans="1:11" x14ac:dyDescent="0.35">
      <c r="A473" s="1">
        <v>41737</v>
      </c>
      <c r="B473" s="3">
        <f t="shared" si="14"/>
        <v>2014</v>
      </c>
      <c r="C473" s="3">
        <f t="shared" si="15"/>
        <v>4</v>
      </c>
      <c r="D473" t="s">
        <v>403</v>
      </c>
      <c r="E473" t="s">
        <v>45</v>
      </c>
      <c r="F473" t="s">
        <v>13</v>
      </c>
      <c r="G473" t="s">
        <v>14</v>
      </c>
      <c r="H473" t="s">
        <v>673</v>
      </c>
      <c r="I473" s="2">
        <v>399.96</v>
      </c>
      <c r="J473" s="3">
        <v>4</v>
      </c>
      <c r="K473" s="2">
        <v>139.99</v>
      </c>
    </row>
    <row r="474" spans="1:11" x14ac:dyDescent="0.35">
      <c r="A474" s="1">
        <v>41737</v>
      </c>
      <c r="B474" s="3">
        <f t="shared" si="14"/>
        <v>2014</v>
      </c>
      <c r="C474" s="3">
        <f t="shared" si="15"/>
        <v>4</v>
      </c>
      <c r="D474" t="s">
        <v>674</v>
      </c>
      <c r="E474" t="s">
        <v>131</v>
      </c>
      <c r="F474" t="s">
        <v>18</v>
      </c>
      <c r="G474" t="s">
        <v>42</v>
      </c>
      <c r="H474" t="s">
        <v>675</v>
      </c>
      <c r="I474" s="2">
        <v>172.11</v>
      </c>
      <c r="J474" s="3">
        <v>1</v>
      </c>
      <c r="K474" s="2">
        <v>-94.66</v>
      </c>
    </row>
    <row r="475" spans="1:11" x14ac:dyDescent="0.35">
      <c r="A475" s="1">
        <v>41767</v>
      </c>
      <c r="B475" s="3">
        <f t="shared" si="14"/>
        <v>2014</v>
      </c>
      <c r="C475" s="3">
        <f t="shared" si="15"/>
        <v>5</v>
      </c>
      <c r="D475" t="s">
        <v>676</v>
      </c>
      <c r="E475" t="s">
        <v>89</v>
      </c>
      <c r="F475" t="s">
        <v>13</v>
      </c>
      <c r="G475" t="s">
        <v>143</v>
      </c>
      <c r="H475" t="s">
        <v>677</v>
      </c>
      <c r="I475" s="2">
        <v>1799.97</v>
      </c>
      <c r="J475" s="3">
        <v>5</v>
      </c>
      <c r="K475" s="2">
        <v>240</v>
      </c>
    </row>
    <row r="476" spans="1:11" x14ac:dyDescent="0.35">
      <c r="A476" s="1">
        <v>41798</v>
      </c>
      <c r="B476" s="3">
        <f t="shared" si="14"/>
        <v>2014</v>
      </c>
      <c r="C476" s="3">
        <f t="shared" si="15"/>
        <v>6</v>
      </c>
      <c r="D476" t="s">
        <v>678</v>
      </c>
      <c r="E476" t="s">
        <v>17</v>
      </c>
      <c r="F476" t="s">
        <v>18</v>
      </c>
      <c r="G476" t="s">
        <v>19</v>
      </c>
      <c r="H476" t="s">
        <v>650</v>
      </c>
      <c r="I476" s="2">
        <v>585.54999999999995</v>
      </c>
      <c r="J476" s="3">
        <v>3</v>
      </c>
      <c r="K476" s="2">
        <v>73.19</v>
      </c>
    </row>
    <row r="477" spans="1:11" x14ac:dyDescent="0.35">
      <c r="A477" s="1">
        <v>41798</v>
      </c>
      <c r="B477" s="3">
        <f t="shared" si="14"/>
        <v>2014</v>
      </c>
      <c r="C477" s="3">
        <f t="shared" si="15"/>
        <v>6</v>
      </c>
      <c r="D477" t="s">
        <v>274</v>
      </c>
      <c r="E477" t="s">
        <v>326</v>
      </c>
      <c r="F477" t="s">
        <v>18</v>
      </c>
      <c r="G477" t="s">
        <v>19</v>
      </c>
      <c r="H477" t="s">
        <v>679</v>
      </c>
      <c r="I477" s="2">
        <v>170.35</v>
      </c>
      <c r="J477" s="3">
        <v>3</v>
      </c>
      <c r="K477" s="2">
        <v>10.65</v>
      </c>
    </row>
    <row r="478" spans="1:11" x14ac:dyDescent="0.35">
      <c r="A478" s="1">
        <v>41798</v>
      </c>
      <c r="B478" s="3">
        <f t="shared" si="14"/>
        <v>2014</v>
      </c>
      <c r="C478" s="3">
        <f t="shared" si="15"/>
        <v>6</v>
      </c>
      <c r="D478" t="s">
        <v>680</v>
      </c>
      <c r="E478" t="s">
        <v>22</v>
      </c>
      <c r="F478" t="s">
        <v>28</v>
      </c>
      <c r="G478" t="s">
        <v>48</v>
      </c>
      <c r="H478" t="s">
        <v>681</v>
      </c>
      <c r="I478" s="2">
        <v>68.48</v>
      </c>
      <c r="J478" s="3">
        <v>2</v>
      </c>
      <c r="K478" s="2">
        <v>25.68</v>
      </c>
    </row>
    <row r="479" spans="1:11" x14ac:dyDescent="0.35">
      <c r="A479" s="1">
        <v>41798</v>
      </c>
      <c r="B479" s="3">
        <f t="shared" si="14"/>
        <v>2014</v>
      </c>
      <c r="C479" s="3">
        <f t="shared" si="15"/>
        <v>6</v>
      </c>
      <c r="D479" t="s">
        <v>680</v>
      </c>
      <c r="E479" t="s">
        <v>22</v>
      </c>
      <c r="F479" t="s">
        <v>28</v>
      </c>
      <c r="G479" t="s">
        <v>38</v>
      </c>
      <c r="H479" t="s">
        <v>682</v>
      </c>
      <c r="I479" s="2">
        <v>1676.88</v>
      </c>
      <c r="J479" s="3">
        <v>6</v>
      </c>
      <c r="K479" s="2">
        <v>83.84</v>
      </c>
    </row>
    <row r="480" spans="1:11" x14ac:dyDescent="0.35">
      <c r="A480" s="1">
        <v>41828</v>
      </c>
      <c r="B480" s="3">
        <f t="shared" si="14"/>
        <v>2014</v>
      </c>
      <c r="C480" s="3">
        <f t="shared" si="15"/>
        <v>7</v>
      </c>
      <c r="D480" t="s">
        <v>683</v>
      </c>
      <c r="E480" t="s">
        <v>22</v>
      </c>
      <c r="F480" t="s">
        <v>18</v>
      </c>
      <c r="G480" t="s">
        <v>19</v>
      </c>
      <c r="H480" t="s">
        <v>679</v>
      </c>
      <c r="I480" s="2">
        <v>63.88</v>
      </c>
      <c r="J480" s="3">
        <v>1</v>
      </c>
      <c r="K480" s="2">
        <v>10.65</v>
      </c>
    </row>
    <row r="481" spans="1:11" x14ac:dyDescent="0.35">
      <c r="A481" s="1">
        <v>41828</v>
      </c>
      <c r="B481" s="3">
        <f t="shared" si="14"/>
        <v>2014</v>
      </c>
      <c r="C481" s="3">
        <f t="shared" si="15"/>
        <v>7</v>
      </c>
      <c r="D481" t="s">
        <v>684</v>
      </c>
      <c r="E481" t="s">
        <v>45</v>
      </c>
      <c r="F481" t="s">
        <v>18</v>
      </c>
      <c r="G481" t="s">
        <v>42</v>
      </c>
      <c r="H481" t="s">
        <v>685</v>
      </c>
      <c r="I481" s="2">
        <v>502.49</v>
      </c>
      <c r="J481" s="3">
        <v>3</v>
      </c>
      <c r="K481" s="2">
        <v>-87.94</v>
      </c>
    </row>
    <row r="482" spans="1:11" x14ac:dyDescent="0.35">
      <c r="A482" s="1">
        <v>41828</v>
      </c>
      <c r="B482" s="3">
        <f t="shared" si="14"/>
        <v>2014</v>
      </c>
      <c r="C482" s="3">
        <f t="shared" si="15"/>
        <v>7</v>
      </c>
      <c r="D482" t="s">
        <v>684</v>
      </c>
      <c r="E482" t="s">
        <v>45</v>
      </c>
      <c r="F482" t="s">
        <v>28</v>
      </c>
      <c r="G482" t="s">
        <v>48</v>
      </c>
      <c r="H482" t="s">
        <v>686</v>
      </c>
      <c r="I482" s="2">
        <v>196.7</v>
      </c>
      <c r="J482" s="3">
        <v>6</v>
      </c>
      <c r="K482" s="2">
        <v>68.849999999999994</v>
      </c>
    </row>
    <row r="483" spans="1:11" x14ac:dyDescent="0.35">
      <c r="A483" s="1">
        <v>41859</v>
      </c>
      <c r="B483" s="3">
        <f t="shared" si="14"/>
        <v>2014</v>
      </c>
      <c r="C483" s="3">
        <f t="shared" si="15"/>
        <v>8</v>
      </c>
      <c r="D483" t="s">
        <v>687</v>
      </c>
      <c r="E483" t="s">
        <v>45</v>
      </c>
      <c r="F483" t="s">
        <v>28</v>
      </c>
      <c r="G483" t="s">
        <v>58</v>
      </c>
      <c r="H483" t="s">
        <v>129</v>
      </c>
      <c r="I483" s="2">
        <v>76.12</v>
      </c>
      <c r="J483" s="3">
        <v>2</v>
      </c>
      <c r="K483" s="2">
        <v>22.07</v>
      </c>
    </row>
    <row r="484" spans="1:11" x14ac:dyDescent="0.35">
      <c r="A484" s="1">
        <v>41859</v>
      </c>
      <c r="B484" s="3">
        <f t="shared" si="14"/>
        <v>2014</v>
      </c>
      <c r="C484" s="3">
        <f t="shared" si="15"/>
        <v>8</v>
      </c>
      <c r="D484" t="s">
        <v>687</v>
      </c>
      <c r="E484" t="s">
        <v>45</v>
      </c>
      <c r="F484" t="s">
        <v>13</v>
      </c>
      <c r="G484" t="s">
        <v>143</v>
      </c>
      <c r="H484" t="s">
        <v>688</v>
      </c>
      <c r="I484" s="2">
        <v>1199.98</v>
      </c>
      <c r="J484" s="3">
        <v>3</v>
      </c>
      <c r="K484" s="2">
        <v>434.99</v>
      </c>
    </row>
    <row r="485" spans="1:11" x14ac:dyDescent="0.35">
      <c r="A485" s="1">
        <v>41859</v>
      </c>
      <c r="B485" s="3">
        <f t="shared" si="14"/>
        <v>2014</v>
      </c>
      <c r="C485" s="3">
        <f t="shared" si="15"/>
        <v>8</v>
      </c>
      <c r="D485" t="s">
        <v>687</v>
      </c>
      <c r="E485" t="s">
        <v>45</v>
      </c>
      <c r="F485" t="s">
        <v>13</v>
      </c>
      <c r="G485" t="s">
        <v>23</v>
      </c>
      <c r="H485" t="s">
        <v>689</v>
      </c>
      <c r="I485" s="2">
        <v>445.96</v>
      </c>
      <c r="J485" s="3">
        <v>5</v>
      </c>
      <c r="K485" s="2">
        <v>55.75</v>
      </c>
    </row>
    <row r="486" spans="1:11" x14ac:dyDescent="0.35">
      <c r="A486" s="1">
        <v>41859</v>
      </c>
      <c r="B486" s="3">
        <f t="shared" si="14"/>
        <v>2014</v>
      </c>
      <c r="C486" s="3">
        <f t="shared" si="15"/>
        <v>8</v>
      </c>
      <c r="D486" t="s">
        <v>687</v>
      </c>
      <c r="E486" t="s">
        <v>45</v>
      </c>
      <c r="F486" t="s">
        <v>18</v>
      </c>
      <c r="G486" t="s">
        <v>36</v>
      </c>
      <c r="H486" t="s">
        <v>690</v>
      </c>
      <c r="I486" s="2">
        <v>327.76</v>
      </c>
      <c r="J486" s="3">
        <v>8</v>
      </c>
      <c r="K486" s="2">
        <v>91.77</v>
      </c>
    </row>
    <row r="487" spans="1:11" x14ac:dyDescent="0.35">
      <c r="A487" s="1">
        <v>41859</v>
      </c>
      <c r="B487" s="3">
        <f t="shared" si="14"/>
        <v>2014</v>
      </c>
      <c r="C487" s="3">
        <f t="shared" si="15"/>
        <v>8</v>
      </c>
      <c r="D487" t="s">
        <v>691</v>
      </c>
      <c r="E487" t="s">
        <v>211</v>
      </c>
      <c r="F487" t="s">
        <v>18</v>
      </c>
      <c r="G487" t="s">
        <v>36</v>
      </c>
      <c r="H487" t="s">
        <v>692</v>
      </c>
      <c r="I487" s="2">
        <v>121.38</v>
      </c>
      <c r="J487" s="3">
        <v>4</v>
      </c>
      <c r="K487" s="2">
        <v>-3.03</v>
      </c>
    </row>
    <row r="488" spans="1:11" x14ac:dyDescent="0.35">
      <c r="A488" s="1">
        <v>41859</v>
      </c>
      <c r="B488" s="3">
        <f t="shared" si="14"/>
        <v>2014</v>
      </c>
      <c r="C488" s="3">
        <f t="shared" si="15"/>
        <v>8</v>
      </c>
      <c r="D488" t="s">
        <v>691</v>
      </c>
      <c r="E488" t="s">
        <v>211</v>
      </c>
      <c r="F488" t="s">
        <v>13</v>
      </c>
      <c r="G488" t="s">
        <v>14</v>
      </c>
      <c r="H488" t="s">
        <v>693</v>
      </c>
      <c r="I488" s="2">
        <v>95.98</v>
      </c>
      <c r="J488" s="3">
        <v>3</v>
      </c>
      <c r="K488" s="2">
        <v>-10.8</v>
      </c>
    </row>
    <row r="489" spans="1:11" x14ac:dyDescent="0.35">
      <c r="A489" s="1">
        <v>41859</v>
      </c>
      <c r="B489" s="3">
        <f t="shared" si="14"/>
        <v>2014</v>
      </c>
      <c r="C489" s="3">
        <f t="shared" si="15"/>
        <v>8</v>
      </c>
      <c r="D489" t="s">
        <v>694</v>
      </c>
      <c r="E489" t="s">
        <v>45</v>
      </c>
      <c r="F489" t="s">
        <v>28</v>
      </c>
      <c r="G489" t="s">
        <v>38</v>
      </c>
      <c r="H489" t="s">
        <v>307</v>
      </c>
      <c r="I489" s="2">
        <v>423.28</v>
      </c>
      <c r="J489" s="3">
        <v>11</v>
      </c>
      <c r="K489" s="2">
        <v>110.05</v>
      </c>
    </row>
    <row r="490" spans="1:11" x14ac:dyDescent="0.35">
      <c r="A490" s="1">
        <v>41859</v>
      </c>
      <c r="B490" s="3">
        <f t="shared" si="14"/>
        <v>2014</v>
      </c>
      <c r="C490" s="3">
        <f t="shared" si="15"/>
        <v>8</v>
      </c>
      <c r="D490" t="s">
        <v>695</v>
      </c>
      <c r="E490" t="s">
        <v>71</v>
      </c>
      <c r="F490" t="s">
        <v>13</v>
      </c>
      <c r="G490" t="s">
        <v>143</v>
      </c>
      <c r="H490" t="s">
        <v>144</v>
      </c>
      <c r="I490" s="2">
        <v>549.99</v>
      </c>
      <c r="J490" s="3">
        <v>1</v>
      </c>
      <c r="K490" s="2">
        <v>275</v>
      </c>
    </row>
    <row r="491" spans="1:11" x14ac:dyDescent="0.35">
      <c r="A491" s="1">
        <v>41859</v>
      </c>
      <c r="B491" s="3">
        <f t="shared" si="14"/>
        <v>2014</v>
      </c>
      <c r="C491" s="3">
        <f t="shared" si="15"/>
        <v>8</v>
      </c>
      <c r="D491" t="s">
        <v>695</v>
      </c>
      <c r="E491" t="s">
        <v>71</v>
      </c>
      <c r="F491" t="s">
        <v>28</v>
      </c>
      <c r="G491" t="s">
        <v>58</v>
      </c>
      <c r="H491" t="s">
        <v>696</v>
      </c>
      <c r="I491" s="2">
        <v>167.54</v>
      </c>
      <c r="J491" s="3">
        <v>3</v>
      </c>
      <c r="K491" s="2">
        <v>37.229999999999997</v>
      </c>
    </row>
    <row r="492" spans="1:11" x14ac:dyDescent="0.35">
      <c r="A492" s="1">
        <v>41859</v>
      </c>
      <c r="B492" s="3">
        <f t="shared" si="14"/>
        <v>2014</v>
      </c>
      <c r="C492" s="3">
        <f t="shared" si="15"/>
        <v>8</v>
      </c>
      <c r="D492" t="s">
        <v>695</v>
      </c>
      <c r="E492" t="s">
        <v>71</v>
      </c>
      <c r="F492" t="s">
        <v>28</v>
      </c>
      <c r="G492" t="s">
        <v>158</v>
      </c>
      <c r="H492" t="s">
        <v>697</v>
      </c>
      <c r="I492" s="2">
        <v>38.340000000000003</v>
      </c>
      <c r="J492" s="3">
        <v>3</v>
      </c>
      <c r="K492" s="2">
        <v>17.25</v>
      </c>
    </row>
    <row r="493" spans="1:11" x14ac:dyDescent="0.35">
      <c r="A493" s="1">
        <v>41859</v>
      </c>
      <c r="B493" s="3">
        <f t="shared" si="14"/>
        <v>2014</v>
      </c>
      <c r="C493" s="3">
        <f t="shared" si="15"/>
        <v>8</v>
      </c>
      <c r="D493" t="s">
        <v>695</v>
      </c>
      <c r="E493" t="s">
        <v>71</v>
      </c>
      <c r="F493" t="s">
        <v>18</v>
      </c>
      <c r="G493" t="s">
        <v>36</v>
      </c>
      <c r="H493" t="s">
        <v>583</v>
      </c>
      <c r="I493" s="2">
        <v>53.88</v>
      </c>
      <c r="J493" s="3">
        <v>6</v>
      </c>
      <c r="K493" s="2">
        <v>22.63</v>
      </c>
    </row>
    <row r="494" spans="1:11" x14ac:dyDescent="0.35">
      <c r="A494" s="1">
        <v>41859</v>
      </c>
      <c r="B494" s="3">
        <f t="shared" si="14"/>
        <v>2014</v>
      </c>
      <c r="C494" s="3">
        <f t="shared" si="15"/>
        <v>8</v>
      </c>
      <c r="D494" t="s">
        <v>695</v>
      </c>
      <c r="E494" t="s">
        <v>71</v>
      </c>
      <c r="F494" t="s">
        <v>13</v>
      </c>
      <c r="G494" t="s">
        <v>23</v>
      </c>
      <c r="H494" t="s">
        <v>167</v>
      </c>
      <c r="I494" s="2">
        <v>299.98</v>
      </c>
      <c r="J494" s="3">
        <v>2</v>
      </c>
      <c r="K494" s="2">
        <v>83.99</v>
      </c>
    </row>
    <row r="495" spans="1:11" x14ac:dyDescent="0.35">
      <c r="A495" s="1">
        <v>41859</v>
      </c>
      <c r="B495" s="3">
        <f t="shared" si="14"/>
        <v>2014</v>
      </c>
      <c r="C495" s="3">
        <f t="shared" si="15"/>
        <v>8</v>
      </c>
      <c r="D495" t="s">
        <v>698</v>
      </c>
      <c r="E495" t="s">
        <v>77</v>
      </c>
      <c r="F495" t="s">
        <v>18</v>
      </c>
      <c r="G495" t="s">
        <v>237</v>
      </c>
      <c r="H495" t="s">
        <v>699</v>
      </c>
      <c r="I495" s="2">
        <v>155.46</v>
      </c>
      <c r="J495" s="3">
        <v>4</v>
      </c>
      <c r="K495" s="2">
        <v>-7.77</v>
      </c>
    </row>
    <row r="496" spans="1:11" x14ac:dyDescent="0.35">
      <c r="A496" s="1">
        <v>41890</v>
      </c>
      <c r="B496" s="3">
        <f t="shared" si="14"/>
        <v>2014</v>
      </c>
      <c r="C496" s="3">
        <f t="shared" si="15"/>
        <v>9</v>
      </c>
      <c r="D496" t="s">
        <v>700</v>
      </c>
      <c r="E496" t="s">
        <v>32</v>
      </c>
      <c r="F496" t="s">
        <v>28</v>
      </c>
      <c r="G496" t="s">
        <v>64</v>
      </c>
      <c r="H496" t="s">
        <v>701</v>
      </c>
      <c r="I496" s="2">
        <v>9.94</v>
      </c>
      <c r="J496" s="3">
        <v>3</v>
      </c>
      <c r="K496" s="2">
        <v>2.73</v>
      </c>
    </row>
    <row r="497" spans="1:11" x14ac:dyDescent="0.35">
      <c r="A497" s="1">
        <v>41890</v>
      </c>
      <c r="B497" s="3">
        <f t="shared" si="14"/>
        <v>2014</v>
      </c>
      <c r="C497" s="3">
        <f t="shared" si="15"/>
        <v>9</v>
      </c>
      <c r="D497" t="s">
        <v>700</v>
      </c>
      <c r="E497" t="s">
        <v>32</v>
      </c>
      <c r="F497" t="s">
        <v>13</v>
      </c>
      <c r="G497" t="s">
        <v>204</v>
      </c>
      <c r="H497" t="s">
        <v>702</v>
      </c>
      <c r="I497" s="2">
        <v>8159.95</v>
      </c>
      <c r="J497" s="3">
        <v>8</v>
      </c>
      <c r="K497" s="2">
        <v>-1359.99</v>
      </c>
    </row>
    <row r="498" spans="1:11" x14ac:dyDescent="0.35">
      <c r="A498" s="1">
        <v>41890</v>
      </c>
      <c r="B498" s="3">
        <f t="shared" si="14"/>
        <v>2014</v>
      </c>
      <c r="C498" s="3">
        <f t="shared" si="15"/>
        <v>9</v>
      </c>
      <c r="D498" t="s">
        <v>700</v>
      </c>
      <c r="E498" t="s">
        <v>32</v>
      </c>
      <c r="F498" t="s">
        <v>28</v>
      </c>
      <c r="G498" t="s">
        <v>38</v>
      </c>
      <c r="H498" t="s">
        <v>444</v>
      </c>
      <c r="I498" s="2">
        <v>275.93</v>
      </c>
      <c r="J498" s="3">
        <v>3</v>
      </c>
      <c r="K498" s="2">
        <v>-58.63</v>
      </c>
    </row>
    <row r="499" spans="1:11" x14ac:dyDescent="0.35">
      <c r="A499" s="1">
        <v>41890</v>
      </c>
      <c r="B499" s="3">
        <f t="shared" si="14"/>
        <v>2014</v>
      </c>
      <c r="C499" s="3">
        <f t="shared" si="15"/>
        <v>9</v>
      </c>
      <c r="D499" t="s">
        <v>700</v>
      </c>
      <c r="E499" t="s">
        <v>32</v>
      </c>
      <c r="F499" t="s">
        <v>18</v>
      </c>
      <c r="G499" t="s">
        <v>19</v>
      </c>
      <c r="H499" t="s">
        <v>703</v>
      </c>
      <c r="I499" s="2">
        <v>1740.06</v>
      </c>
      <c r="J499" s="3">
        <v>9</v>
      </c>
      <c r="K499" s="2">
        <v>-24.86</v>
      </c>
    </row>
    <row r="500" spans="1:11" x14ac:dyDescent="0.35">
      <c r="A500" s="1">
        <v>41890</v>
      </c>
      <c r="B500" s="3">
        <f t="shared" si="14"/>
        <v>2014</v>
      </c>
      <c r="C500" s="3">
        <f t="shared" si="15"/>
        <v>9</v>
      </c>
      <c r="D500" t="s">
        <v>700</v>
      </c>
      <c r="E500" t="s">
        <v>32</v>
      </c>
      <c r="F500" t="s">
        <v>28</v>
      </c>
      <c r="G500" t="s">
        <v>64</v>
      </c>
      <c r="H500" t="s">
        <v>551</v>
      </c>
      <c r="I500" s="2">
        <v>32.06</v>
      </c>
      <c r="J500" s="3">
        <v>6</v>
      </c>
      <c r="K500" s="2">
        <v>6.81</v>
      </c>
    </row>
    <row r="501" spans="1:11" x14ac:dyDescent="0.35">
      <c r="A501" s="1">
        <v>41890</v>
      </c>
      <c r="B501" s="3">
        <f t="shared" si="14"/>
        <v>2014</v>
      </c>
      <c r="C501" s="3">
        <f t="shared" si="15"/>
        <v>9</v>
      </c>
      <c r="D501" t="s">
        <v>700</v>
      </c>
      <c r="E501" t="s">
        <v>32</v>
      </c>
      <c r="F501" t="s">
        <v>28</v>
      </c>
      <c r="G501" t="s">
        <v>58</v>
      </c>
      <c r="H501" t="s">
        <v>125</v>
      </c>
      <c r="I501" s="2">
        <v>177.98</v>
      </c>
      <c r="J501" s="3">
        <v>5</v>
      </c>
      <c r="K501" s="2">
        <v>-453.85</v>
      </c>
    </row>
    <row r="502" spans="1:11" x14ac:dyDescent="0.35">
      <c r="A502" s="1">
        <v>41890</v>
      </c>
      <c r="B502" s="3">
        <f t="shared" si="14"/>
        <v>2014</v>
      </c>
      <c r="C502" s="3">
        <f t="shared" si="15"/>
        <v>9</v>
      </c>
      <c r="D502" t="s">
        <v>700</v>
      </c>
      <c r="E502" t="s">
        <v>32</v>
      </c>
      <c r="F502" t="s">
        <v>13</v>
      </c>
      <c r="G502" t="s">
        <v>23</v>
      </c>
      <c r="H502" t="s">
        <v>704</v>
      </c>
      <c r="I502" s="2">
        <v>143.97999999999999</v>
      </c>
      <c r="J502" s="3">
        <v>3</v>
      </c>
      <c r="K502" s="2">
        <v>9</v>
      </c>
    </row>
    <row r="503" spans="1:11" x14ac:dyDescent="0.35">
      <c r="A503" s="1">
        <v>41890</v>
      </c>
      <c r="B503" s="3">
        <f t="shared" si="14"/>
        <v>2014</v>
      </c>
      <c r="C503" s="3">
        <f t="shared" si="15"/>
        <v>9</v>
      </c>
      <c r="D503" t="s">
        <v>483</v>
      </c>
      <c r="E503" t="s">
        <v>45</v>
      </c>
      <c r="F503" t="s">
        <v>13</v>
      </c>
      <c r="G503" t="s">
        <v>14</v>
      </c>
      <c r="H503" t="s">
        <v>705</v>
      </c>
      <c r="I503" s="2">
        <v>49.98</v>
      </c>
      <c r="J503" s="3">
        <v>2</v>
      </c>
      <c r="K503" s="2">
        <v>8.5</v>
      </c>
    </row>
    <row r="504" spans="1:11" x14ac:dyDescent="0.35">
      <c r="A504" s="1">
        <v>41890</v>
      </c>
      <c r="B504" s="3">
        <f t="shared" si="14"/>
        <v>2014</v>
      </c>
      <c r="C504" s="3">
        <f t="shared" si="15"/>
        <v>9</v>
      </c>
      <c r="D504" t="s">
        <v>706</v>
      </c>
      <c r="E504" t="s">
        <v>32</v>
      </c>
      <c r="F504" t="s">
        <v>28</v>
      </c>
      <c r="G504" t="s">
        <v>48</v>
      </c>
      <c r="H504" t="s">
        <v>707</v>
      </c>
      <c r="I504" s="2">
        <v>51.18</v>
      </c>
      <c r="J504" s="3">
        <v>4</v>
      </c>
      <c r="K504" s="2">
        <v>-79.34</v>
      </c>
    </row>
    <row r="505" spans="1:11" x14ac:dyDescent="0.35">
      <c r="A505" s="1">
        <v>41890</v>
      </c>
      <c r="B505" s="3">
        <f t="shared" si="14"/>
        <v>2014</v>
      </c>
      <c r="C505" s="3">
        <f t="shared" si="15"/>
        <v>9</v>
      </c>
      <c r="D505" t="s">
        <v>708</v>
      </c>
      <c r="E505" t="s">
        <v>165</v>
      </c>
      <c r="F505" t="s">
        <v>13</v>
      </c>
      <c r="G505" t="s">
        <v>14</v>
      </c>
      <c r="H505" t="s">
        <v>709</v>
      </c>
      <c r="I505" s="2">
        <v>32.97</v>
      </c>
      <c r="J505" s="3">
        <v>3</v>
      </c>
      <c r="K505" s="2">
        <v>12.86</v>
      </c>
    </row>
    <row r="506" spans="1:11" x14ac:dyDescent="0.35">
      <c r="A506" s="1">
        <v>41890</v>
      </c>
      <c r="B506" s="3">
        <f t="shared" si="14"/>
        <v>2014</v>
      </c>
      <c r="C506" s="3">
        <f t="shared" si="15"/>
        <v>9</v>
      </c>
      <c r="D506" t="s">
        <v>708</v>
      </c>
      <c r="E506" t="s">
        <v>165</v>
      </c>
      <c r="F506" t="s">
        <v>13</v>
      </c>
      <c r="G506" t="s">
        <v>14</v>
      </c>
      <c r="H506" t="s">
        <v>233</v>
      </c>
      <c r="I506" s="2">
        <v>83.88</v>
      </c>
      <c r="J506" s="3">
        <v>4</v>
      </c>
      <c r="K506" s="2">
        <v>30.2</v>
      </c>
    </row>
    <row r="507" spans="1:11" x14ac:dyDescent="0.35">
      <c r="A507" s="1">
        <v>41890</v>
      </c>
      <c r="B507" s="3">
        <f t="shared" si="14"/>
        <v>2014</v>
      </c>
      <c r="C507" s="3">
        <f t="shared" si="15"/>
        <v>9</v>
      </c>
      <c r="D507" t="s">
        <v>463</v>
      </c>
      <c r="E507" t="s">
        <v>45</v>
      </c>
      <c r="F507" t="s">
        <v>28</v>
      </c>
      <c r="G507" t="s">
        <v>58</v>
      </c>
      <c r="H507" t="s">
        <v>710</v>
      </c>
      <c r="I507" s="2">
        <v>56.65</v>
      </c>
      <c r="J507" s="3">
        <v>5</v>
      </c>
      <c r="K507" s="2">
        <v>24.36</v>
      </c>
    </row>
    <row r="508" spans="1:11" x14ac:dyDescent="0.35">
      <c r="A508" s="1">
        <v>41890</v>
      </c>
      <c r="B508" s="3">
        <f t="shared" si="14"/>
        <v>2014</v>
      </c>
      <c r="C508" s="3">
        <f t="shared" si="15"/>
        <v>9</v>
      </c>
      <c r="D508" t="s">
        <v>463</v>
      </c>
      <c r="E508" t="s">
        <v>45</v>
      </c>
      <c r="F508" t="s">
        <v>28</v>
      </c>
      <c r="G508" t="s">
        <v>38</v>
      </c>
      <c r="H508" t="s">
        <v>711</v>
      </c>
      <c r="I508" s="2">
        <v>14.97</v>
      </c>
      <c r="J508" s="3">
        <v>1</v>
      </c>
      <c r="K508" s="2">
        <v>4.1900000000000004</v>
      </c>
    </row>
    <row r="509" spans="1:11" x14ac:dyDescent="0.35">
      <c r="A509" s="1">
        <v>41890</v>
      </c>
      <c r="B509" s="3">
        <f t="shared" si="14"/>
        <v>2014</v>
      </c>
      <c r="C509" s="3">
        <f t="shared" si="15"/>
        <v>9</v>
      </c>
      <c r="D509" t="s">
        <v>463</v>
      </c>
      <c r="E509" t="s">
        <v>45</v>
      </c>
      <c r="F509" t="s">
        <v>28</v>
      </c>
      <c r="G509" t="s">
        <v>33</v>
      </c>
      <c r="H509" t="s">
        <v>712</v>
      </c>
      <c r="I509" s="2">
        <v>4.0199999999999996</v>
      </c>
      <c r="J509" s="3">
        <v>2</v>
      </c>
      <c r="K509" s="2">
        <v>1.97</v>
      </c>
    </row>
    <row r="510" spans="1:11" x14ac:dyDescent="0.35">
      <c r="A510" s="1">
        <v>41890</v>
      </c>
      <c r="B510" s="3">
        <f t="shared" si="14"/>
        <v>2014</v>
      </c>
      <c r="C510" s="3">
        <f t="shared" si="15"/>
        <v>9</v>
      </c>
      <c r="D510" t="s">
        <v>713</v>
      </c>
      <c r="E510" t="s">
        <v>173</v>
      </c>
      <c r="F510" t="s">
        <v>28</v>
      </c>
      <c r="G510" t="s">
        <v>33</v>
      </c>
      <c r="H510" t="s">
        <v>518</v>
      </c>
      <c r="I510" s="2">
        <v>45</v>
      </c>
      <c r="J510" s="3">
        <v>9</v>
      </c>
      <c r="K510" s="2">
        <v>21.6</v>
      </c>
    </row>
    <row r="511" spans="1:11" x14ac:dyDescent="0.35">
      <c r="A511" s="1">
        <v>41890</v>
      </c>
      <c r="B511" s="3">
        <f t="shared" si="14"/>
        <v>2014</v>
      </c>
      <c r="C511" s="3">
        <f t="shared" si="15"/>
        <v>9</v>
      </c>
      <c r="D511" t="s">
        <v>713</v>
      </c>
      <c r="E511" t="s">
        <v>173</v>
      </c>
      <c r="F511" t="s">
        <v>13</v>
      </c>
      <c r="G511" t="s">
        <v>204</v>
      </c>
      <c r="H511" t="s">
        <v>714</v>
      </c>
      <c r="I511" s="2">
        <v>209.97</v>
      </c>
      <c r="J511" s="3">
        <v>3</v>
      </c>
      <c r="K511" s="2">
        <v>90.29</v>
      </c>
    </row>
    <row r="512" spans="1:11" x14ac:dyDescent="0.35">
      <c r="A512" s="1">
        <v>41890</v>
      </c>
      <c r="B512" s="3">
        <f t="shared" si="14"/>
        <v>2014</v>
      </c>
      <c r="C512" s="3">
        <f t="shared" si="15"/>
        <v>9</v>
      </c>
      <c r="D512" t="s">
        <v>715</v>
      </c>
      <c r="E512" t="s">
        <v>22</v>
      </c>
      <c r="F512" t="s">
        <v>28</v>
      </c>
      <c r="G512" t="s">
        <v>58</v>
      </c>
      <c r="H512" t="s">
        <v>716</v>
      </c>
      <c r="I512" s="2">
        <v>16.78</v>
      </c>
      <c r="J512" s="3">
        <v>2</v>
      </c>
      <c r="K512" s="2">
        <v>4.2</v>
      </c>
    </row>
    <row r="513" spans="1:11" x14ac:dyDescent="0.35">
      <c r="A513" s="1">
        <v>41890</v>
      </c>
      <c r="B513" s="3">
        <f t="shared" si="14"/>
        <v>2014</v>
      </c>
      <c r="C513" s="3">
        <f t="shared" si="15"/>
        <v>9</v>
      </c>
      <c r="D513" t="s">
        <v>717</v>
      </c>
      <c r="E513" t="s">
        <v>17</v>
      </c>
      <c r="F513" t="s">
        <v>28</v>
      </c>
      <c r="G513" t="s">
        <v>64</v>
      </c>
      <c r="H513" t="s">
        <v>517</v>
      </c>
      <c r="I513" s="2">
        <v>5.88</v>
      </c>
      <c r="J513" s="3">
        <v>2</v>
      </c>
      <c r="K513" s="2">
        <v>2.65</v>
      </c>
    </row>
    <row r="514" spans="1:11" x14ac:dyDescent="0.35">
      <c r="A514" s="1">
        <v>41890</v>
      </c>
      <c r="B514" s="3">
        <f t="shared" ref="B514:B577" si="16">YEAR(A514)</f>
        <v>2014</v>
      </c>
      <c r="C514" s="3">
        <f t="shared" ref="C514:C577" si="17">MONTH(A514)</f>
        <v>9</v>
      </c>
      <c r="D514" t="s">
        <v>717</v>
      </c>
      <c r="E514" t="s">
        <v>17</v>
      </c>
      <c r="F514" t="s">
        <v>18</v>
      </c>
      <c r="G514" t="s">
        <v>19</v>
      </c>
      <c r="H514" t="s">
        <v>718</v>
      </c>
      <c r="I514" s="2">
        <v>975.92</v>
      </c>
      <c r="J514" s="3">
        <v>5</v>
      </c>
      <c r="K514" s="2">
        <v>121.99</v>
      </c>
    </row>
    <row r="515" spans="1:11" x14ac:dyDescent="0.35">
      <c r="A515" s="1">
        <v>41890</v>
      </c>
      <c r="B515" s="3">
        <f t="shared" si="16"/>
        <v>2014</v>
      </c>
      <c r="C515" s="3">
        <f t="shared" si="17"/>
        <v>9</v>
      </c>
      <c r="D515" t="s">
        <v>717</v>
      </c>
      <c r="E515" t="s">
        <v>17</v>
      </c>
      <c r="F515" t="s">
        <v>28</v>
      </c>
      <c r="G515" t="s">
        <v>64</v>
      </c>
      <c r="H515" t="s">
        <v>719</v>
      </c>
      <c r="I515" s="2">
        <v>303.83999999999997</v>
      </c>
      <c r="J515" s="3">
        <v>8</v>
      </c>
      <c r="K515" s="2">
        <v>91.15</v>
      </c>
    </row>
    <row r="516" spans="1:11" x14ac:dyDescent="0.35">
      <c r="A516" s="1">
        <v>41890</v>
      </c>
      <c r="B516" s="3">
        <f t="shared" si="16"/>
        <v>2014</v>
      </c>
      <c r="C516" s="3">
        <f t="shared" si="17"/>
        <v>9</v>
      </c>
      <c r="D516" t="s">
        <v>717</v>
      </c>
      <c r="E516" t="s">
        <v>17</v>
      </c>
      <c r="F516" t="s">
        <v>28</v>
      </c>
      <c r="G516" t="s">
        <v>38</v>
      </c>
      <c r="H516" t="s">
        <v>720</v>
      </c>
      <c r="I516" s="2">
        <v>485.88</v>
      </c>
      <c r="J516" s="3">
        <v>6</v>
      </c>
      <c r="K516" s="2">
        <v>19.440000000000001</v>
      </c>
    </row>
    <row r="517" spans="1:11" x14ac:dyDescent="0.35">
      <c r="A517" s="1">
        <v>41890</v>
      </c>
      <c r="B517" s="3">
        <f t="shared" si="16"/>
        <v>2014</v>
      </c>
      <c r="C517" s="3">
        <f t="shared" si="17"/>
        <v>9</v>
      </c>
      <c r="D517" t="s">
        <v>721</v>
      </c>
      <c r="E517" t="s">
        <v>32</v>
      </c>
      <c r="F517" t="s">
        <v>28</v>
      </c>
      <c r="G517" t="s">
        <v>29</v>
      </c>
      <c r="H517" t="s">
        <v>722</v>
      </c>
      <c r="I517" s="2">
        <v>17.899999999999999</v>
      </c>
      <c r="J517" s="3">
        <v>2</v>
      </c>
      <c r="K517" s="2">
        <v>6.27</v>
      </c>
    </row>
    <row r="518" spans="1:11" x14ac:dyDescent="0.35">
      <c r="A518" s="1">
        <v>41890</v>
      </c>
      <c r="B518" s="3">
        <f t="shared" si="16"/>
        <v>2014</v>
      </c>
      <c r="C518" s="3">
        <f t="shared" si="17"/>
        <v>9</v>
      </c>
      <c r="D518" t="s">
        <v>721</v>
      </c>
      <c r="E518" t="s">
        <v>32</v>
      </c>
      <c r="F518" t="s">
        <v>18</v>
      </c>
      <c r="G518" t="s">
        <v>19</v>
      </c>
      <c r="H518" t="s">
        <v>703</v>
      </c>
      <c r="I518" s="2">
        <v>966.7</v>
      </c>
      <c r="J518" s="3">
        <v>5</v>
      </c>
      <c r="K518" s="2">
        <v>-13.81</v>
      </c>
    </row>
    <row r="519" spans="1:11" x14ac:dyDescent="0.35">
      <c r="A519" s="1">
        <v>41890</v>
      </c>
      <c r="B519" s="3">
        <f t="shared" si="16"/>
        <v>2014</v>
      </c>
      <c r="C519" s="3">
        <f t="shared" si="17"/>
        <v>9</v>
      </c>
      <c r="D519" t="s">
        <v>721</v>
      </c>
      <c r="E519" t="s">
        <v>32</v>
      </c>
      <c r="F519" t="s">
        <v>28</v>
      </c>
      <c r="G519" t="s">
        <v>29</v>
      </c>
      <c r="H519" t="s">
        <v>723</v>
      </c>
      <c r="I519" s="2">
        <v>182.11</v>
      </c>
      <c r="J519" s="3">
        <v>6</v>
      </c>
      <c r="K519" s="2">
        <v>61.46</v>
      </c>
    </row>
    <row r="520" spans="1:11" x14ac:dyDescent="0.35">
      <c r="A520" s="1">
        <v>41890</v>
      </c>
      <c r="B520" s="3">
        <f t="shared" si="16"/>
        <v>2014</v>
      </c>
      <c r="C520" s="3">
        <f t="shared" si="17"/>
        <v>9</v>
      </c>
      <c r="D520" t="s">
        <v>724</v>
      </c>
      <c r="E520" t="s">
        <v>22</v>
      </c>
      <c r="F520" t="s">
        <v>18</v>
      </c>
      <c r="G520" t="s">
        <v>19</v>
      </c>
      <c r="H520" t="s">
        <v>725</v>
      </c>
      <c r="I520" s="2">
        <v>172.76</v>
      </c>
      <c r="J520" s="3">
        <v>2</v>
      </c>
      <c r="K520" s="2">
        <v>13.44</v>
      </c>
    </row>
    <row r="521" spans="1:11" x14ac:dyDescent="0.35">
      <c r="A521" s="1">
        <v>41890</v>
      </c>
      <c r="B521" s="3">
        <f t="shared" si="16"/>
        <v>2014</v>
      </c>
      <c r="C521" s="3">
        <f t="shared" si="17"/>
        <v>9</v>
      </c>
      <c r="D521" t="s">
        <v>724</v>
      </c>
      <c r="E521" t="s">
        <v>22</v>
      </c>
      <c r="F521" t="s">
        <v>28</v>
      </c>
      <c r="G521" t="s">
        <v>64</v>
      </c>
      <c r="H521" t="s">
        <v>726</v>
      </c>
      <c r="I521" s="2">
        <v>3.52</v>
      </c>
      <c r="J521" s="3">
        <v>2</v>
      </c>
      <c r="K521" s="2">
        <v>1.69</v>
      </c>
    </row>
    <row r="522" spans="1:11" x14ac:dyDescent="0.35">
      <c r="A522" s="1">
        <v>41890</v>
      </c>
      <c r="B522" s="3">
        <f t="shared" si="16"/>
        <v>2014</v>
      </c>
      <c r="C522" s="3">
        <f t="shared" si="17"/>
        <v>9</v>
      </c>
      <c r="D522" t="s">
        <v>727</v>
      </c>
      <c r="E522" t="s">
        <v>45</v>
      </c>
      <c r="F522" t="s">
        <v>28</v>
      </c>
      <c r="G522" t="s">
        <v>48</v>
      </c>
      <c r="H522" t="s">
        <v>728</v>
      </c>
      <c r="I522" s="2">
        <v>8.61</v>
      </c>
      <c r="J522" s="3">
        <v>2</v>
      </c>
      <c r="K522" s="2">
        <v>3.01</v>
      </c>
    </row>
    <row r="523" spans="1:11" x14ac:dyDescent="0.35">
      <c r="A523" s="1">
        <v>41920</v>
      </c>
      <c r="B523" s="3">
        <f t="shared" si="16"/>
        <v>2014</v>
      </c>
      <c r="C523" s="3">
        <f t="shared" si="17"/>
        <v>10</v>
      </c>
      <c r="D523" t="s">
        <v>729</v>
      </c>
      <c r="E523" t="s">
        <v>81</v>
      </c>
      <c r="F523" t="s">
        <v>13</v>
      </c>
      <c r="G523" t="s">
        <v>14</v>
      </c>
      <c r="H523" t="s">
        <v>730</v>
      </c>
      <c r="I523" s="2">
        <v>23.47</v>
      </c>
      <c r="J523" s="3">
        <v>3</v>
      </c>
      <c r="K523" s="2">
        <v>4.99</v>
      </c>
    </row>
    <row r="524" spans="1:11" x14ac:dyDescent="0.35">
      <c r="A524" s="1">
        <v>41920</v>
      </c>
      <c r="B524" s="3">
        <f t="shared" si="16"/>
        <v>2014</v>
      </c>
      <c r="C524" s="3">
        <f t="shared" si="17"/>
        <v>10</v>
      </c>
      <c r="D524" t="s">
        <v>731</v>
      </c>
      <c r="E524" t="s">
        <v>22</v>
      </c>
      <c r="F524" t="s">
        <v>28</v>
      </c>
      <c r="G524" t="s">
        <v>29</v>
      </c>
      <c r="H524" t="s">
        <v>732</v>
      </c>
      <c r="I524" s="2">
        <v>123.92</v>
      </c>
      <c r="J524" s="3">
        <v>4</v>
      </c>
      <c r="K524" s="2">
        <v>55.76</v>
      </c>
    </row>
    <row r="525" spans="1:11" x14ac:dyDescent="0.35">
      <c r="A525" s="1">
        <v>41951</v>
      </c>
      <c r="B525" s="3">
        <f t="shared" si="16"/>
        <v>2014</v>
      </c>
      <c r="C525" s="3">
        <f t="shared" si="17"/>
        <v>11</v>
      </c>
      <c r="D525" t="s">
        <v>450</v>
      </c>
      <c r="E525" t="s">
        <v>45</v>
      </c>
      <c r="F525" t="s">
        <v>13</v>
      </c>
      <c r="G525" t="s">
        <v>23</v>
      </c>
      <c r="H525" t="s">
        <v>733</v>
      </c>
      <c r="I525" s="2">
        <v>333.58</v>
      </c>
      <c r="J525" s="3">
        <v>3</v>
      </c>
      <c r="K525" s="2">
        <v>25.02</v>
      </c>
    </row>
    <row r="526" spans="1:11" x14ac:dyDescent="0.35">
      <c r="A526" s="1">
        <v>41981</v>
      </c>
      <c r="B526" s="3">
        <f t="shared" si="16"/>
        <v>2014</v>
      </c>
      <c r="C526" s="3">
        <f t="shared" si="17"/>
        <v>12</v>
      </c>
      <c r="D526" t="s">
        <v>734</v>
      </c>
      <c r="E526" t="s">
        <v>32</v>
      </c>
      <c r="F526" t="s">
        <v>28</v>
      </c>
      <c r="G526" t="s">
        <v>38</v>
      </c>
      <c r="H526" t="s">
        <v>735</v>
      </c>
      <c r="I526" s="2">
        <v>60.42</v>
      </c>
      <c r="J526" s="3">
        <v>2</v>
      </c>
      <c r="K526" s="2">
        <v>6.04</v>
      </c>
    </row>
    <row r="527" spans="1:11" x14ac:dyDescent="0.35">
      <c r="A527" s="1">
        <v>41981</v>
      </c>
      <c r="B527" s="3">
        <f t="shared" si="16"/>
        <v>2014</v>
      </c>
      <c r="C527" s="3">
        <f t="shared" si="17"/>
        <v>12</v>
      </c>
      <c r="D527" t="s">
        <v>736</v>
      </c>
      <c r="E527" t="s">
        <v>107</v>
      </c>
      <c r="F527" t="s">
        <v>28</v>
      </c>
      <c r="G527" t="s">
        <v>46</v>
      </c>
      <c r="H527" t="s">
        <v>220</v>
      </c>
      <c r="I527" s="2">
        <v>27.89</v>
      </c>
      <c r="J527" s="3">
        <v>7</v>
      </c>
      <c r="K527" s="2">
        <v>9.06</v>
      </c>
    </row>
    <row r="528" spans="1:11" x14ac:dyDescent="0.35">
      <c r="A528" s="1">
        <v>41981</v>
      </c>
      <c r="B528" s="3">
        <f t="shared" si="16"/>
        <v>2014</v>
      </c>
      <c r="C528" s="3">
        <f t="shared" si="17"/>
        <v>12</v>
      </c>
      <c r="D528" t="s">
        <v>736</v>
      </c>
      <c r="E528" t="s">
        <v>107</v>
      </c>
      <c r="F528" t="s">
        <v>28</v>
      </c>
      <c r="G528" t="s">
        <v>48</v>
      </c>
      <c r="H528" t="s">
        <v>737</v>
      </c>
      <c r="I528" s="2">
        <v>6.46</v>
      </c>
      <c r="J528" s="3">
        <v>4</v>
      </c>
      <c r="K528" s="2">
        <v>-4.5199999999999996</v>
      </c>
    </row>
    <row r="529" spans="1:11" x14ac:dyDescent="0.35">
      <c r="A529" s="1">
        <v>41981</v>
      </c>
      <c r="B529" s="3">
        <f t="shared" si="16"/>
        <v>2014</v>
      </c>
      <c r="C529" s="3">
        <f t="shared" si="17"/>
        <v>12</v>
      </c>
      <c r="D529" t="s">
        <v>736</v>
      </c>
      <c r="E529" t="s">
        <v>107</v>
      </c>
      <c r="F529" t="s">
        <v>13</v>
      </c>
      <c r="G529" t="s">
        <v>23</v>
      </c>
      <c r="H529" t="s">
        <v>738</v>
      </c>
      <c r="I529" s="2">
        <v>52.68</v>
      </c>
      <c r="J529" s="3">
        <v>3</v>
      </c>
      <c r="K529" s="2">
        <v>19.760000000000002</v>
      </c>
    </row>
    <row r="530" spans="1:11" x14ac:dyDescent="0.35">
      <c r="A530" s="1">
        <v>41981</v>
      </c>
      <c r="B530" s="3">
        <f t="shared" si="16"/>
        <v>2014</v>
      </c>
      <c r="C530" s="3">
        <f t="shared" si="17"/>
        <v>12</v>
      </c>
      <c r="D530" t="s">
        <v>736</v>
      </c>
      <c r="E530" t="s">
        <v>107</v>
      </c>
      <c r="F530" t="s">
        <v>28</v>
      </c>
      <c r="G530" t="s">
        <v>215</v>
      </c>
      <c r="H530" t="s">
        <v>739</v>
      </c>
      <c r="I530" s="2">
        <v>13.88</v>
      </c>
      <c r="J530" s="3">
        <v>5</v>
      </c>
      <c r="K530" s="2">
        <v>-2.6</v>
      </c>
    </row>
    <row r="531" spans="1:11" x14ac:dyDescent="0.35">
      <c r="A531" s="1">
        <v>41981</v>
      </c>
      <c r="B531" s="3">
        <f t="shared" si="16"/>
        <v>2014</v>
      </c>
      <c r="C531" s="3">
        <f t="shared" si="17"/>
        <v>12</v>
      </c>
      <c r="D531" t="s">
        <v>736</v>
      </c>
      <c r="E531" t="s">
        <v>107</v>
      </c>
      <c r="F531" t="s">
        <v>13</v>
      </c>
      <c r="G531" t="s">
        <v>14</v>
      </c>
      <c r="H531" t="s">
        <v>740</v>
      </c>
      <c r="I531" s="2">
        <v>103.92</v>
      </c>
      <c r="J531" s="3">
        <v>10</v>
      </c>
      <c r="K531" s="2">
        <v>-18.190000000000001</v>
      </c>
    </row>
    <row r="532" spans="1:11" x14ac:dyDescent="0.35">
      <c r="A532" s="1">
        <v>41981</v>
      </c>
      <c r="B532" s="3">
        <f t="shared" si="16"/>
        <v>2014</v>
      </c>
      <c r="C532" s="3">
        <f t="shared" si="17"/>
        <v>12</v>
      </c>
      <c r="D532" t="s">
        <v>736</v>
      </c>
      <c r="E532" t="s">
        <v>107</v>
      </c>
      <c r="F532" t="s">
        <v>28</v>
      </c>
      <c r="G532" t="s">
        <v>46</v>
      </c>
      <c r="H532" t="s">
        <v>741</v>
      </c>
      <c r="I532" s="2">
        <v>11.52</v>
      </c>
      <c r="J532" s="3">
        <v>5</v>
      </c>
      <c r="K532" s="2">
        <v>3.74</v>
      </c>
    </row>
    <row r="533" spans="1:11" x14ac:dyDescent="0.35">
      <c r="A533" s="1">
        <v>41981</v>
      </c>
      <c r="B533" s="3">
        <f t="shared" si="16"/>
        <v>2014</v>
      </c>
      <c r="C533" s="3">
        <f t="shared" si="17"/>
        <v>12</v>
      </c>
      <c r="D533" t="s">
        <v>736</v>
      </c>
      <c r="E533" t="s">
        <v>107</v>
      </c>
      <c r="F533" t="s">
        <v>28</v>
      </c>
      <c r="G533" t="s">
        <v>29</v>
      </c>
      <c r="H533" t="s">
        <v>742</v>
      </c>
      <c r="I533" s="2">
        <v>10.37</v>
      </c>
      <c r="J533" s="3">
        <v>2</v>
      </c>
      <c r="K533" s="2">
        <v>3.63</v>
      </c>
    </row>
    <row r="534" spans="1:11" x14ac:dyDescent="0.35">
      <c r="A534" s="1">
        <v>41981</v>
      </c>
      <c r="B534" s="3">
        <f t="shared" si="16"/>
        <v>2014</v>
      </c>
      <c r="C534" s="3">
        <f t="shared" si="17"/>
        <v>12</v>
      </c>
      <c r="D534" t="s">
        <v>736</v>
      </c>
      <c r="E534" t="s">
        <v>107</v>
      </c>
      <c r="F534" t="s">
        <v>28</v>
      </c>
      <c r="G534" t="s">
        <v>38</v>
      </c>
      <c r="H534" t="s">
        <v>439</v>
      </c>
      <c r="I534" s="2">
        <v>39.07</v>
      </c>
      <c r="J534" s="3">
        <v>3</v>
      </c>
      <c r="K534" s="2">
        <v>2.93</v>
      </c>
    </row>
    <row r="535" spans="1:11" x14ac:dyDescent="0.35">
      <c r="A535" s="1">
        <v>41981</v>
      </c>
      <c r="B535" s="3">
        <f t="shared" si="16"/>
        <v>2014</v>
      </c>
      <c r="C535" s="3">
        <f t="shared" si="17"/>
        <v>12</v>
      </c>
      <c r="D535" t="s">
        <v>743</v>
      </c>
      <c r="E535" t="s">
        <v>17</v>
      </c>
      <c r="F535" t="s">
        <v>28</v>
      </c>
      <c r="G535" t="s">
        <v>29</v>
      </c>
      <c r="H535" t="s">
        <v>744</v>
      </c>
      <c r="I535" s="2">
        <v>45.68</v>
      </c>
      <c r="J535" s="3">
        <v>2</v>
      </c>
      <c r="K535" s="2">
        <v>21.01</v>
      </c>
    </row>
    <row r="536" spans="1:11" x14ac:dyDescent="0.35">
      <c r="A536" s="1">
        <v>41981</v>
      </c>
      <c r="B536" s="3">
        <f t="shared" si="16"/>
        <v>2014</v>
      </c>
      <c r="C536" s="3">
        <f t="shared" si="17"/>
        <v>12</v>
      </c>
      <c r="D536" t="s">
        <v>743</v>
      </c>
      <c r="E536" t="s">
        <v>17</v>
      </c>
      <c r="F536" t="s">
        <v>18</v>
      </c>
      <c r="G536" t="s">
        <v>19</v>
      </c>
      <c r="H536" t="s">
        <v>404</v>
      </c>
      <c r="I536" s="2">
        <v>603.91999999999996</v>
      </c>
      <c r="J536" s="3">
        <v>5</v>
      </c>
      <c r="K536" s="2">
        <v>45.29</v>
      </c>
    </row>
    <row r="537" spans="1:11" x14ac:dyDescent="0.35">
      <c r="A537" s="1">
        <v>41981</v>
      </c>
      <c r="B537" s="3">
        <f t="shared" si="16"/>
        <v>2014</v>
      </c>
      <c r="C537" s="3">
        <f t="shared" si="17"/>
        <v>12</v>
      </c>
      <c r="D537" t="s">
        <v>745</v>
      </c>
      <c r="E537" t="s">
        <v>45</v>
      </c>
      <c r="F537" t="s">
        <v>18</v>
      </c>
      <c r="G537" t="s">
        <v>36</v>
      </c>
      <c r="H537" t="s">
        <v>746</v>
      </c>
      <c r="I537" s="2">
        <v>39.880000000000003</v>
      </c>
      <c r="J537" s="3">
        <v>2</v>
      </c>
      <c r="K537" s="2">
        <v>11.17</v>
      </c>
    </row>
    <row r="538" spans="1:11" x14ac:dyDescent="0.35">
      <c r="A538" s="1">
        <v>41981</v>
      </c>
      <c r="B538" s="3">
        <f t="shared" si="16"/>
        <v>2014</v>
      </c>
      <c r="C538" s="3">
        <f t="shared" si="17"/>
        <v>12</v>
      </c>
      <c r="D538" t="s">
        <v>745</v>
      </c>
      <c r="E538" t="s">
        <v>45</v>
      </c>
      <c r="F538" t="s">
        <v>18</v>
      </c>
      <c r="G538" t="s">
        <v>36</v>
      </c>
      <c r="H538" t="s">
        <v>315</v>
      </c>
      <c r="I538" s="2">
        <v>79.44</v>
      </c>
      <c r="J538" s="3">
        <v>3</v>
      </c>
      <c r="K538" s="2">
        <v>28.6</v>
      </c>
    </row>
    <row r="539" spans="1:11" x14ac:dyDescent="0.35">
      <c r="A539" s="1">
        <v>41648</v>
      </c>
      <c r="B539" s="3">
        <f t="shared" si="16"/>
        <v>2014</v>
      </c>
      <c r="C539" s="3">
        <f t="shared" si="17"/>
        <v>1</v>
      </c>
      <c r="D539" t="s">
        <v>747</v>
      </c>
      <c r="E539" t="s">
        <v>32</v>
      </c>
      <c r="F539" t="s">
        <v>28</v>
      </c>
      <c r="G539" t="s">
        <v>64</v>
      </c>
      <c r="H539" t="s">
        <v>748</v>
      </c>
      <c r="I539" s="2">
        <v>9.34</v>
      </c>
      <c r="J539" s="3">
        <v>2</v>
      </c>
      <c r="K539" s="2">
        <v>1.17</v>
      </c>
    </row>
    <row r="540" spans="1:11" x14ac:dyDescent="0.35">
      <c r="A540" s="1">
        <v>41648</v>
      </c>
      <c r="B540" s="3">
        <f t="shared" si="16"/>
        <v>2014</v>
      </c>
      <c r="C540" s="3">
        <f t="shared" si="17"/>
        <v>1</v>
      </c>
      <c r="D540" t="s">
        <v>747</v>
      </c>
      <c r="E540" t="s">
        <v>32</v>
      </c>
      <c r="F540" t="s">
        <v>13</v>
      </c>
      <c r="G540" t="s">
        <v>14</v>
      </c>
      <c r="H540" t="s">
        <v>749</v>
      </c>
      <c r="I540" s="2">
        <v>31.2</v>
      </c>
      <c r="J540" s="3">
        <v>3</v>
      </c>
      <c r="K540" s="2">
        <v>9.75</v>
      </c>
    </row>
    <row r="541" spans="1:11" x14ac:dyDescent="0.35">
      <c r="A541" s="1">
        <v>41768</v>
      </c>
      <c r="B541" s="3">
        <f t="shared" si="16"/>
        <v>2014</v>
      </c>
      <c r="C541" s="3">
        <f t="shared" si="17"/>
        <v>5</v>
      </c>
      <c r="D541" t="s">
        <v>750</v>
      </c>
      <c r="E541" t="s">
        <v>45</v>
      </c>
      <c r="F541" t="s">
        <v>13</v>
      </c>
      <c r="G541" t="s">
        <v>14</v>
      </c>
      <c r="H541" t="s">
        <v>541</v>
      </c>
      <c r="I541" s="2">
        <v>67.8</v>
      </c>
      <c r="J541" s="3">
        <v>4</v>
      </c>
      <c r="K541" s="2">
        <v>4.07</v>
      </c>
    </row>
    <row r="542" spans="1:11" x14ac:dyDescent="0.35">
      <c r="A542" s="1">
        <v>41768</v>
      </c>
      <c r="B542" s="3">
        <f t="shared" si="16"/>
        <v>2014</v>
      </c>
      <c r="C542" s="3">
        <f t="shared" si="17"/>
        <v>5</v>
      </c>
      <c r="D542" t="s">
        <v>750</v>
      </c>
      <c r="E542" t="s">
        <v>45</v>
      </c>
      <c r="F542" t="s">
        <v>13</v>
      </c>
      <c r="G542" t="s">
        <v>14</v>
      </c>
      <c r="H542" t="s">
        <v>751</v>
      </c>
      <c r="I542" s="2">
        <v>167.97</v>
      </c>
      <c r="J542" s="3">
        <v>3</v>
      </c>
      <c r="K542" s="2">
        <v>40.31</v>
      </c>
    </row>
    <row r="543" spans="1:11" x14ac:dyDescent="0.35">
      <c r="A543" s="1">
        <v>41768</v>
      </c>
      <c r="B543" s="3">
        <f t="shared" si="16"/>
        <v>2014</v>
      </c>
      <c r="C543" s="3">
        <f t="shared" si="17"/>
        <v>5</v>
      </c>
      <c r="D543" t="s">
        <v>623</v>
      </c>
      <c r="E543" t="s">
        <v>118</v>
      </c>
      <c r="F543" t="s">
        <v>28</v>
      </c>
      <c r="G543" t="s">
        <v>38</v>
      </c>
      <c r="H543" t="s">
        <v>752</v>
      </c>
      <c r="I543" s="2">
        <v>83.25</v>
      </c>
      <c r="J543" s="3">
        <v>3</v>
      </c>
      <c r="K543" s="2">
        <v>14.99</v>
      </c>
    </row>
    <row r="544" spans="1:11" x14ac:dyDescent="0.35">
      <c r="A544" s="1">
        <v>41768</v>
      </c>
      <c r="B544" s="3">
        <f t="shared" si="16"/>
        <v>2014</v>
      </c>
      <c r="C544" s="3">
        <f t="shared" si="17"/>
        <v>5</v>
      </c>
      <c r="D544" t="s">
        <v>623</v>
      </c>
      <c r="E544" t="s">
        <v>118</v>
      </c>
      <c r="F544" t="s">
        <v>28</v>
      </c>
      <c r="G544" t="s">
        <v>46</v>
      </c>
      <c r="H544" t="s">
        <v>355</v>
      </c>
      <c r="I544" s="2">
        <v>9.4499999999999993</v>
      </c>
      <c r="J544" s="3">
        <v>3</v>
      </c>
      <c r="K544" s="2">
        <v>4.54</v>
      </c>
    </row>
    <row r="545" spans="1:11" x14ac:dyDescent="0.35">
      <c r="A545" s="1">
        <v>41768</v>
      </c>
      <c r="B545" s="3">
        <f t="shared" si="16"/>
        <v>2014</v>
      </c>
      <c r="C545" s="3">
        <f t="shared" si="17"/>
        <v>5</v>
      </c>
      <c r="D545" t="s">
        <v>623</v>
      </c>
      <c r="E545" t="s">
        <v>118</v>
      </c>
      <c r="F545" t="s">
        <v>28</v>
      </c>
      <c r="G545" t="s">
        <v>46</v>
      </c>
      <c r="H545" t="s">
        <v>753</v>
      </c>
      <c r="I545" s="2">
        <v>20.65</v>
      </c>
      <c r="J545" s="3">
        <v>5</v>
      </c>
      <c r="K545" s="2">
        <v>9.5</v>
      </c>
    </row>
    <row r="546" spans="1:11" x14ac:dyDescent="0.35">
      <c r="A546" s="1">
        <v>41768</v>
      </c>
      <c r="B546" s="3">
        <f t="shared" si="16"/>
        <v>2014</v>
      </c>
      <c r="C546" s="3">
        <f t="shared" si="17"/>
        <v>5</v>
      </c>
      <c r="D546" t="s">
        <v>623</v>
      </c>
      <c r="E546" t="s">
        <v>118</v>
      </c>
      <c r="F546" t="s">
        <v>28</v>
      </c>
      <c r="G546" t="s">
        <v>29</v>
      </c>
      <c r="H546" t="s">
        <v>754</v>
      </c>
      <c r="I546" s="2">
        <v>45.36</v>
      </c>
      <c r="J546" s="3">
        <v>7</v>
      </c>
      <c r="K546" s="2">
        <v>21.77</v>
      </c>
    </row>
    <row r="547" spans="1:11" x14ac:dyDescent="0.35">
      <c r="A547" s="1">
        <v>41799</v>
      </c>
      <c r="B547" s="3">
        <f t="shared" si="16"/>
        <v>2014</v>
      </c>
      <c r="C547" s="3">
        <f t="shared" si="17"/>
        <v>6</v>
      </c>
      <c r="D547" t="s">
        <v>755</v>
      </c>
      <c r="E547" t="s">
        <v>45</v>
      </c>
      <c r="F547" t="s">
        <v>18</v>
      </c>
      <c r="G547" t="s">
        <v>36</v>
      </c>
      <c r="H547" t="s">
        <v>570</v>
      </c>
      <c r="I547" s="2">
        <v>48.86</v>
      </c>
      <c r="J547" s="3">
        <v>7</v>
      </c>
      <c r="K547" s="2">
        <v>14.17</v>
      </c>
    </row>
    <row r="548" spans="1:11" x14ac:dyDescent="0.35">
      <c r="A548" s="1">
        <v>41799</v>
      </c>
      <c r="B548" s="3">
        <f t="shared" si="16"/>
        <v>2014</v>
      </c>
      <c r="C548" s="3">
        <f t="shared" si="17"/>
        <v>6</v>
      </c>
      <c r="D548" t="s">
        <v>755</v>
      </c>
      <c r="E548" t="s">
        <v>45</v>
      </c>
      <c r="F548" t="s">
        <v>28</v>
      </c>
      <c r="G548" t="s">
        <v>64</v>
      </c>
      <c r="H548" t="s">
        <v>466</v>
      </c>
      <c r="I548" s="2">
        <v>7.28</v>
      </c>
      <c r="J548" s="3">
        <v>4</v>
      </c>
      <c r="K548" s="2">
        <v>1.97</v>
      </c>
    </row>
    <row r="549" spans="1:11" x14ac:dyDescent="0.35">
      <c r="A549" s="1">
        <v>41799</v>
      </c>
      <c r="B549" s="3">
        <f t="shared" si="16"/>
        <v>2014</v>
      </c>
      <c r="C549" s="3">
        <f t="shared" si="17"/>
        <v>6</v>
      </c>
      <c r="D549" t="s">
        <v>755</v>
      </c>
      <c r="E549" t="s">
        <v>45</v>
      </c>
      <c r="F549" t="s">
        <v>13</v>
      </c>
      <c r="G549" t="s">
        <v>23</v>
      </c>
      <c r="H549" t="s">
        <v>756</v>
      </c>
      <c r="I549" s="2">
        <v>907.15</v>
      </c>
      <c r="J549" s="3">
        <v>6</v>
      </c>
      <c r="K549" s="2">
        <v>90.72</v>
      </c>
    </row>
    <row r="550" spans="1:11" x14ac:dyDescent="0.35">
      <c r="A550" s="1">
        <v>41799</v>
      </c>
      <c r="B550" s="3">
        <f t="shared" si="16"/>
        <v>2014</v>
      </c>
      <c r="C550" s="3">
        <f t="shared" si="17"/>
        <v>6</v>
      </c>
      <c r="D550" t="s">
        <v>755</v>
      </c>
      <c r="E550" t="s">
        <v>45</v>
      </c>
      <c r="F550" t="s">
        <v>28</v>
      </c>
      <c r="G550" t="s">
        <v>48</v>
      </c>
      <c r="H550" t="s">
        <v>757</v>
      </c>
      <c r="I550" s="2">
        <v>18.5</v>
      </c>
      <c r="J550" s="3">
        <v>3</v>
      </c>
      <c r="K550" s="2">
        <v>5.78</v>
      </c>
    </row>
    <row r="551" spans="1:11" x14ac:dyDescent="0.35">
      <c r="A551" s="1">
        <v>41799</v>
      </c>
      <c r="B551" s="3">
        <f t="shared" si="16"/>
        <v>2014</v>
      </c>
      <c r="C551" s="3">
        <f t="shared" si="17"/>
        <v>6</v>
      </c>
      <c r="D551" t="s">
        <v>755</v>
      </c>
      <c r="E551" t="s">
        <v>45</v>
      </c>
      <c r="F551" t="s">
        <v>28</v>
      </c>
      <c r="G551" t="s">
        <v>58</v>
      </c>
      <c r="H551" t="s">
        <v>490</v>
      </c>
      <c r="I551" s="2">
        <v>114.9</v>
      </c>
      <c r="J551" s="3">
        <v>5</v>
      </c>
      <c r="K551" s="2">
        <v>34.47</v>
      </c>
    </row>
    <row r="552" spans="1:11" x14ac:dyDescent="0.35">
      <c r="A552" s="1">
        <v>41799</v>
      </c>
      <c r="B552" s="3">
        <f t="shared" si="16"/>
        <v>2014</v>
      </c>
      <c r="C552" s="3">
        <f t="shared" si="17"/>
        <v>6</v>
      </c>
      <c r="D552" t="s">
        <v>755</v>
      </c>
      <c r="E552" t="s">
        <v>45</v>
      </c>
      <c r="F552" t="s">
        <v>18</v>
      </c>
      <c r="G552" t="s">
        <v>42</v>
      </c>
      <c r="H552" t="s">
        <v>758</v>
      </c>
      <c r="I552" s="2">
        <v>1706.18</v>
      </c>
      <c r="J552" s="3">
        <v>9</v>
      </c>
      <c r="K552" s="2">
        <v>85.31</v>
      </c>
    </row>
    <row r="553" spans="1:11" x14ac:dyDescent="0.35">
      <c r="A553" s="1">
        <v>41799</v>
      </c>
      <c r="B553" s="3">
        <f t="shared" si="16"/>
        <v>2014</v>
      </c>
      <c r="C553" s="3">
        <f t="shared" si="17"/>
        <v>6</v>
      </c>
      <c r="D553" t="s">
        <v>755</v>
      </c>
      <c r="E553" t="s">
        <v>45</v>
      </c>
      <c r="F553" t="s">
        <v>13</v>
      </c>
      <c r="G553" t="s">
        <v>23</v>
      </c>
      <c r="H553" t="s">
        <v>759</v>
      </c>
      <c r="I553" s="2">
        <v>911.42</v>
      </c>
      <c r="J553" s="3">
        <v>4</v>
      </c>
      <c r="K553" s="2">
        <v>68.36</v>
      </c>
    </row>
    <row r="554" spans="1:11" x14ac:dyDescent="0.35">
      <c r="A554" s="1">
        <v>41799</v>
      </c>
      <c r="B554" s="3">
        <f t="shared" si="16"/>
        <v>2014</v>
      </c>
      <c r="C554" s="3">
        <f t="shared" si="17"/>
        <v>6</v>
      </c>
      <c r="D554" t="s">
        <v>760</v>
      </c>
      <c r="E554" t="s">
        <v>32</v>
      </c>
      <c r="F554" t="s">
        <v>13</v>
      </c>
      <c r="G554" t="s">
        <v>23</v>
      </c>
      <c r="H554" t="s">
        <v>761</v>
      </c>
      <c r="I554" s="2">
        <v>7.99</v>
      </c>
      <c r="J554" s="3">
        <v>1</v>
      </c>
      <c r="K554" s="2">
        <v>0.6</v>
      </c>
    </row>
    <row r="555" spans="1:11" x14ac:dyDescent="0.35">
      <c r="A555" s="1">
        <v>41799</v>
      </c>
      <c r="B555" s="3">
        <f t="shared" si="16"/>
        <v>2014</v>
      </c>
      <c r="C555" s="3">
        <f t="shared" si="17"/>
        <v>6</v>
      </c>
      <c r="D555" t="s">
        <v>760</v>
      </c>
      <c r="E555" t="s">
        <v>32</v>
      </c>
      <c r="F555" t="s">
        <v>13</v>
      </c>
      <c r="G555" t="s">
        <v>14</v>
      </c>
      <c r="H555" t="s">
        <v>762</v>
      </c>
      <c r="I555" s="2">
        <v>63.98</v>
      </c>
      <c r="J555" s="3">
        <v>2</v>
      </c>
      <c r="K555" s="2">
        <v>10.4</v>
      </c>
    </row>
    <row r="556" spans="1:11" x14ac:dyDescent="0.35">
      <c r="A556" s="1">
        <v>41799</v>
      </c>
      <c r="B556" s="3">
        <f t="shared" si="16"/>
        <v>2014</v>
      </c>
      <c r="C556" s="3">
        <f t="shared" si="17"/>
        <v>6</v>
      </c>
      <c r="D556" t="s">
        <v>760</v>
      </c>
      <c r="E556" t="s">
        <v>32</v>
      </c>
      <c r="F556" t="s">
        <v>28</v>
      </c>
      <c r="G556" t="s">
        <v>64</v>
      </c>
      <c r="H556" t="s">
        <v>763</v>
      </c>
      <c r="I556" s="2">
        <v>70.37</v>
      </c>
      <c r="J556" s="3">
        <v>2</v>
      </c>
      <c r="K556" s="2">
        <v>6.16</v>
      </c>
    </row>
    <row r="557" spans="1:11" x14ac:dyDescent="0.35">
      <c r="A557" s="1">
        <v>41799</v>
      </c>
      <c r="B557" s="3">
        <f t="shared" si="16"/>
        <v>2014</v>
      </c>
      <c r="C557" s="3">
        <f t="shared" si="17"/>
        <v>6</v>
      </c>
      <c r="D557" t="s">
        <v>764</v>
      </c>
      <c r="E557" t="s">
        <v>45</v>
      </c>
      <c r="F557" t="s">
        <v>28</v>
      </c>
      <c r="G557" t="s">
        <v>215</v>
      </c>
      <c r="H557" t="s">
        <v>765</v>
      </c>
      <c r="I557" s="2">
        <v>7.36</v>
      </c>
      <c r="J557" s="3">
        <v>2</v>
      </c>
      <c r="K557" s="2">
        <v>0.15</v>
      </c>
    </row>
    <row r="558" spans="1:11" x14ac:dyDescent="0.35">
      <c r="A558" s="1">
        <v>41799</v>
      </c>
      <c r="B558" s="3">
        <f t="shared" si="16"/>
        <v>2014</v>
      </c>
      <c r="C558" s="3">
        <f t="shared" si="17"/>
        <v>6</v>
      </c>
      <c r="D558" t="s">
        <v>764</v>
      </c>
      <c r="E558" t="s">
        <v>45</v>
      </c>
      <c r="F558" t="s">
        <v>28</v>
      </c>
      <c r="G558" t="s">
        <v>64</v>
      </c>
      <c r="H558" t="s">
        <v>766</v>
      </c>
      <c r="I558" s="2">
        <v>23.1</v>
      </c>
      <c r="J558" s="3">
        <v>2</v>
      </c>
      <c r="K558" s="2">
        <v>10.63</v>
      </c>
    </row>
    <row r="559" spans="1:11" x14ac:dyDescent="0.35">
      <c r="A559" s="1">
        <v>41799</v>
      </c>
      <c r="B559" s="3">
        <f t="shared" si="16"/>
        <v>2014</v>
      </c>
      <c r="C559" s="3">
        <f t="shared" si="17"/>
        <v>6</v>
      </c>
      <c r="D559" t="s">
        <v>767</v>
      </c>
      <c r="E559" t="s">
        <v>173</v>
      </c>
      <c r="F559" t="s">
        <v>18</v>
      </c>
      <c r="G559" t="s">
        <v>42</v>
      </c>
      <c r="H559" t="s">
        <v>768</v>
      </c>
      <c r="I559" s="2">
        <v>1441.3</v>
      </c>
      <c r="J559" s="3">
        <v>7</v>
      </c>
      <c r="K559" s="2">
        <v>245.02</v>
      </c>
    </row>
    <row r="560" spans="1:11" x14ac:dyDescent="0.35">
      <c r="A560" s="1">
        <v>41799</v>
      </c>
      <c r="B560" s="3">
        <f t="shared" si="16"/>
        <v>2014</v>
      </c>
      <c r="C560" s="3">
        <f t="shared" si="17"/>
        <v>6</v>
      </c>
      <c r="D560" t="s">
        <v>769</v>
      </c>
      <c r="E560" t="s">
        <v>100</v>
      </c>
      <c r="F560" t="s">
        <v>28</v>
      </c>
      <c r="G560" t="s">
        <v>64</v>
      </c>
      <c r="H560" t="s">
        <v>308</v>
      </c>
      <c r="I560" s="2">
        <v>18.059999999999999</v>
      </c>
      <c r="J560" s="3">
        <v>7</v>
      </c>
      <c r="K560" s="2">
        <v>4.7</v>
      </c>
    </row>
    <row r="561" spans="1:11" x14ac:dyDescent="0.35">
      <c r="A561" s="1">
        <v>41799</v>
      </c>
      <c r="B561" s="3">
        <f t="shared" si="16"/>
        <v>2014</v>
      </c>
      <c r="C561" s="3">
        <f t="shared" si="17"/>
        <v>6</v>
      </c>
      <c r="D561" t="s">
        <v>769</v>
      </c>
      <c r="E561" t="s">
        <v>100</v>
      </c>
      <c r="F561" t="s">
        <v>28</v>
      </c>
      <c r="G561" t="s">
        <v>29</v>
      </c>
      <c r="H561" t="s">
        <v>588</v>
      </c>
      <c r="I561" s="2">
        <v>79.14</v>
      </c>
      <c r="J561" s="3">
        <v>3</v>
      </c>
      <c r="K561" s="2">
        <v>36.4</v>
      </c>
    </row>
    <row r="562" spans="1:11" x14ac:dyDescent="0.35">
      <c r="A562" s="1">
        <v>41799</v>
      </c>
      <c r="B562" s="3">
        <f t="shared" si="16"/>
        <v>2014</v>
      </c>
      <c r="C562" s="3">
        <f t="shared" si="17"/>
        <v>6</v>
      </c>
      <c r="D562" t="s">
        <v>769</v>
      </c>
      <c r="E562" t="s">
        <v>100</v>
      </c>
      <c r="F562" t="s">
        <v>18</v>
      </c>
      <c r="G562" t="s">
        <v>36</v>
      </c>
      <c r="H562" t="s">
        <v>770</v>
      </c>
      <c r="I562" s="2">
        <v>37.4</v>
      </c>
      <c r="J562" s="3">
        <v>2</v>
      </c>
      <c r="K562" s="2">
        <v>14.21</v>
      </c>
    </row>
    <row r="563" spans="1:11" x14ac:dyDescent="0.35">
      <c r="A563" s="1">
        <v>41829</v>
      </c>
      <c r="B563" s="3">
        <f t="shared" si="16"/>
        <v>2014</v>
      </c>
      <c r="C563" s="3">
        <f t="shared" si="17"/>
        <v>7</v>
      </c>
      <c r="D563" t="s">
        <v>771</v>
      </c>
      <c r="E563" t="s">
        <v>32</v>
      </c>
      <c r="F563" t="s">
        <v>28</v>
      </c>
      <c r="G563" t="s">
        <v>29</v>
      </c>
      <c r="H563" t="s">
        <v>772</v>
      </c>
      <c r="I563" s="2">
        <v>10.37</v>
      </c>
      <c r="J563" s="3">
        <v>2</v>
      </c>
      <c r="K563" s="2">
        <v>3.63</v>
      </c>
    </row>
    <row r="564" spans="1:11" x14ac:dyDescent="0.35">
      <c r="A564" s="1">
        <v>41829</v>
      </c>
      <c r="B564" s="3">
        <f t="shared" si="16"/>
        <v>2014</v>
      </c>
      <c r="C564" s="3">
        <f t="shared" si="17"/>
        <v>7</v>
      </c>
      <c r="D564" t="s">
        <v>771</v>
      </c>
      <c r="E564" t="s">
        <v>32</v>
      </c>
      <c r="F564" t="s">
        <v>28</v>
      </c>
      <c r="G564" t="s">
        <v>29</v>
      </c>
      <c r="H564" t="s">
        <v>773</v>
      </c>
      <c r="I564" s="2">
        <v>14.35</v>
      </c>
      <c r="J564" s="3">
        <v>3</v>
      </c>
      <c r="K564" s="2">
        <v>4.49</v>
      </c>
    </row>
    <row r="565" spans="1:11" x14ac:dyDescent="0.35">
      <c r="A565" s="1">
        <v>41829</v>
      </c>
      <c r="B565" s="3">
        <f t="shared" si="16"/>
        <v>2014</v>
      </c>
      <c r="C565" s="3">
        <f t="shared" si="17"/>
        <v>7</v>
      </c>
      <c r="D565" t="s">
        <v>296</v>
      </c>
      <c r="E565" t="s">
        <v>45</v>
      </c>
      <c r="F565" t="s">
        <v>28</v>
      </c>
      <c r="G565" t="s">
        <v>46</v>
      </c>
      <c r="H565" t="s">
        <v>774</v>
      </c>
      <c r="I565" s="2">
        <v>2.88</v>
      </c>
      <c r="J565" s="3">
        <v>1</v>
      </c>
      <c r="K565" s="2">
        <v>1.41</v>
      </c>
    </row>
    <row r="566" spans="1:11" x14ac:dyDescent="0.35">
      <c r="A566" s="1">
        <v>41829</v>
      </c>
      <c r="B566" s="3">
        <f t="shared" si="16"/>
        <v>2014</v>
      </c>
      <c r="C566" s="3">
        <f t="shared" si="17"/>
        <v>7</v>
      </c>
      <c r="D566" t="s">
        <v>296</v>
      </c>
      <c r="E566" t="s">
        <v>45</v>
      </c>
      <c r="F566" t="s">
        <v>28</v>
      </c>
      <c r="G566" t="s">
        <v>48</v>
      </c>
      <c r="H566" t="s">
        <v>775</v>
      </c>
      <c r="I566" s="2">
        <v>41.9</v>
      </c>
      <c r="J566" s="3">
        <v>6</v>
      </c>
      <c r="K566" s="2">
        <v>14.14</v>
      </c>
    </row>
    <row r="567" spans="1:11" x14ac:dyDescent="0.35">
      <c r="A567" s="1">
        <v>41829</v>
      </c>
      <c r="B567" s="3">
        <f t="shared" si="16"/>
        <v>2014</v>
      </c>
      <c r="C567" s="3">
        <f t="shared" si="17"/>
        <v>7</v>
      </c>
      <c r="D567" t="s">
        <v>296</v>
      </c>
      <c r="E567" t="s">
        <v>45</v>
      </c>
      <c r="F567" t="s">
        <v>28</v>
      </c>
      <c r="G567" t="s">
        <v>38</v>
      </c>
      <c r="H567" t="s">
        <v>776</v>
      </c>
      <c r="I567" s="2">
        <v>23.92</v>
      </c>
      <c r="J567" s="3">
        <v>4</v>
      </c>
      <c r="K567" s="2">
        <v>4.07</v>
      </c>
    </row>
    <row r="568" spans="1:11" x14ac:dyDescent="0.35">
      <c r="A568" s="1">
        <v>41829</v>
      </c>
      <c r="B568" s="3">
        <f t="shared" si="16"/>
        <v>2014</v>
      </c>
      <c r="C568" s="3">
        <f t="shared" si="17"/>
        <v>7</v>
      </c>
      <c r="D568" t="s">
        <v>777</v>
      </c>
      <c r="E568" t="s">
        <v>45</v>
      </c>
      <c r="F568" t="s">
        <v>28</v>
      </c>
      <c r="G568" t="s">
        <v>48</v>
      </c>
      <c r="H568" t="s">
        <v>317</v>
      </c>
      <c r="I568" s="2">
        <v>14.3</v>
      </c>
      <c r="J568" s="3">
        <v>6</v>
      </c>
      <c r="K568" s="2">
        <v>4.6500000000000004</v>
      </c>
    </row>
    <row r="569" spans="1:11" x14ac:dyDescent="0.35">
      <c r="A569" s="1">
        <v>41829</v>
      </c>
      <c r="B569" s="3">
        <f t="shared" si="16"/>
        <v>2014</v>
      </c>
      <c r="C569" s="3">
        <f t="shared" si="17"/>
        <v>7</v>
      </c>
      <c r="D569" t="s">
        <v>777</v>
      </c>
      <c r="E569" t="s">
        <v>45</v>
      </c>
      <c r="F569" t="s">
        <v>18</v>
      </c>
      <c r="G569" t="s">
        <v>237</v>
      </c>
      <c r="H569" t="s">
        <v>778</v>
      </c>
      <c r="I569" s="2">
        <v>119.83</v>
      </c>
      <c r="J569" s="3">
        <v>1</v>
      </c>
      <c r="K569" s="2">
        <v>7.05</v>
      </c>
    </row>
    <row r="570" spans="1:11" x14ac:dyDescent="0.35">
      <c r="A570" s="1">
        <v>41829</v>
      </c>
      <c r="B570" s="3">
        <f t="shared" si="16"/>
        <v>2014</v>
      </c>
      <c r="C570" s="3">
        <f t="shared" si="17"/>
        <v>7</v>
      </c>
      <c r="D570" t="s">
        <v>777</v>
      </c>
      <c r="E570" t="s">
        <v>45</v>
      </c>
      <c r="F570" t="s">
        <v>28</v>
      </c>
      <c r="G570" t="s">
        <v>64</v>
      </c>
      <c r="H570" t="s">
        <v>779</v>
      </c>
      <c r="I570" s="2">
        <v>5.56</v>
      </c>
      <c r="J570" s="3">
        <v>2</v>
      </c>
      <c r="K570" s="2">
        <v>2.2200000000000002</v>
      </c>
    </row>
    <row r="571" spans="1:11" x14ac:dyDescent="0.35">
      <c r="A571" s="1">
        <v>41829</v>
      </c>
      <c r="B571" s="3">
        <f t="shared" si="16"/>
        <v>2014</v>
      </c>
      <c r="C571" s="3">
        <f t="shared" si="17"/>
        <v>7</v>
      </c>
      <c r="D571" t="s">
        <v>777</v>
      </c>
      <c r="E571" t="s">
        <v>45</v>
      </c>
      <c r="F571" t="s">
        <v>28</v>
      </c>
      <c r="G571" t="s">
        <v>29</v>
      </c>
      <c r="H571" t="s">
        <v>780</v>
      </c>
      <c r="I571" s="2">
        <v>32.4</v>
      </c>
      <c r="J571" s="3">
        <v>5</v>
      </c>
      <c r="K571" s="2">
        <v>15.55</v>
      </c>
    </row>
    <row r="572" spans="1:11" x14ac:dyDescent="0.35">
      <c r="A572" s="1">
        <v>41860</v>
      </c>
      <c r="B572" s="3">
        <f t="shared" si="16"/>
        <v>2014</v>
      </c>
      <c r="C572" s="3">
        <f t="shared" si="17"/>
        <v>8</v>
      </c>
      <c r="D572" t="s">
        <v>203</v>
      </c>
      <c r="E572" t="s">
        <v>77</v>
      </c>
      <c r="F572" t="s">
        <v>13</v>
      </c>
      <c r="G572" t="s">
        <v>23</v>
      </c>
      <c r="H572" t="s">
        <v>689</v>
      </c>
      <c r="I572" s="2">
        <v>178.38</v>
      </c>
      <c r="J572" s="3">
        <v>2</v>
      </c>
      <c r="K572" s="2">
        <v>22.3</v>
      </c>
    </row>
    <row r="573" spans="1:11" x14ac:dyDescent="0.35">
      <c r="A573" s="1">
        <v>41860</v>
      </c>
      <c r="B573" s="3">
        <f t="shared" si="16"/>
        <v>2014</v>
      </c>
      <c r="C573" s="3">
        <f t="shared" si="17"/>
        <v>8</v>
      </c>
      <c r="D573" t="s">
        <v>203</v>
      </c>
      <c r="E573" t="s">
        <v>77</v>
      </c>
      <c r="F573" t="s">
        <v>28</v>
      </c>
      <c r="G573" t="s">
        <v>29</v>
      </c>
      <c r="H573" t="s">
        <v>781</v>
      </c>
      <c r="I573" s="2">
        <v>15.55</v>
      </c>
      <c r="J573" s="3">
        <v>3</v>
      </c>
      <c r="K573" s="2">
        <v>5.44</v>
      </c>
    </row>
    <row r="574" spans="1:11" x14ac:dyDescent="0.35">
      <c r="A574" s="1">
        <v>41860</v>
      </c>
      <c r="B574" s="3">
        <f t="shared" si="16"/>
        <v>2014</v>
      </c>
      <c r="C574" s="3">
        <f t="shared" si="17"/>
        <v>8</v>
      </c>
      <c r="D574" t="s">
        <v>782</v>
      </c>
      <c r="E574" t="s">
        <v>45</v>
      </c>
      <c r="F574" t="s">
        <v>28</v>
      </c>
      <c r="G574" t="s">
        <v>46</v>
      </c>
      <c r="H574" t="s">
        <v>783</v>
      </c>
      <c r="I574" s="2">
        <v>20.88</v>
      </c>
      <c r="J574" s="3">
        <v>8</v>
      </c>
      <c r="K574" s="2">
        <v>9.6</v>
      </c>
    </row>
    <row r="575" spans="1:11" x14ac:dyDescent="0.35">
      <c r="A575" s="1">
        <v>41860</v>
      </c>
      <c r="B575" s="3">
        <f t="shared" si="16"/>
        <v>2014</v>
      </c>
      <c r="C575" s="3">
        <f t="shared" si="17"/>
        <v>8</v>
      </c>
      <c r="D575" t="s">
        <v>784</v>
      </c>
      <c r="E575" t="s">
        <v>17</v>
      </c>
      <c r="F575" t="s">
        <v>13</v>
      </c>
      <c r="G575" t="s">
        <v>23</v>
      </c>
      <c r="H575" t="s">
        <v>785</v>
      </c>
      <c r="I575" s="2">
        <v>1091.17</v>
      </c>
      <c r="J575" s="3">
        <v>4</v>
      </c>
      <c r="K575" s="2">
        <v>68.2</v>
      </c>
    </row>
    <row r="576" spans="1:11" x14ac:dyDescent="0.35">
      <c r="A576" s="1">
        <v>41860</v>
      </c>
      <c r="B576" s="3">
        <f t="shared" si="16"/>
        <v>2014</v>
      </c>
      <c r="C576" s="3">
        <f t="shared" si="17"/>
        <v>8</v>
      </c>
      <c r="D576" t="s">
        <v>784</v>
      </c>
      <c r="E576" t="s">
        <v>17</v>
      </c>
      <c r="F576" t="s">
        <v>13</v>
      </c>
      <c r="G576" t="s">
        <v>23</v>
      </c>
      <c r="H576" t="s">
        <v>786</v>
      </c>
      <c r="I576" s="2">
        <v>219.17</v>
      </c>
      <c r="J576" s="3">
        <v>2</v>
      </c>
      <c r="K576" s="2">
        <v>-43.83</v>
      </c>
    </row>
    <row r="577" spans="1:11" x14ac:dyDescent="0.35">
      <c r="A577" s="1">
        <v>41860</v>
      </c>
      <c r="B577" s="3">
        <f t="shared" si="16"/>
        <v>2014</v>
      </c>
      <c r="C577" s="3">
        <f t="shared" si="17"/>
        <v>8</v>
      </c>
      <c r="D577" t="s">
        <v>787</v>
      </c>
      <c r="E577" t="s">
        <v>17</v>
      </c>
      <c r="F577" t="s">
        <v>28</v>
      </c>
      <c r="G577" t="s">
        <v>48</v>
      </c>
      <c r="H577" t="s">
        <v>788</v>
      </c>
      <c r="I577" s="2">
        <v>2060.7399999999998</v>
      </c>
      <c r="J577" s="3">
        <v>7</v>
      </c>
      <c r="K577" s="2">
        <v>643.98</v>
      </c>
    </row>
    <row r="578" spans="1:11" x14ac:dyDescent="0.35">
      <c r="A578" s="1">
        <v>41860</v>
      </c>
      <c r="B578" s="3">
        <f t="shared" ref="B578:B641" si="18">YEAR(A578)</f>
        <v>2014</v>
      </c>
      <c r="C578" s="3">
        <f t="shared" ref="C578:C641" si="19">MONTH(A578)</f>
        <v>8</v>
      </c>
      <c r="D578" t="s">
        <v>789</v>
      </c>
      <c r="E578" t="s">
        <v>45</v>
      </c>
      <c r="F578" t="s">
        <v>28</v>
      </c>
      <c r="G578" t="s">
        <v>29</v>
      </c>
      <c r="H578" t="s">
        <v>790</v>
      </c>
      <c r="I578" s="2">
        <v>5.98</v>
      </c>
      <c r="J578" s="3">
        <v>1</v>
      </c>
      <c r="K578" s="2">
        <v>2.69</v>
      </c>
    </row>
    <row r="579" spans="1:11" x14ac:dyDescent="0.35">
      <c r="A579" s="1">
        <v>41860</v>
      </c>
      <c r="B579" s="3">
        <f t="shared" si="18"/>
        <v>2014</v>
      </c>
      <c r="C579" s="3">
        <f t="shared" si="19"/>
        <v>8</v>
      </c>
      <c r="D579" t="s">
        <v>219</v>
      </c>
      <c r="E579" t="s">
        <v>211</v>
      </c>
      <c r="F579" t="s">
        <v>28</v>
      </c>
      <c r="G579" t="s">
        <v>33</v>
      </c>
      <c r="H579" t="s">
        <v>791</v>
      </c>
      <c r="I579" s="2">
        <v>4.46</v>
      </c>
      <c r="J579" s="3">
        <v>3</v>
      </c>
      <c r="K579" s="2">
        <v>-0.95</v>
      </c>
    </row>
    <row r="580" spans="1:11" x14ac:dyDescent="0.35">
      <c r="A580" s="1">
        <v>41860</v>
      </c>
      <c r="B580" s="3">
        <f t="shared" si="18"/>
        <v>2014</v>
      </c>
      <c r="C580" s="3">
        <f t="shared" si="19"/>
        <v>8</v>
      </c>
      <c r="D580" t="s">
        <v>219</v>
      </c>
      <c r="E580" t="s">
        <v>211</v>
      </c>
      <c r="F580" t="s">
        <v>28</v>
      </c>
      <c r="G580" t="s">
        <v>48</v>
      </c>
      <c r="H580" t="s">
        <v>792</v>
      </c>
      <c r="I580" s="2">
        <v>9.35</v>
      </c>
      <c r="J580" s="3">
        <v>5</v>
      </c>
      <c r="K580" s="2">
        <v>-6.54</v>
      </c>
    </row>
    <row r="581" spans="1:11" x14ac:dyDescent="0.35">
      <c r="A581" s="1">
        <v>41891</v>
      </c>
      <c r="B581" s="3">
        <f t="shared" si="18"/>
        <v>2014</v>
      </c>
      <c r="C581" s="3">
        <f t="shared" si="19"/>
        <v>9</v>
      </c>
      <c r="D581" t="s">
        <v>653</v>
      </c>
      <c r="E581" t="s">
        <v>71</v>
      </c>
      <c r="F581" t="s">
        <v>28</v>
      </c>
      <c r="G581" t="s">
        <v>46</v>
      </c>
      <c r="H581" t="s">
        <v>793</v>
      </c>
      <c r="I581" s="2">
        <v>103.6</v>
      </c>
      <c r="J581" s="3">
        <v>7</v>
      </c>
      <c r="K581" s="2">
        <v>51.8</v>
      </c>
    </row>
    <row r="582" spans="1:11" x14ac:dyDescent="0.35">
      <c r="A582" s="1">
        <v>41891</v>
      </c>
      <c r="B582" s="3">
        <f t="shared" si="18"/>
        <v>2014</v>
      </c>
      <c r="C582" s="3">
        <f t="shared" si="19"/>
        <v>9</v>
      </c>
      <c r="D582" t="s">
        <v>794</v>
      </c>
      <c r="E582" t="s">
        <v>51</v>
      </c>
      <c r="F582" t="s">
        <v>28</v>
      </c>
      <c r="G582" t="s">
        <v>29</v>
      </c>
      <c r="H582" t="s">
        <v>472</v>
      </c>
      <c r="I582" s="2">
        <v>166.44</v>
      </c>
      <c r="J582" s="3">
        <v>3</v>
      </c>
      <c r="K582" s="2">
        <v>79.89</v>
      </c>
    </row>
    <row r="583" spans="1:11" x14ac:dyDescent="0.35">
      <c r="A583" s="1">
        <v>41891</v>
      </c>
      <c r="B583" s="3">
        <f t="shared" si="18"/>
        <v>2014</v>
      </c>
      <c r="C583" s="3">
        <f t="shared" si="19"/>
        <v>9</v>
      </c>
      <c r="D583" t="s">
        <v>794</v>
      </c>
      <c r="E583" t="s">
        <v>51</v>
      </c>
      <c r="F583" t="s">
        <v>18</v>
      </c>
      <c r="G583" t="s">
        <v>19</v>
      </c>
      <c r="H583" t="s">
        <v>795</v>
      </c>
      <c r="I583" s="2">
        <v>785.88</v>
      </c>
      <c r="J583" s="3">
        <v>6</v>
      </c>
      <c r="K583" s="2">
        <v>212.19</v>
      </c>
    </row>
    <row r="584" spans="1:11" x14ac:dyDescent="0.35">
      <c r="A584" s="1">
        <v>41891</v>
      </c>
      <c r="B584" s="3">
        <f t="shared" si="18"/>
        <v>2014</v>
      </c>
      <c r="C584" s="3">
        <f t="shared" si="19"/>
        <v>9</v>
      </c>
      <c r="D584" t="s">
        <v>794</v>
      </c>
      <c r="E584" t="s">
        <v>51</v>
      </c>
      <c r="F584" t="s">
        <v>28</v>
      </c>
      <c r="G584" t="s">
        <v>29</v>
      </c>
      <c r="H584" t="s">
        <v>796</v>
      </c>
      <c r="I584" s="2">
        <v>26.2</v>
      </c>
      <c r="J584" s="3">
        <v>2</v>
      </c>
      <c r="K584" s="2">
        <v>12.84</v>
      </c>
    </row>
    <row r="585" spans="1:11" x14ac:dyDescent="0.35">
      <c r="A585" s="1">
        <v>41891</v>
      </c>
      <c r="B585" s="3">
        <f t="shared" si="18"/>
        <v>2014</v>
      </c>
      <c r="C585" s="3">
        <f t="shared" si="19"/>
        <v>9</v>
      </c>
      <c r="D585" t="s">
        <v>794</v>
      </c>
      <c r="E585" t="s">
        <v>51</v>
      </c>
      <c r="F585" t="s">
        <v>28</v>
      </c>
      <c r="G585" t="s">
        <v>38</v>
      </c>
      <c r="H585" t="s">
        <v>797</v>
      </c>
      <c r="I585" s="2">
        <v>1325.85</v>
      </c>
      <c r="J585" s="3">
        <v>5</v>
      </c>
      <c r="K585" s="2">
        <v>238.65</v>
      </c>
    </row>
    <row r="586" spans="1:11" x14ac:dyDescent="0.35">
      <c r="A586" s="1">
        <v>41891</v>
      </c>
      <c r="B586" s="3">
        <f t="shared" si="18"/>
        <v>2014</v>
      </c>
      <c r="C586" s="3">
        <f t="shared" si="19"/>
        <v>9</v>
      </c>
      <c r="D586" t="s">
        <v>798</v>
      </c>
      <c r="E586" t="s">
        <v>89</v>
      </c>
      <c r="F586" t="s">
        <v>28</v>
      </c>
      <c r="G586" t="s">
        <v>29</v>
      </c>
      <c r="H586" t="s">
        <v>799</v>
      </c>
      <c r="I586" s="2">
        <v>15.55</v>
      </c>
      <c r="J586" s="3">
        <v>3</v>
      </c>
      <c r="K586" s="2">
        <v>5.44</v>
      </c>
    </row>
    <row r="587" spans="1:11" x14ac:dyDescent="0.35">
      <c r="A587" s="1">
        <v>41891</v>
      </c>
      <c r="B587" s="3">
        <f t="shared" si="18"/>
        <v>2014</v>
      </c>
      <c r="C587" s="3">
        <f t="shared" si="19"/>
        <v>9</v>
      </c>
      <c r="D587" t="s">
        <v>798</v>
      </c>
      <c r="E587" t="s">
        <v>89</v>
      </c>
      <c r="F587" t="s">
        <v>13</v>
      </c>
      <c r="G587" t="s">
        <v>14</v>
      </c>
      <c r="H587" t="s">
        <v>800</v>
      </c>
      <c r="I587" s="2">
        <v>64.7</v>
      </c>
      <c r="J587" s="3">
        <v>6</v>
      </c>
      <c r="K587" s="2">
        <v>-4.8499999999999996</v>
      </c>
    </row>
    <row r="588" spans="1:11" x14ac:dyDescent="0.35">
      <c r="A588" s="1">
        <v>41891</v>
      </c>
      <c r="B588" s="3">
        <f t="shared" si="18"/>
        <v>2014</v>
      </c>
      <c r="C588" s="3">
        <f t="shared" si="19"/>
        <v>9</v>
      </c>
      <c r="D588" t="s">
        <v>798</v>
      </c>
      <c r="E588" t="s">
        <v>89</v>
      </c>
      <c r="F588" t="s">
        <v>18</v>
      </c>
      <c r="G588" t="s">
        <v>36</v>
      </c>
      <c r="H588" t="s">
        <v>801</v>
      </c>
      <c r="I588" s="2">
        <v>17.47</v>
      </c>
      <c r="J588" s="3">
        <v>3</v>
      </c>
      <c r="K588" s="2">
        <v>5.0199999999999996</v>
      </c>
    </row>
    <row r="589" spans="1:11" x14ac:dyDescent="0.35">
      <c r="A589" s="1">
        <v>41891</v>
      </c>
      <c r="B589" s="3">
        <f t="shared" si="18"/>
        <v>2014</v>
      </c>
      <c r="C589" s="3">
        <f t="shared" si="19"/>
        <v>9</v>
      </c>
      <c r="D589" t="s">
        <v>798</v>
      </c>
      <c r="E589" t="s">
        <v>89</v>
      </c>
      <c r="F589" t="s">
        <v>13</v>
      </c>
      <c r="G589" t="s">
        <v>23</v>
      </c>
      <c r="H589" t="s">
        <v>802</v>
      </c>
      <c r="I589" s="2">
        <v>135.52000000000001</v>
      </c>
      <c r="J589" s="3">
        <v>1</v>
      </c>
      <c r="K589" s="2">
        <v>-31.62</v>
      </c>
    </row>
    <row r="590" spans="1:11" x14ac:dyDescent="0.35">
      <c r="A590" s="1">
        <v>41891</v>
      </c>
      <c r="B590" s="3">
        <f t="shared" si="18"/>
        <v>2014</v>
      </c>
      <c r="C590" s="3">
        <f t="shared" si="19"/>
        <v>9</v>
      </c>
      <c r="D590" t="s">
        <v>124</v>
      </c>
      <c r="E590" t="s">
        <v>81</v>
      </c>
      <c r="F590" t="s">
        <v>13</v>
      </c>
      <c r="G590" t="s">
        <v>204</v>
      </c>
      <c r="H590" t="s">
        <v>803</v>
      </c>
      <c r="I590" s="2">
        <v>1299.99</v>
      </c>
      <c r="J590" s="3">
        <v>2</v>
      </c>
      <c r="K590" s="2">
        <v>-572</v>
      </c>
    </row>
    <row r="591" spans="1:11" x14ac:dyDescent="0.35">
      <c r="A591" s="1">
        <v>41891</v>
      </c>
      <c r="B591" s="3">
        <f t="shared" si="18"/>
        <v>2014</v>
      </c>
      <c r="C591" s="3">
        <f t="shared" si="19"/>
        <v>9</v>
      </c>
      <c r="D591" t="s">
        <v>804</v>
      </c>
      <c r="E591" t="s">
        <v>131</v>
      </c>
      <c r="F591" t="s">
        <v>18</v>
      </c>
      <c r="G591" t="s">
        <v>36</v>
      </c>
      <c r="H591" t="s">
        <v>805</v>
      </c>
      <c r="I591" s="2">
        <v>60.67</v>
      </c>
      <c r="J591" s="3">
        <v>6</v>
      </c>
      <c r="K591" s="2">
        <v>12.89</v>
      </c>
    </row>
    <row r="592" spans="1:11" x14ac:dyDescent="0.35">
      <c r="A592" s="1">
        <v>41891</v>
      </c>
      <c r="B592" s="3">
        <f t="shared" si="18"/>
        <v>2014</v>
      </c>
      <c r="C592" s="3">
        <f t="shared" si="19"/>
        <v>9</v>
      </c>
      <c r="D592" t="s">
        <v>804</v>
      </c>
      <c r="E592" t="s">
        <v>131</v>
      </c>
      <c r="F592" t="s">
        <v>28</v>
      </c>
      <c r="G592" t="s">
        <v>64</v>
      </c>
      <c r="H592" t="s">
        <v>112</v>
      </c>
      <c r="I592" s="2">
        <v>30.82</v>
      </c>
      <c r="J592" s="3">
        <v>9</v>
      </c>
      <c r="K592" s="2">
        <v>2.7</v>
      </c>
    </row>
    <row r="593" spans="1:11" x14ac:dyDescent="0.35">
      <c r="A593" s="1">
        <v>41891</v>
      </c>
      <c r="B593" s="3">
        <f t="shared" si="18"/>
        <v>2014</v>
      </c>
      <c r="C593" s="3">
        <f t="shared" si="19"/>
        <v>9</v>
      </c>
      <c r="D593" t="s">
        <v>401</v>
      </c>
      <c r="E593" t="s">
        <v>26</v>
      </c>
      <c r="F593" t="s">
        <v>28</v>
      </c>
      <c r="G593" t="s">
        <v>29</v>
      </c>
      <c r="H593" t="s">
        <v>806</v>
      </c>
      <c r="I593" s="2">
        <v>10.9</v>
      </c>
      <c r="J593" s="3">
        <v>3</v>
      </c>
      <c r="K593" s="2">
        <v>3.41</v>
      </c>
    </row>
    <row r="594" spans="1:11" x14ac:dyDescent="0.35">
      <c r="A594" s="1">
        <v>41921</v>
      </c>
      <c r="B594" s="3">
        <f t="shared" si="18"/>
        <v>2014</v>
      </c>
      <c r="C594" s="3">
        <f t="shared" si="19"/>
        <v>10</v>
      </c>
      <c r="D594" t="s">
        <v>619</v>
      </c>
      <c r="E594" t="s">
        <v>81</v>
      </c>
      <c r="F594" t="s">
        <v>28</v>
      </c>
      <c r="G594" t="s">
        <v>29</v>
      </c>
      <c r="H594" t="s">
        <v>431</v>
      </c>
      <c r="I594" s="2">
        <v>88.77</v>
      </c>
      <c r="J594" s="3">
        <v>2</v>
      </c>
      <c r="K594" s="2">
        <v>31.07</v>
      </c>
    </row>
    <row r="595" spans="1:11" x14ac:dyDescent="0.35">
      <c r="A595" s="1">
        <v>41921</v>
      </c>
      <c r="B595" s="3">
        <f t="shared" si="18"/>
        <v>2014</v>
      </c>
      <c r="C595" s="3">
        <f t="shared" si="19"/>
        <v>10</v>
      </c>
      <c r="D595" t="s">
        <v>807</v>
      </c>
      <c r="E595" t="s">
        <v>45</v>
      </c>
      <c r="F595" t="s">
        <v>28</v>
      </c>
      <c r="G595" t="s">
        <v>64</v>
      </c>
      <c r="H595" t="s">
        <v>65</v>
      </c>
      <c r="I595" s="2">
        <v>144.6</v>
      </c>
      <c r="J595" s="3">
        <v>3</v>
      </c>
      <c r="K595" s="2">
        <v>41.93</v>
      </c>
    </row>
    <row r="596" spans="1:11" x14ac:dyDescent="0.35">
      <c r="A596" s="1">
        <v>41921</v>
      </c>
      <c r="B596" s="3">
        <f t="shared" si="18"/>
        <v>2014</v>
      </c>
      <c r="C596" s="3">
        <f t="shared" si="19"/>
        <v>10</v>
      </c>
      <c r="D596" t="s">
        <v>807</v>
      </c>
      <c r="E596" t="s">
        <v>45</v>
      </c>
      <c r="F596" t="s">
        <v>13</v>
      </c>
      <c r="G596" t="s">
        <v>23</v>
      </c>
      <c r="H596" t="s">
        <v>808</v>
      </c>
      <c r="I596" s="2">
        <v>15.99</v>
      </c>
      <c r="J596" s="3">
        <v>1</v>
      </c>
      <c r="K596" s="2">
        <v>-3</v>
      </c>
    </row>
    <row r="597" spans="1:11" x14ac:dyDescent="0.35">
      <c r="A597" s="1">
        <v>41952</v>
      </c>
      <c r="B597" s="3">
        <f t="shared" si="18"/>
        <v>2014</v>
      </c>
      <c r="C597" s="3">
        <f t="shared" si="19"/>
        <v>11</v>
      </c>
      <c r="D597" t="s">
        <v>809</v>
      </c>
      <c r="E597" t="s">
        <v>45</v>
      </c>
      <c r="F597" t="s">
        <v>28</v>
      </c>
      <c r="G597" t="s">
        <v>38</v>
      </c>
      <c r="H597" t="s">
        <v>344</v>
      </c>
      <c r="I597" s="2">
        <v>340.92</v>
      </c>
      <c r="J597" s="3">
        <v>3</v>
      </c>
      <c r="K597" s="2">
        <v>3.41</v>
      </c>
    </row>
    <row r="598" spans="1:11" x14ac:dyDescent="0.35">
      <c r="A598" s="1">
        <v>41952</v>
      </c>
      <c r="B598" s="3">
        <f t="shared" si="18"/>
        <v>2014</v>
      </c>
      <c r="C598" s="3">
        <f t="shared" si="19"/>
        <v>11</v>
      </c>
      <c r="D598" t="s">
        <v>809</v>
      </c>
      <c r="E598" t="s">
        <v>45</v>
      </c>
      <c r="F598" t="s">
        <v>18</v>
      </c>
      <c r="G598" t="s">
        <v>237</v>
      </c>
      <c r="H598" t="s">
        <v>810</v>
      </c>
      <c r="I598" s="2">
        <v>222.67</v>
      </c>
      <c r="J598" s="3">
        <v>2</v>
      </c>
      <c r="K598" s="2">
        <v>10.48</v>
      </c>
    </row>
    <row r="599" spans="1:11" x14ac:dyDescent="0.35">
      <c r="A599" s="1">
        <v>41952</v>
      </c>
      <c r="B599" s="3">
        <f t="shared" si="18"/>
        <v>2014</v>
      </c>
      <c r="C599" s="3">
        <f t="shared" si="19"/>
        <v>11</v>
      </c>
      <c r="D599" t="s">
        <v>809</v>
      </c>
      <c r="E599" t="s">
        <v>45</v>
      </c>
      <c r="F599" t="s">
        <v>13</v>
      </c>
      <c r="G599" t="s">
        <v>23</v>
      </c>
      <c r="H599" t="s">
        <v>811</v>
      </c>
      <c r="I599" s="2">
        <v>703.97</v>
      </c>
      <c r="J599" s="3">
        <v>4</v>
      </c>
      <c r="K599" s="2">
        <v>88</v>
      </c>
    </row>
    <row r="600" spans="1:11" x14ac:dyDescent="0.35">
      <c r="A600" s="1">
        <v>41952</v>
      </c>
      <c r="B600" s="3">
        <f t="shared" si="18"/>
        <v>2014</v>
      </c>
      <c r="C600" s="3">
        <f t="shared" si="19"/>
        <v>11</v>
      </c>
      <c r="D600" t="s">
        <v>809</v>
      </c>
      <c r="E600" t="s">
        <v>45</v>
      </c>
      <c r="F600" t="s">
        <v>28</v>
      </c>
      <c r="G600" t="s">
        <v>38</v>
      </c>
      <c r="H600" t="s">
        <v>812</v>
      </c>
      <c r="I600" s="2">
        <v>92.52</v>
      </c>
      <c r="J600" s="3">
        <v>6</v>
      </c>
      <c r="K600" s="2">
        <v>24.98</v>
      </c>
    </row>
    <row r="601" spans="1:11" x14ac:dyDescent="0.35">
      <c r="A601" s="1">
        <v>41952</v>
      </c>
      <c r="B601" s="3">
        <f t="shared" si="18"/>
        <v>2014</v>
      </c>
      <c r="C601" s="3">
        <f t="shared" si="19"/>
        <v>11</v>
      </c>
      <c r="D601" t="s">
        <v>809</v>
      </c>
      <c r="E601" t="s">
        <v>45</v>
      </c>
      <c r="F601" t="s">
        <v>28</v>
      </c>
      <c r="G601" t="s">
        <v>29</v>
      </c>
      <c r="H601" t="s">
        <v>813</v>
      </c>
      <c r="I601" s="2">
        <v>62.65</v>
      </c>
      <c r="J601" s="3">
        <v>7</v>
      </c>
      <c r="K601" s="2">
        <v>28.82</v>
      </c>
    </row>
    <row r="602" spans="1:11" x14ac:dyDescent="0.35">
      <c r="A602" s="1">
        <v>41952</v>
      </c>
      <c r="B602" s="3">
        <f t="shared" si="18"/>
        <v>2014</v>
      </c>
      <c r="C602" s="3">
        <f t="shared" si="19"/>
        <v>11</v>
      </c>
      <c r="D602" t="s">
        <v>809</v>
      </c>
      <c r="E602" t="s">
        <v>45</v>
      </c>
      <c r="F602" t="s">
        <v>28</v>
      </c>
      <c r="G602" t="s">
        <v>29</v>
      </c>
      <c r="H602" t="s">
        <v>814</v>
      </c>
      <c r="I602" s="2">
        <v>94.85</v>
      </c>
      <c r="J602" s="3">
        <v>5</v>
      </c>
      <c r="K602" s="2">
        <v>45.53</v>
      </c>
    </row>
    <row r="603" spans="1:11" x14ac:dyDescent="0.35">
      <c r="A603" s="1">
        <v>41952</v>
      </c>
      <c r="B603" s="3">
        <f t="shared" si="18"/>
        <v>2014</v>
      </c>
      <c r="C603" s="3">
        <f t="shared" si="19"/>
        <v>11</v>
      </c>
      <c r="D603" t="s">
        <v>815</v>
      </c>
      <c r="E603" t="s">
        <v>22</v>
      </c>
      <c r="F603" t="s">
        <v>18</v>
      </c>
      <c r="G603" t="s">
        <v>36</v>
      </c>
      <c r="H603" t="s">
        <v>816</v>
      </c>
      <c r="I603" s="2">
        <v>56.52</v>
      </c>
      <c r="J603" s="3">
        <v>9</v>
      </c>
      <c r="K603" s="2">
        <v>21.48</v>
      </c>
    </row>
    <row r="604" spans="1:11" x14ac:dyDescent="0.35">
      <c r="A604" s="1">
        <v>41982</v>
      </c>
      <c r="B604" s="3">
        <f t="shared" si="18"/>
        <v>2014</v>
      </c>
      <c r="C604" s="3">
        <f t="shared" si="19"/>
        <v>12</v>
      </c>
      <c r="D604" t="s">
        <v>592</v>
      </c>
      <c r="E604" t="s">
        <v>45</v>
      </c>
      <c r="F604" t="s">
        <v>28</v>
      </c>
      <c r="G604" t="s">
        <v>29</v>
      </c>
      <c r="H604" t="s">
        <v>817</v>
      </c>
      <c r="I604" s="2">
        <v>34.68</v>
      </c>
      <c r="J604" s="3">
        <v>6</v>
      </c>
      <c r="K604" s="2">
        <v>16.989999999999998</v>
      </c>
    </row>
    <row r="605" spans="1:11" x14ac:dyDescent="0.35">
      <c r="A605" s="1">
        <v>41982</v>
      </c>
      <c r="B605" s="3">
        <f t="shared" si="18"/>
        <v>2014</v>
      </c>
      <c r="C605" s="3">
        <f t="shared" si="19"/>
        <v>12</v>
      </c>
      <c r="D605" t="s">
        <v>818</v>
      </c>
      <c r="E605" t="s">
        <v>211</v>
      </c>
      <c r="F605" t="s">
        <v>28</v>
      </c>
      <c r="G605" t="s">
        <v>38</v>
      </c>
      <c r="H605" t="s">
        <v>819</v>
      </c>
      <c r="I605" s="2">
        <v>100.7</v>
      </c>
      <c r="J605" s="3">
        <v>6</v>
      </c>
      <c r="K605" s="2">
        <v>-1.26</v>
      </c>
    </row>
    <row r="606" spans="1:11" x14ac:dyDescent="0.35">
      <c r="A606" s="1">
        <v>41982</v>
      </c>
      <c r="B606" s="3">
        <f t="shared" si="18"/>
        <v>2014</v>
      </c>
      <c r="C606" s="3">
        <f t="shared" si="19"/>
        <v>12</v>
      </c>
      <c r="D606" t="s">
        <v>569</v>
      </c>
      <c r="E606" t="s">
        <v>32</v>
      </c>
      <c r="F606" t="s">
        <v>28</v>
      </c>
      <c r="G606" t="s">
        <v>29</v>
      </c>
      <c r="H606" t="s">
        <v>820</v>
      </c>
      <c r="I606" s="2">
        <v>10.69</v>
      </c>
      <c r="J606" s="3">
        <v>2</v>
      </c>
      <c r="K606" s="2">
        <v>3.74</v>
      </c>
    </row>
    <row r="607" spans="1:11" x14ac:dyDescent="0.35">
      <c r="A607" s="1">
        <v>41982</v>
      </c>
      <c r="B607" s="3">
        <f t="shared" si="18"/>
        <v>2014</v>
      </c>
      <c r="C607" s="3">
        <f t="shared" si="19"/>
        <v>12</v>
      </c>
      <c r="D607" t="s">
        <v>569</v>
      </c>
      <c r="E607" t="s">
        <v>32</v>
      </c>
      <c r="F607" t="s">
        <v>28</v>
      </c>
      <c r="G607" t="s">
        <v>38</v>
      </c>
      <c r="H607" t="s">
        <v>821</v>
      </c>
      <c r="I607" s="2">
        <v>237.1</v>
      </c>
      <c r="J607" s="3">
        <v>3</v>
      </c>
      <c r="K607" s="2">
        <v>20.75</v>
      </c>
    </row>
    <row r="608" spans="1:11" x14ac:dyDescent="0.35">
      <c r="A608" s="1">
        <v>41982</v>
      </c>
      <c r="B608" s="3">
        <f t="shared" si="18"/>
        <v>2014</v>
      </c>
      <c r="C608" s="3">
        <f t="shared" si="19"/>
        <v>12</v>
      </c>
      <c r="D608" t="s">
        <v>769</v>
      </c>
      <c r="E608" t="s">
        <v>26</v>
      </c>
      <c r="F608" t="s">
        <v>28</v>
      </c>
      <c r="G608" t="s">
        <v>29</v>
      </c>
      <c r="H608" t="s">
        <v>822</v>
      </c>
      <c r="I608" s="2">
        <v>8.4499999999999993</v>
      </c>
      <c r="J608" s="3">
        <v>2</v>
      </c>
      <c r="K608" s="2">
        <v>2.96</v>
      </c>
    </row>
    <row r="609" spans="1:11" x14ac:dyDescent="0.35">
      <c r="A609" s="1">
        <v>41982</v>
      </c>
      <c r="B609" s="3">
        <f t="shared" si="18"/>
        <v>2014</v>
      </c>
      <c r="C609" s="3">
        <f t="shared" si="19"/>
        <v>12</v>
      </c>
      <c r="D609" t="s">
        <v>769</v>
      </c>
      <c r="E609" t="s">
        <v>26</v>
      </c>
      <c r="F609" t="s">
        <v>28</v>
      </c>
      <c r="G609" t="s">
        <v>58</v>
      </c>
      <c r="H609" t="s">
        <v>823</v>
      </c>
      <c r="I609" s="2">
        <v>20.39</v>
      </c>
      <c r="J609" s="3">
        <v>2</v>
      </c>
      <c r="K609" s="2">
        <v>-53.01</v>
      </c>
    </row>
    <row r="610" spans="1:11" x14ac:dyDescent="0.35">
      <c r="A610" s="1">
        <v>41982</v>
      </c>
      <c r="B610" s="3">
        <f t="shared" si="18"/>
        <v>2014</v>
      </c>
      <c r="C610" s="3">
        <f t="shared" si="19"/>
        <v>12</v>
      </c>
      <c r="D610" t="s">
        <v>662</v>
      </c>
      <c r="E610" t="s">
        <v>89</v>
      </c>
      <c r="F610" t="s">
        <v>28</v>
      </c>
      <c r="G610" t="s">
        <v>158</v>
      </c>
      <c r="H610" t="s">
        <v>697</v>
      </c>
      <c r="I610" s="2">
        <v>30.67</v>
      </c>
      <c r="J610" s="3">
        <v>3</v>
      </c>
      <c r="K610" s="2">
        <v>9.59</v>
      </c>
    </row>
    <row r="611" spans="1:11" x14ac:dyDescent="0.35">
      <c r="A611" s="1">
        <v>41982</v>
      </c>
      <c r="B611" s="3">
        <f t="shared" si="18"/>
        <v>2014</v>
      </c>
      <c r="C611" s="3">
        <f t="shared" si="19"/>
        <v>12</v>
      </c>
      <c r="D611" t="s">
        <v>662</v>
      </c>
      <c r="E611" t="s">
        <v>89</v>
      </c>
      <c r="F611" t="s">
        <v>13</v>
      </c>
      <c r="G611" t="s">
        <v>143</v>
      </c>
      <c r="H611" t="s">
        <v>824</v>
      </c>
      <c r="I611" s="2">
        <v>1079.98</v>
      </c>
      <c r="J611" s="3">
        <v>4</v>
      </c>
      <c r="K611" s="2">
        <v>126</v>
      </c>
    </row>
    <row r="612" spans="1:11" x14ac:dyDescent="0.35">
      <c r="A612" s="1">
        <v>41649</v>
      </c>
      <c r="B612" s="3">
        <f t="shared" si="18"/>
        <v>2014</v>
      </c>
      <c r="C612" s="3">
        <f t="shared" si="19"/>
        <v>1</v>
      </c>
      <c r="D612" t="s">
        <v>825</v>
      </c>
      <c r="E612" t="s">
        <v>173</v>
      </c>
      <c r="F612" t="s">
        <v>28</v>
      </c>
      <c r="G612" t="s">
        <v>46</v>
      </c>
      <c r="H612" t="s">
        <v>826</v>
      </c>
      <c r="I612" s="2">
        <v>2.89</v>
      </c>
      <c r="J612" s="3">
        <v>1</v>
      </c>
      <c r="K612" s="2">
        <v>1.36</v>
      </c>
    </row>
    <row r="613" spans="1:11" x14ac:dyDescent="0.35">
      <c r="A613" s="1">
        <v>41649</v>
      </c>
      <c r="B613" s="3">
        <f t="shared" si="18"/>
        <v>2014</v>
      </c>
      <c r="C613" s="3">
        <f t="shared" si="19"/>
        <v>1</v>
      </c>
      <c r="D613" t="s">
        <v>825</v>
      </c>
      <c r="E613" t="s">
        <v>173</v>
      </c>
      <c r="F613" t="s">
        <v>18</v>
      </c>
      <c r="G613" t="s">
        <v>36</v>
      </c>
      <c r="H613" t="s">
        <v>827</v>
      </c>
      <c r="I613" s="2">
        <v>51.94</v>
      </c>
      <c r="J613" s="3">
        <v>1</v>
      </c>
      <c r="K613" s="2">
        <v>21.3</v>
      </c>
    </row>
    <row r="614" spans="1:11" x14ac:dyDescent="0.35">
      <c r="A614" s="1">
        <v>41708</v>
      </c>
      <c r="B614" s="3">
        <f t="shared" si="18"/>
        <v>2014</v>
      </c>
      <c r="C614" s="3">
        <f t="shared" si="19"/>
        <v>3</v>
      </c>
      <c r="D614" t="s">
        <v>828</v>
      </c>
      <c r="E614" t="s">
        <v>71</v>
      </c>
      <c r="F614" t="s">
        <v>28</v>
      </c>
      <c r="G614" t="s">
        <v>29</v>
      </c>
      <c r="H614" t="s">
        <v>722</v>
      </c>
      <c r="I614" s="2">
        <v>22.38</v>
      </c>
      <c r="J614" s="3">
        <v>2</v>
      </c>
      <c r="K614" s="2">
        <v>10.74</v>
      </c>
    </row>
    <row r="615" spans="1:11" x14ac:dyDescent="0.35">
      <c r="A615" s="1">
        <v>41708</v>
      </c>
      <c r="B615" s="3">
        <f t="shared" si="18"/>
        <v>2014</v>
      </c>
      <c r="C615" s="3">
        <f t="shared" si="19"/>
        <v>3</v>
      </c>
      <c r="D615" t="s">
        <v>676</v>
      </c>
      <c r="E615" t="s">
        <v>103</v>
      </c>
      <c r="F615" t="s">
        <v>28</v>
      </c>
      <c r="G615" t="s">
        <v>38</v>
      </c>
      <c r="H615" t="s">
        <v>797</v>
      </c>
      <c r="I615" s="2">
        <v>636.41</v>
      </c>
      <c r="J615" s="3">
        <v>3</v>
      </c>
      <c r="K615" s="2">
        <v>-15.91</v>
      </c>
    </row>
    <row r="616" spans="1:11" x14ac:dyDescent="0.35">
      <c r="A616" s="1">
        <v>41708</v>
      </c>
      <c r="B616" s="3">
        <f t="shared" si="18"/>
        <v>2014</v>
      </c>
      <c r="C616" s="3">
        <f t="shared" si="19"/>
        <v>3</v>
      </c>
      <c r="D616" t="s">
        <v>676</v>
      </c>
      <c r="E616" t="s">
        <v>103</v>
      </c>
      <c r="F616" t="s">
        <v>28</v>
      </c>
      <c r="G616" t="s">
        <v>64</v>
      </c>
      <c r="H616" t="s">
        <v>829</v>
      </c>
      <c r="I616" s="2">
        <v>83.17</v>
      </c>
      <c r="J616" s="3">
        <v>4</v>
      </c>
      <c r="K616" s="2">
        <v>9.36</v>
      </c>
    </row>
    <row r="617" spans="1:11" x14ac:dyDescent="0.35">
      <c r="A617" s="1">
        <v>41769</v>
      </c>
      <c r="B617" s="3">
        <f t="shared" si="18"/>
        <v>2014</v>
      </c>
      <c r="C617" s="3">
        <f t="shared" si="19"/>
        <v>5</v>
      </c>
      <c r="D617" t="s">
        <v>830</v>
      </c>
      <c r="E617" t="s">
        <v>17</v>
      </c>
      <c r="F617" t="s">
        <v>28</v>
      </c>
      <c r="G617" t="s">
        <v>158</v>
      </c>
      <c r="H617" t="s">
        <v>831</v>
      </c>
      <c r="I617" s="2">
        <v>158.13</v>
      </c>
      <c r="J617" s="3">
        <v>3</v>
      </c>
      <c r="K617" s="2">
        <v>77.48</v>
      </c>
    </row>
    <row r="618" spans="1:11" x14ac:dyDescent="0.35">
      <c r="A618" s="1">
        <v>41769</v>
      </c>
      <c r="B618" s="3">
        <f t="shared" si="18"/>
        <v>2014</v>
      </c>
      <c r="C618" s="3">
        <f t="shared" si="19"/>
        <v>5</v>
      </c>
      <c r="D618" t="s">
        <v>830</v>
      </c>
      <c r="E618" t="s">
        <v>17</v>
      </c>
      <c r="F618" t="s">
        <v>13</v>
      </c>
      <c r="G618" t="s">
        <v>23</v>
      </c>
      <c r="H618" t="s">
        <v>832</v>
      </c>
      <c r="I618" s="2">
        <v>43.6</v>
      </c>
      <c r="J618" s="3">
        <v>5</v>
      </c>
      <c r="K618" s="2">
        <v>4.3600000000000003</v>
      </c>
    </row>
    <row r="619" spans="1:11" x14ac:dyDescent="0.35">
      <c r="A619" s="1">
        <v>41769</v>
      </c>
      <c r="B619" s="3">
        <f t="shared" si="18"/>
        <v>2014</v>
      </c>
      <c r="C619" s="3">
        <f t="shared" si="19"/>
        <v>5</v>
      </c>
      <c r="D619" t="s">
        <v>833</v>
      </c>
      <c r="E619" t="s">
        <v>89</v>
      </c>
      <c r="F619" t="s">
        <v>18</v>
      </c>
      <c r="G619" t="s">
        <v>237</v>
      </c>
      <c r="H619" t="s">
        <v>834</v>
      </c>
      <c r="I619" s="2">
        <v>349.97</v>
      </c>
      <c r="J619" s="3">
        <v>7</v>
      </c>
      <c r="K619" s="2">
        <v>-216.98</v>
      </c>
    </row>
    <row r="620" spans="1:11" x14ac:dyDescent="0.35">
      <c r="A620" s="1">
        <v>41769</v>
      </c>
      <c r="B620" s="3">
        <f t="shared" si="18"/>
        <v>2014</v>
      </c>
      <c r="C620" s="3">
        <f t="shared" si="19"/>
        <v>5</v>
      </c>
      <c r="D620" t="s">
        <v>833</v>
      </c>
      <c r="E620" t="s">
        <v>89</v>
      </c>
      <c r="F620" t="s">
        <v>28</v>
      </c>
      <c r="G620" t="s">
        <v>64</v>
      </c>
      <c r="H620" t="s">
        <v>188</v>
      </c>
      <c r="I620" s="2">
        <v>22.32</v>
      </c>
      <c r="J620" s="3">
        <v>5</v>
      </c>
      <c r="K620" s="2">
        <v>5.3</v>
      </c>
    </row>
    <row r="621" spans="1:11" x14ac:dyDescent="0.35">
      <c r="A621" s="1">
        <v>41769</v>
      </c>
      <c r="B621" s="3">
        <f t="shared" si="18"/>
        <v>2014</v>
      </c>
      <c r="C621" s="3">
        <f t="shared" si="19"/>
        <v>5</v>
      </c>
      <c r="D621" t="s">
        <v>835</v>
      </c>
      <c r="E621" t="s">
        <v>45</v>
      </c>
      <c r="F621" t="s">
        <v>28</v>
      </c>
      <c r="G621" t="s">
        <v>29</v>
      </c>
      <c r="H621" t="s">
        <v>394</v>
      </c>
      <c r="I621" s="2">
        <v>39.96</v>
      </c>
      <c r="J621" s="3">
        <v>2</v>
      </c>
      <c r="K621" s="2">
        <v>19.18</v>
      </c>
    </row>
    <row r="622" spans="1:11" x14ac:dyDescent="0.35">
      <c r="A622" s="1">
        <v>41769</v>
      </c>
      <c r="B622" s="3">
        <f t="shared" si="18"/>
        <v>2014</v>
      </c>
      <c r="C622" s="3">
        <f t="shared" si="19"/>
        <v>5</v>
      </c>
      <c r="D622" t="s">
        <v>835</v>
      </c>
      <c r="E622" t="s">
        <v>45</v>
      </c>
      <c r="F622" t="s">
        <v>13</v>
      </c>
      <c r="G622" t="s">
        <v>23</v>
      </c>
      <c r="H622" t="s">
        <v>836</v>
      </c>
      <c r="I622" s="2">
        <v>1432</v>
      </c>
      <c r="J622" s="3">
        <v>5</v>
      </c>
      <c r="K622" s="2">
        <v>125.3</v>
      </c>
    </row>
    <row r="623" spans="1:11" x14ac:dyDescent="0.35">
      <c r="A623" s="1">
        <v>41769</v>
      </c>
      <c r="B623" s="3">
        <f t="shared" si="18"/>
        <v>2014</v>
      </c>
      <c r="C623" s="3">
        <f t="shared" si="19"/>
        <v>5</v>
      </c>
      <c r="D623" t="s">
        <v>835</v>
      </c>
      <c r="E623" t="s">
        <v>45</v>
      </c>
      <c r="F623" t="s">
        <v>28</v>
      </c>
      <c r="G623" t="s">
        <v>215</v>
      </c>
      <c r="H623" t="s">
        <v>837</v>
      </c>
      <c r="I623" s="2">
        <v>41.04</v>
      </c>
      <c r="J623" s="3">
        <v>6</v>
      </c>
      <c r="K623" s="2">
        <v>11.08</v>
      </c>
    </row>
    <row r="624" spans="1:11" x14ac:dyDescent="0.35">
      <c r="A624" s="1">
        <v>41769</v>
      </c>
      <c r="B624" s="3">
        <f t="shared" si="18"/>
        <v>2014</v>
      </c>
      <c r="C624" s="3">
        <f t="shared" si="19"/>
        <v>5</v>
      </c>
      <c r="D624" t="s">
        <v>835</v>
      </c>
      <c r="E624" t="s">
        <v>45</v>
      </c>
      <c r="F624" t="s">
        <v>18</v>
      </c>
      <c r="G624" t="s">
        <v>19</v>
      </c>
      <c r="H624" t="s">
        <v>838</v>
      </c>
      <c r="I624" s="2">
        <v>256.77999999999997</v>
      </c>
      <c r="J624" s="3">
        <v>1</v>
      </c>
      <c r="K624" s="2">
        <v>32.1</v>
      </c>
    </row>
    <row r="625" spans="1:11" x14ac:dyDescent="0.35">
      <c r="A625" s="1">
        <v>41800</v>
      </c>
      <c r="B625" s="3">
        <f t="shared" si="18"/>
        <v>2014</v>
      </c>
      <c r="C625" s="3">
        <f t="shared" si="19"/>
        <v>6</v>
      </c>
      <c r="D625" t="s">
        <v>839</v>
      </c>
      <c r="E625" t="s">
        <v>71</v>
      </c>
      <c r="F625" t="s">
        <v>28</v>
      </c>
      <c r="G625" t="s">
        <v>46</v>
      </c>
      <c r="H625" t="s">
        <v>840</v>
      </c>
      <c r="I625" s="2">
        <v>491.55</v>
      </c>
      <c r="J625" s="3">
        <v>5</v>
      </c>
      <c r="K625" s="2">
        <v>240.86</v>
      </c>
    </row>
    <row r="626" spans="1:11" x14ac:dyDescent="0.35">
      <c r="A626" s="1">
        <v>41892</v>
      </c>
      <c r="B626" s="3">
        <f t="shared" si="18"/>
        <v>2014</v>
      </c>
      <c r="C626" s="3">
        <f t="shared" si="19"/>
        <v>9</v>
      </c>
      <c r="D626" t="s">
        <v>841</v>
      </c>
      <c r="E626" t="s">
        <v>173</v>
      </c>
      <c r="F626" t="s">
        <v>28</v>
      </c>
      <c r="G626" t="s">
        <v>48</v>
      </c>
      <c r="H626" t="s">
        <v>842</v>
      </c>
      <c r="I626" s="2">
        <v>9.64</v>
      </c>
      <c r="J626" s="3">
        <v>2</v>
      </c>
      <c r="K626" s="2">
        <v>4.72</v>
      </c>
    </row>
    <row r="627" spans="1:11" x14ac:dyDescent="0.35">
      <c r="A627" s="1">
        <v>41892</v>
      </c>
      <c r="B627" s="3">
        <f t="shared" si="18"/>
        <v>2014</v>
      </c>
      <c r="C627" s="3">
        <f t="shared" si="19"/>
        <v>9</v>
      </c>
      <c r="D627" t="s">
        <v>197</v>
      </c>
      <c r="E627" t="s">
        <v>107</v>
      </c>
      <c r="F627" t="s">
        <v>28</v>
      </c>
      <c r="G627" t="s">
        <v>158</v>
      </c>
      <c r="H627" t="s">
        <v>843</v>
      </c>
      <c r="I627" s="2">
        <v>21.73</v>
      </c>
      <c r="J627" s="3">
        <v>7</v>
      </c>
      <c r="K627" s="2">
        <v>7.6</v>
      </c>
    </row>
    <row r="628" spans="1:11" x14ac:dyDescent="0.35">
      <c r="A628" s="1">
        <v>41892</v>
      </c>
      <c r="B628" s="3">
        <f t="shared" si="18"/>
        <v>2014</v>
      </c>
      <c r="C628" s="3">
        <f t="shared" si="19"/>
        <v>9</v>
      </c>
      <c r="D628" t="s">
        <v>197</v>
      </c>
      <c r="E628" t="s">
        <v>107</v>
      </c>
      <c r="F628" t="s">
        <v>18</v>
      </c>
      <c r="G628" t="s">
        <v>19</v>
      </c>
      <c r="H628" t="s">
        <v>844</v>
      </c>
      <c r="I628" s="2">
        <v>1487.04</v>
      </c>
      <c r="J628" s="3">
        <v>5</v>
      </c>
      <c r="K628" s="2">
        <v>148.69999999999999</v>
      </c>
    </row>
    <row r="629" spans="1:11" x14ac:dyDescent="0.35">
      <c r="A629" s="1">
        <v>41892</v>
      </c>
      <c r="B629" s="3">
        <f t="shared" si="18"/>
        <v>2014</v>
      </c>
      <c r="C629" s="3">
        <f t="shared" si="19"/>
        <v>9</v>
      </c>
      <c r="D629" t="s">
        <v>845</v>
      </c>
      <c r="E629" t="s">
        <v>62</v>
      </c>
      <c r="F629" t="s">
        <v>28</v>
      </c>
      <c r="G629" t="s">
        <v>58</v>
      </c>
      <c r="H629" t="s">
        <v>846</v>
      </c>
      <c r="I629" s="2">
        <v>81.92</v>
      </c>
      <c r="J629" s="3">
        <v>4</v>
      </c>
      <c r="K629" s="2">
        <v>22.12</v>
      </c>
    </row>
    <row r="630" spans="1:11" x14ac:dyDescent="0.35">
      <c r="A630" s="1">
        <v>41892</v>
      </c>
      <c r="B630" s="3">
        <f t="shared" si="18"/>
        <v>2014</v>
      </c>
      <c r="C630" s="3">
        <f t="shared" si="19"/>
        <v>9</v>
      </c>
      <c r="D630" t="s">
        <v>845</v>
      </c>
      <c r="E630" t="s">
        <v>62</v>
      </c>
      <c r="F630" t="s">
        <v>18</v>
      </c>
      <c r="G630" t="s">
        <v>36</v>
      </c>
      <c r="H630" t="s">
        <v>847</v>
      </c>
      <c r="I630" s="2">
        <v>254.9</v>
      </c>
      <c r="J630" s="3">
        <v>5</v>
      </c>
      <c r="K630" s="2">
        <v>76.47</v>
      </c>
    </row>
    <row r="631" spans="1:11" x14ac:dyDescent="0.35">
      <c r="A631" s="1">
        <v>41922</v>
      </c>
      <c r="B631" s="3">
        <f t="shared" si="18"/>
        <v>2014</v>
      </c>
      <c r="C631" s="3">
        <f t="shared" si="19"/>
        <v>10</v>
      </c>
      <c r="D631" t="s">
        <v>848</v>
      </c>
      <c r="E631" t="s">
        <v>45</v>
      </c>
      <c r="F631" t="s">
        <v>18</v>
      </c>
      <c r="G631" t="s">
        <v>19</v>
      </c>
      <c r="H631" t="s">
        <v>305</v>
      </c>
      <c r="I631" s="2">
        <v>122.35</v>
      </c>
      <c r="J631" s="3">
        <v>3</v>
      </c>
      <c r="K631" s="2">
        <v>13.76</v>
      </c>
    </row>
    <row r="632" spans="1:11" x14ac:dyDescent="0.35">
      <c r="A632" s="1">
        <v>41922</v>
      </c>
      <c r="B632" s="3">
        <f t="shared" si="18"/>
        <v>2014</v>
      </c>
      <c r="C632" s="3">
        <f t="shared" si="19"/>
        <v>10</v>
      </c>
      <c r="D632" t="s">
        <v>848</v>
      </c>
      <c r="E632" t="s">
        <v>45</v>
      </c>
      <c r="F632" t="s">
        <v>28</v>
      </c>
      <c r="G632" t="s">
        <v>158</v>
      </c>
      <c r="H632" t="s">
        <v>849</v>
      </c>
      <c r="I632" s="2">
        <v>15.28</v>
      </c>
      <c r="J632" s="3">
        <v>2</v>
      </c>
      <c r="K632" s="2">
        <v>7.49</v>
      </c>
    </row>
    <row r="633" spans="1:11" x14ac:dyDescent="0.35">
      <c r="A633" s="1">
        <v>41922</v>
      </c>
      <c r="B633" s="3">
        <f t="shared" si="18"/>
        <v>2014</v>
      </c>
      <c r="C633" s="3">
        <f t="shared" si="19"/>
        <v>10</v>
      </c>
      <c r="D633" t="s">
        <v>537</v>
      </c>
      <c r="E633" t="s">
        <v>211</v>
      </c>
      <c r="F633" t="s">
        <v>18</v>
      </c>
      <c r="G633" t="s">
        <v>36</v>
      </c>
      <c r="H633" t="s">
        <v>850</v>
      </c>
      <c r="I633" s="2">
        <v>46.87</v>
      </c>
      <c r="J633" s="3">
        <v>7</v>
      </c>
      <c r="K633" s="2">
        <v>3.52</v>
      </c>
    </row>
    <row r="634" spans="1:11" x14ac:dyDescent="0.35">
      <c r="A634" s="1">
        <v>41922</v>
      </c>
      <c r="B634" s="3">
        <f t="shared" si="18"/>
        <v>2014</v>
      </c>
      <c r="C634" s="3">
        <f t="shared" si="19"/>
        <v>10</v>
      </c>
      <c r="D634" t="s">
        <v>601</v>
      </c>
      <c r="E634" t="s">
        <v>32</v>
      </c>
      <c r="F634" t="s">
        <v>13</v>
      </c>
      <c r="G634" t="s">
        <v>23</v>
      </c>
      <c r="H634" t="s">
        <v>167</v>
      </c>
      <c r="I634" s="2">
        <v>719.95</v>
      </c>
      <c r="J634" s="3">
        <v>6</v>
      </c>
      <c r="K634" s="2">
        <v>72</v>
      </c>
    </row>
    <row r="635" spans="1:11" x14ac:dyDescent="0.35">
      <c r="A635" s="1">
        <v>41922</v>
      </c>
      <c r="B635" s="3">
        <f t="shared" si="18"/>
        <v>2014</v>
      </c>
      <c r="C635" s="3">
        <f t="shared" si="19"/>
        <v>10</v>
      </c>
      <c r="D635" t="s">
        <v>601</v>
      </c>
      <c r="E635" t="s">
        <v>32</v>
      </c>
      <c r="F635" t="s">
        <v>13</v>
      </c>
      <c r="G635" t="s">
        <v>23</v>
      </c>
      <c r="H635" t="s">
        <v>851</v>
      </c>
      <c r="I635" s="2">
        <v>755.94</v>
      </c>
      <c r="J635" s="3">
        <v>7</v>
      </c>
      <c r="K635" s="2">
        <v>66.150000000000006</v>
      </c>
    </row>
    <row r="636" spans="1:11" x14ac:dyDescent="0.35">
      <c r="A636" s="1">
        <v>41922</v>
      </c>
      <c r="B636" s="3">
        <f t="shared" si="18"/>
        <v>2014</v>
      </c>
      <c r="C636" s="3">
        <f t="shared" si="19"/>
        <v>10</v>
      </c>
      <c r="D636" t="s">
        <v>601</v>
      </c>
      <c r="E636" t="s">
        <v>32</v>
      </c>
      <c r="F636" t="s">
        <v>28</v>
      </c>
      <c r="G636" t="s">
        <v>48</v>
      </c>
      <c r="H636" t="s">
        <v>852</v>
      </c>
      <c r="I636" s="2">
        <v>11.98</v>
      </c>
      <c r="J636" s="3">
        <v>5</v>
      </c>
      <c r="K636" s="2">
        <v>-19.170000000000002</v>
      </c>
    </row>
    <row r="637" spans="1:11" x14ac:dyDescent="0.35">
      <c r="A637" s="1">
        <v>41922</v>
      </c>
      <c r="B637" s="3">
        <f t="shared" si="18"/>
        <v>2014</v>
      </c>
      <c r="C637" s="3">
        <f t="shared" si="19"/>
        <v>10</v>
      </c>
      <c r="D637" t="s">
        <v>601</v>
      </c>
      <c r="E637" t="s">
        <v>32</v>
      </c>
      <c r="F637" t="s">
        <v>28</v>
      </c>
      <c r="G637" t="s">
        <v>48</v>
      </c>
      <c r="H637" t="s">
        <v>360</v>
      </c>
      <c r="I637" s="2">
        <v>0.9</v>
      </c>
      <c r="J637" s="3">
        <v>1</v>
      </c>
      <c r="K637" s="2">
        <v>-1.57</v>
      </c>
    </row>
    <row r="638" spans="1:11" x14ac:dyDescent="0.35">
      <c r="A638" s="1">
        <v>41922</v>
      </c>
      <c r="B638" s="3">
        <f t="shared" si="18"/>
        <v>2014</v>
      </c>
      <c r="C638" s="3">
        <f t="shared" si="19"/>
        <v>10</v>
      </c>
      <c r="D638" t="s">
        <v>853</v>
      </c>
      <c r="E638" t="s">
        <v>131</v>
      </c>
      <c r="F638" t="s">
        <v>13</v>
      </c>
      <c r="G638" t="s">
        <v>204</v>
      </c>
      <c r="H638" t="s">
        <v>854</v>
      </c>
      <c r="I638" s="2">
        <v>101.99</v>
      </c>
      <c r="J638" s="3">
        <v>2</v>
      </c>
      <c r="K638" s="2">
        <v>-71.400000000000006</v>
      </c>
    </row>
    <row r="639" spans="1:11" x14ac:dyDescent="0.35">
      <c r="A639" s="1">
        <v>41922</v>
      </c>
      <c r="B639" s="3">
        <f t="shared" si="18"/>
        <v>2014</v>
      </c>
      <c r="C639" s="3">
        <f t="shared" si="19"/>
        <v>10</v>
      </c>
      <c r="D639" t="s">
        <v>853</v>
      </c>
      <c r="E639" t="s">
        <v>131</v>
      </c>
      <c r="F639" t="s">
        <v>28</v>
      </c>
      <c r="G639" t="s">
        <v>48</v>
      </c>
      <c r="H639" t="s">
        <v>855</v>
      </c>
      <c r="I639" s="2">
        <v>18.260000000000002</v>
      </c>
      <c r="J639" s="3">
        <v>2</v>
      </c>
      <c r="K639" s="2">
        <v>-13.39</v>
      </c>
    </row>
    <row r="640" spans="1:11" x14ac:dyDescent="0.35">
      <c r="A640" s="1">
        <v>41922</v>
      </c>
      <c r="B640" s="3">
        <f t="shared" si="18"/>
        <v>2014</v>
      </c>
      <c r="C640" s="3">
        <f t="shared" si="19"/>
        <v>10</v>
      </c>
      <c r="D640" t="s">
        <v>856</v>
      </c>
      <c r="E640" t="s">
        <v>857</v>
      </c>
      <c r="F640" t="s">
        <v>28</v>
      </c>
      <c r="G640" t="s">
        <v>64</v>
      </c>
      <c r="H640" t="s">
        <v>858</v>
      </c>
      <c r="I640" s="2">
        <v>255.85</v>
      </c>
      <c r="J640" s="3">
        <v>7</v>
      </c>
      <c r="K640" s="2">
        <v>112.57</v>
      </c>
    </row>
    <row r="641" spans="1:11" x14ac:dyDescent="0.35">
      <c r="A641" s="1">
        <v>41953</v>
      </c>
      <c r="B641" s="3">
        <f t="shared" si="18"/>
        <v>2014</v>
      </c>
      <c r="C641" s="3">
        <f t="shared" si="19"/>
        <v>11</v>
      </c>
      <c r="D641" t="s">
        <v>440</v>
      </c>
      <c r="E641" t="s">
        <v>45</v>
      </c>
      <c r="F641" t="s">
        <v>13</v>
      </c>
      <c r="G641" t="s">
        <v>23</v>
      </c>
      <c r="H641" t="s">
        <v>859</v>
      </c>
      <c r="I641" s="2">
        <v>601.54</v>
      </c>
      <c r="J641" s="3">
        <v>8</v>
      </c>
      <c r="K641" s="2">
        <v>60.15</v>
      </c>
    </row>
    <row r="642" spans="1:11" x14ac:dyDescent="0.35">
      <c r="A642" s="1">
        <v>41953</v>
      </c>
      <c r="B642" s="3">
        <f t="shared" ref="B642:B705" si="20">YEAR(A642)</f>
        <v>2014</v>
      </c>
      <c r="C642" s="3">
        <f t="shared" ref="C642:C705" si="21">MONTH(A642)</f>
        <v>11</v>
      </c>
      <c r="D642" t="s">
        <v>440</v>
      </c>
      <c r="E642" t="s">
        <v>45</v>
      </c>
      <c r="F642" t="s">
        <v>13</v>
      </c>
      <c r="G642" t="s">
        <v>14</v>
      </c>
      <c r="H642" t="s">
        <v>709</v>
      </c>
      <c r="I642" s="2">
        <v>10.99</v>
      </c>
      <c r="J642" s="3">
        <v>1</v>
      </c>
      <c r="K642" s="2">
        <v>4.29</v>
      </c>
    </row>
    <row r="643" spans="1:11" x14ac:dyDescent="0.35">
      <c r="A643" s="1">
        <v>41953</v>
      </c>
      <c r="B643" s="3">
        <f t="shared" si="20"/>
        <v>2014</v>
      </c>
      <c r="C643" s="3">
        <f t="shared" si="21"/>
        <v>11</v>
      </c>
      <c r="D643" t="s">
        <v>440</v>
      </c>
      <c r="E643" t="s">
        <v>45</v>
      </c>
      <c r="F643" t="s">
        <v>18</v>
      </c>
      <c r="G643" t="s">
        <v>36</v>
      </c>
      <c r="H643" t="s">
        <v>746</v>
      </c>
      <c r="I643" s="2">
        <v>39.880000000000003</v>
      </c>
      <c r="J643" s="3">
        <v>2</v>
      </c>
      <c r="K643" s="2">
        <v>11.17</v>
      </c>
    </row>
    <row r="644" spans="1:11" x14ac:dyDescent="0.35">
      <c r="A644" s="1">
        <v>41953</v>
      </c>
      <c r="B644" s="3">
        <f t="shared" si="20"/>
        <v>2014</v>
      </c>
      <c r="C644" s="3">
        <f t="shared" si="21"/>
        <v>11</v>
      </c>
      <c r="D644" t="s">
        <v>440</v>
      </c>
      <c r="E644" t="s">
        <v>45</v>
      </c>
      <c r="F644" t="s">
        <v>28</v>
      </c>
      <c r="G644" t="s">
        <v>29</v>
      </c>
      <c r="H644" t="s">
        <v>860</v>
      </c>
      <c r="I644" s="2">
        <v>62.24</v>
      </c>
      <c r="J644" s="3">
        <v>8</v>
      </c>
      <c r="K644" s="2">
        <v>28.01</v>
      </c>
    </row>
    <row r="645" spans="1:11" x14ac:dyDescent="0.35">
      <c r="A645" s="1">
        <v>41953</v>
      </c>
      <c r="B645" s="3">
        <f t="shared" si="20"/>
        <v>2014</v>
      </c>
      <c r="C645" s="3">
        <f t="shared" si="21"/>
        <v>11</v>
      </c>
      <c r="D645" t="s">
        <v>440</v>
      </c>
      <c r="E645" t="s">
        <v>45</v>
      </c>
      <c r="F645" t="s">
        <v>18</v>
      </c>
      <c r="G645" t="s">
        <v>36</v>
      </c>
      <c r="H645" t="s">
        <v>861</v>
      </c>
      <c r="I645" s="2">
        <v>53.2</v>
      </c>
      <c r="J645" s="3">
        <v>5</v>
      </c>
      <c r="K645" s="2">
        <v>14.9</v>
      </c>
    </row>
    <row r="646" spans="1:11" x14ac:dyDescent="0.35">
      <c r="A646" s="1">
        <v>41953</v>
      </c>
      <c r="B646" s="3">
        <f t="shared" si="20"/>
        <v>2014</v>
      </c>
      <c r="C646" s="3">
        <f t="shared" si="21"/>
        <v>11</v>
      </c>
      <c r="D646" t="s">
        <v>440</v>
      </c>
      <c r="E646" t="s">
        <v>45</v>
      </c>
      <c r="F646" t="s">
        <v>28</v>
      </c>
      <c r="G646" t="s">
        <v>46</v>
      </c>
      <c r="H646" t="s">
        <v>862</v>
      </c>
      <c r="I646" s="2">
        <v>39.840000000000003</v>
      </c>
      <c r="J646" s="3">
        <v>8</v>
      </c>
      <c r="K646" s="2">
        <v>18.329999999999998</v>
      </c>
    </row>
    <row r="647" spans="1:11" x14ac:dyDescent="0.35">
      <c r="A647" s="1">
        <v>41953</v>
      </c>
      <c r="B647" s="3">
        <f t="shared" si="20"/>
        <v>2014</v>
      </c>
      <c r="C647" s="3">
        <f t="shared" si="21"/>
        <v>11</v>
      </c>
      <c r="D647" t="s">
        <v>169</v>
      </c>
      <c r="E647" t="s">
        <v>71</v>
      </c>
      <c r="F647" t="s">
        <v>28</v>
      </c>
      <c r="G647" t="s">
        <v>64</v>
      </c>
      <c r="H647" t="s">
        <v>863</v>
      </c>
      <c r="I647" s="2">
        <v>3.9</v>
      </c>
      <c r="J647" s="3">
        <v>2</v>
      </c>
      <c r="K647" s="2">
        <v>1.52</v>
      </c>
    </row>
    <row r="648" spans="1:11" x14ac:dyDescent="0.35">
      <c r="A648" s="1">
        <v>41953</v>
      </c>
      <c r="B648" s="3">
        <f t="shared" si="20"/>
        <v>2014</v>
      </c>
      <c r="C648" s="3">
        <f t="shared" si="21"/>
        <v>11</v>
      </c>
      <c r="D648" t="s">
        <v>169</v>
      </c>
      <c r="E648" t="s">
        <v>71</v>
      </c>
      <c r="F648" t="s">
        <v>28</v>
      </c>
      <c r="G648" t="s">
        <v>29</v>
      </c>
      <c r="H648" t="s">
        <v>864</v>
      </c>
      <c r="I648" s="2">
        <v>12.84</v>
      </c>
      <c r="J648" s="3">
        <v>3</v>
      </c>
      <c r="K648" s="2">
        <v>5.78</v>
      </c>
    </row>
    <row r="649" spans="1:11" x14ac:dyDescent="0.35">
      <c r="A649" s="1">
        <v>41953</v>
      </c>
      <c r="B649" s="3">
        <f t="shared" si="20"/>
        <v>2014</v>
      </c>
      <c r="C649" s="3">
        <f t="shared" si="21"/>
        <v>11</v>
      </c>
      <c r="D649" t="s">
        <v>169</v>
      </c>
      <c r="E649" t="s">
        <v>71</v>
      </c>
      <c r="F649" t="s">
        <v>28</v>
      </c>
      <c r="G649" t="s">
        <v>29</v>
      </c>
      <c r="H649" t="s">
        <v>865</v>
      </c>
      <c r="I649" s="2">
        <v>15.84</v>
      </c>
      <c r="J649" s="3">
        <v>3</v>
      </c>
      <c r="K649" s="2">
        <v>7.13</v>
      </c>
    </row>
    <row r="650" spans="1:11" x14ac:dyDescent="0.35">
      <c r="A650" s="1">
        <v>41953</v>
      </c>
      <c r="B650" s="3">
        <f t="shared" si="20"/>
        <v>2014</v>
      </c>
      <c r="C650" s="3">
        <f t="shared" si="21"/>
        <v>11</v>
      </c>
      <c r="D650" t="s">
        <v>169</v>
      </c>
      <c r="E650" t="s">
        <v>71</v>
      </c>
      <c r="F650" t="s">
        <v>18</v>
      </c>
      <c r="G650" t="s">
        <v>19</v>
      </c>
      <c r="H650" t="s">
        <v>866</v>
      </c>
      <c r="I650" s="2">
        <v>563.94000000000005</v>
      </c>
      <c r="J650" s="3">
        <v>3</v>
      </c>
      <c r="K650" s="2">
        <v>112.79</v>
      </c>
    </row>
    <row r="651" spans="1:11" x14ac:dyDescent="0.35">
      <c r="A651" s="1">
        <v>41953</v>
      </c>
      <c r="B651" s="3">
        <f t="shared" si="20"/>
        <v>2014</v>
      </c>
      <c r="C651" s="3">
        <f t="shared" si="21"/>
        <v>11</v>
      </c>
      <c r="D651" t="s">
        <v>169</v>
      </c>
      <c r="E651" t="s">
        <v>71</v>
      </c>
      <c r="F651" t="s">
        <v>28</v>
      </c>
      <c r="G651" t="s">
        <v>38</v>
      </c>
      <c r="H651" t="s">
        <v>819</v>
      </c>
      <c r="I651" s="2">
        <v>62.94</v>
      </c>
      <c r="J651" s="3">
        <v>3</v>
      </c>
      <c r="K651" s="2">
        <v>11.96</v>
      </c>
    </row>
    <row r="652" spans="1:11" x14ac:dyDescent="0.35">
      <c r="A652" s="1">
        <v>41953</v>
      </c>
      <c r="B652" s="3">
        <f t="shared" si="20"/>
        <v>2014</v>
      </c>
      <c r="C652" s="3">
        <f t="shared" si="21"/>
        <v>11</v>
      </c>
      <c r="D652" t="s">
        <v>169</v>
      </c>
      <c r="E652" t="s">
        <v>71</v>
      </c>
      <c r="F652" t="s">
        <v>28</v>
      </c>
      <c r="G652" t="s">
        <v>38</v>
      </c>
      <c r="H652" t="s">
        <v>185</v>
      </c>
      <c r="I652" s="2">
        <v>535.41</v>
      </c>
      <c r="J652" s="3">
        <v>3</v>
      </c>
      <c r="K652" s="2">
        <v>160.62</v>
      </c>
    </row>
    <row r="653" spans="1:11" x14ac:dyDescent="0.35">
      <c r="A653" s="1">
        <v>41983</v>
      </c>
      <c r="B653" s="3">
        <f t="shared" si="20"/>
        <v>2014</v>
      </c>
      <c r="C653" s="3">
        <f t="shared" si="21"/>
        <v>12</v>
      </c>
      <c r="D653" t="s">
        <v>867</v>
      </c>
      <c r="E653" t="s">
        <v>22</v>
      </c>
      <c r="F653" t="s">
        <v>28</v>
      </c>
      <c r="G653" t="s">
        <v>29</v>
      </c>
      <c r="H653" t="s">
        <v>868</v>
      </c>
      <c r="I653" s="2">
        <v>11.36</v>
      </c>
      <c r="J653" s="3">
        <v>2</v>
      </c>
      <c r="K653" s="2">
        <v>5.23</v>
      </c>
    </row>
    <row r="654" spans="1:11" x14ac:dyDescent="0.35">
      <c r="A654" s="1">
        <v>41983</v>
      </c>
      <c r="B654" s="3">
        <f t="shared" si="20"/>
        <v>2014</v>
      </c>
      <c r="C654" s="3">
        <f t="shared" si="21"/>
        <v>12</v>
      </c>
      <c r="D654" t="s">
        <v>867</v>
      </c>
      <c r="E654" t="s">
        <v>22</v>
      </c>
      <c r="F654" t="s">
        <v>28</v>
      </c>
      <c r="G654" t="s">
        <v>48</v>
      </c>
      <c r="H654" t="s">
        <v>869</v>
      </c>
      <c r="I654" s="2">
        <v>106.34</v>
      </c>
      <c r="J654" s="3">
        <v>7</v>
      </c>
      <c r="K654" s="2">
        <v>37.22</v>
      </c>
    </row>
    <row r="655" spans="1:11" x14ac:dyDescent="0.35">
      <c r="A655" s="1">
        <v>41983</v>
      </c>
      <c r="B655" s="3">
        <f t="shared" si="20"/>
        <v>2014</v>
      </c>
      <c r="C655" s="3">
        <f t="shared" si="21"/>
        <v>12</v>
      </c>
      <c r="D655" t="s">
        <v>870</v>
      </c>
      <c r="E655" t="s">
        <v>871</v>
      </c>
      <c r="F655" t="s">
        <v>18</v>
      </c>
      <c r="G655" t="s">
        <v>19</v>
      </c>
      <c r="H655" t="s">
        <v>872</v>
      </c>
      <c r="I655" s="2">
        <v>338.35</v>
      </c>
      <c r="J655" s="3">
        <v>3</v>
      </c>
      <c r="K655" s="2">
        <v>4.2300000000000004</v>
      </c>
    </row>
    <row r="656" spans="1:11" x14ac:dyDescent="0.35">
      <c r="A656" s="1">
        <v>41983</v>
      </c>
      <c r="B656" s="3">
        <f t="shared" si="20"/>
        <v>2014</v>
      </c>
      <c r="C656" s="3">
        <f t="shared" si="21"/>
        <v>12</v>
      </c>
      <c r="D656" t="s">
        <v>870</v>
      </c>
      <c r="E656" t="s">
        <v>871</v>
      </c>
      <c r="F656" t="s">
        <v>28</v>
      </c>
      <c r="G656" t="s">
        <v>29</v>
      </c>
      <c r="H656" t="s">
        <v>873</v>
      </c>
      <c r="I656" s="2">
        <v>25.92</v>
      </c>
      <c r="J656" s="3">
        <v>4</v>
      </c>
      <c r="K656" s="2">
        <v>12.44</v>
      </c>
    </row>
    <row r="657" spans="1:11" x14ac:dyDescent="0.35">
      <c r="A657" s="1">
        <v>41983</v>
      </c>
      <c r="B657" s="3">
        <f t="shared" si="20"/>
        <v>2014</v>
      </c>
      <c r="C657" s="3">
        <f t="shared" si="21"/>
        <v>12</v>
      </c>
      <c r="D657" t="s">
        <v>870</v>
      </c>
      <c r="E657" t="s">
        <v>871</v>
      </c>
      <c r="F657" t="s">
        <v>28</v>
      </c>
      <c r="G657" t="s">
        <v>29</v>
      </c>
      <c r="H657" t="s">
        <v>874</v>
      </c>
      <c r="I657" s="2">
        <v>91.36</v>
      </c>
      <c r="J657" s="3">
        <v>4</v>
      </c>
      <c r="K657" s="2">
        <v>42.03</v>
      </c>
    </row>
    <row r="658" spans="1:11" x14ac:dyDescent="0.35">
      <c r="A658" s="1">
        <v>41650</v>
      </c>
      <c r="B658" s="3">
        <f t="shared" si="20"/>
        <v>2014</v>
      </c>
      <c r="C658" s="3">
        <f t="shared" si="21"/>
        <v>1</v>
      </c>
      <c r="D658" t="s">
        <v>875</v>
      </c>
      <c r="E658" t="s">
        <v>876</v>
      </c>
      <c r="F658" t="s">
        <v>18</v>
      </c>
      <c r="G658" t="s">
        <v>36</v>
      </c>
      <c r="H658" t="s">
        <v>877</v>
      </c>
      <c r="I658" s="2">
        <v>9.94</v>
      </c>
      <c r="J658" s="3">
        <v>2</v>
      </c>
      <c r="K658" s="2">
        <v>3.08</v>
      </c>
    </row>
    <row r="659" spans="1:11" x14ac:dyDescent="0.35">
      <c r="A659" s="1">
        <v>41681</v>
      </c>
      <c r="B659" s="3">
        <f t="shared" si="20"/>
        <v>2014</v>
      </c>
      <c r="C659" s="3">
        <f t="shared" si="21"/>
        <v>2</v>
      </c>
      <c r="D659" t="s">
        <v>878</v>
      </c>
      <c r="E659" t="s">
        <v>173</v>
      </c>
      <c r="F659" t="s">
        <v>13</v>
      </c>
      <c r="G659" t="s">
        <v>14</v>
      </c>
      <c r="H659" t="s">
        <v>15</v>
      </c>
      <c r="I659" s="2">
        <v>234.45</v>
      </c>
      <c r="J659" s="3">
        <v>3</v>
      </c>
      <c r="K659" s="2">
        <v>103.16</v>
      </c>
    </row>
    <row r="660" spans="1:11" x14ac:dyDescent="0.35">
      <c r="A660" s="1">
        <v>41681</v>
      </c>
      <c r="B660" s="3">
        <f t="shared" si="20"/>
        <v>2014</v>
      </c>
      <c r="C660" s="3">
        <f t="shared" si="21"/>
        <v>2</v>
      </c>
      <c r="D660" t="s">
        <v>878</v>
      </c>
      <c r="E660" t="s">
        <v>173</v>
      </c>
      <c r="F660" t="s">
        <v>18</v>
      </c>
      <c r="G660" t="s">
        <v>42</v>
      </c>
      <c r="H660" t="s">
        <v>685</v>
      </c>
      <c r="I660" s="2">
        <v>1256.22</v>
      </c>
      <c r="J660" s="3">
        <v>6</v>
      </c>
      <c r="K660" s="2">
        <v>75.37</v>
      </c>
    </row>
    <row r="661" spans="1:11" x14ac:dyDescent="0.35">
      <c r="A661" s="1">
        <v>41681</v>
      </c>
      <c r="B661" s="3">
        <f t="shared" si="20"/>
        <v>2014</v>
      </c>
      <c r="C661" s="3">
        <f t="shared" si="21"/>
        <v>2</v>
      </c>
      <c r="D661" t="s">
        <v>878</v>
      </c>
      <c r="E661" t="s">
        <v>173</v>
      </c>
      <c r="F661" t="s">
        <v>28</v>
      </c>
      <c r="G661" t="s">
        <v>48</v>
      </c>
      <c r="H661" t="s">
        <v>775</v>
      </c>
      <c r="I661" s="2">
        <v>17.46</v>
      </c>
      <c r="J661" s="3">
        <v>2</v>
      </c>
      <c r="K661" s="2">
        <v>8.2100000000000009</v>
      </c>
    </row>
    <row r="662" spans="1:11" x14ac:dyDescent="0.35">
      <c r="A662" s="1">
        <v>41681</v>
      </c>
      <c r="B662" s="3">
        <f t="shared" si="20"/>
        <v>2014</v>
      </c>
      <c r="C662" s="3">
        <f t="shared" si="21"/>
        <v>2</v>
      </c>
      <c r="D662" t="s">
        <v>879</v>
      </c>
      <c r="E662" t="s">
        <v>190</v>
      </c>
      <c r="F662" t="s">
        <v>18</v>
      </c>
      <c r="G662" t="s">
        <v>19</v>
      </c>
      <c r="H662" t="s">
        <v>451</v>
      </c>
      <c r="I662" s="2">
        <v>60.89</v>
      </c>
      <c r="J662" s="3">
        <v>1</v>
      </c>
      <c r="K662" s="2">
        <v>15.22</v>
      </c>
    </row>
    <row r="663" spans="1:11" x14ac:dyDescent="0.35">
      <c r="A663" s="1">
        <v>41681</v>
      </c>
      <c r="B663" s="3">
        <f t="shared" si="20"/>
        <v>2014</v>
      </c>
      <c r="C663" s="3">
        <f t="shared" si="21"/>
        <v>2</v>
      </c>
      <c r="D663" t="s">
        <v>879</v>
      </c>
      <c r="E663" t="s">
        <v>190</v>
      </c>
      <c r="F663" t="s">
        <v>28</v>
      </c>
      <c r="G663" t="s">
        <v>46</v>
      </c>
      <c r="H663" t="s">
        <v>880</v>
      </c>
      <c r="I663" s="2">
        <v>14.94</v>
      </c>
      <c r="J663" s="3">
        <v>3</v>
      </c>
      <c r="K663" s="2">
        <v>6.87</v>
      </c>
    </row>
    <row r="664" spans="1:11" x14ac:dyDescent="0.35">
      <c r="A664" s="1">
        <v>41681</v>
      </c>
      <c r="B664" s="3">
        <f t="shared" si="20"/>
        <v>2014</v>
      </c>
      <c r="C664" s="3">
        <f t="shared" si="21"/>
        <v>2</v>
      </c>
      <c r="D664" t="s">
        <v>879</v>
      </c>
      <c r="E664" t="s">
        <v>190</v>
      </c>
      <c r="F664" t="s">
        <v>28</v>
      </c>
      <c r="G664" t="s">
        <v>48</v>
      </c>
      <c r="H664" t="s">
        <v>881</v>
      </c>
      <c r="I664" s="2">
        <v>9.64</v>
      </c>
      <c r="J664" s="3">
        <v>2</v>
      </c>
      <c r="K664" s="2">
        <v>4.43</v>
      </c>
    </row>
    <row r="665" spans="1:11" x14ac:dyDescent="0.35">
      <c r="A665" s="1">
        <v>41681</v>
      </c>
      <c r="B665" s="3">
        <f t="shared" si="20"/>
        <v>2014</v>
      </c>
      <c r="C665" s="3">
        <f t="shared" si="21"/>
        <v>2</v>
      </c>
      <c r="D665" t="s">
        <v>879</v>
      </c>
      <c r="E665" t="s">
        <v>190</v>
      </c>
      <c r="F665" t="s">
        <v>18</v>
      </c>
      <c r="G665" t="s">
        <v>36</v>
      </c>
      <c r="H665" t="s">
        <v>882</v>
      </c>
      <c r="I665" s="2">
        <v>332.94</v>
      </c>
      <c r="J665" s="3">
        <v>3</v>
      </c>
      <c r="K665" s="2">
        <v>53.27</v>
      </c>
    </row>
    <row r="666" spans="1:11" x14ac:dyDescent="0.35">
      <c r="A666" s="1">
        <v>41681</v>
      </c>
      <c r="B666" s="3">
        <f t="shared" si="20"/>
        <v>2014</v>
      </c>
      <c r="C666" s="3">
        <f t="shared" si="21"/>
        <v>2</v>
      </c>
      <c r="D666" t="s">
        <v>879</v>
      </c>
      <c r="E666" t="s">
        <v>190</v>
      </c>
      <c r="F666" t="s">
        <v>28</v>
      </c>
      <c r="G666" t="s">
        <v>48</v>
      </c>
      <c r="H666" t="s">
        <v>883</v>
      </c>
      <c r="I666" s="2">
        <v>51.9</v>
      </c>
      <c r="J666" s="3">
        <v>3</v>
      </c>
      <c r="K666" s="2">
        <v>24.39</v>
      </c>
    </row>
    <row r="667" spans="1:11" x14ac:dyDescent="0.35">
      <c r="A667" s="1">
        <v>41681</v>
      </c>
      <c r="B667" s="3">
        <f t="shared" si="20"/>
        <v>2014</v>
      </c>
      <c r="C667" s="3">
        <f t="shared" si="21"/>
        <v>2</v>
      </c>
      <c r="D667" t="s">
        <v>879</v>
      </c>
      <c r="E667" t="s">
        <v>190</v>
      </c>
      <c r="F667" t="s">
        <v>28</v>
      </c>
      <c r="G667" t="s">
        <v>38</v>
      </c>
      <c r="H667" t="s">
        <v>884</v>
      </c>
      <c r="I667" s="2">
        <v>64.959999999999994</v>
      </c>
      <c r="J667" s="3">
        <v>2</v>
      </c>
      <c r="K667" s="2">
        <v>2.6</v>
      </c>
    </row>
    <row r="668" spans="1:11" x14ac:dyDescent="0.35">
      <c r="A668" s="1">
        <v>41709</v>
      </c>
      <c r="B668" s="3">
        <f t="shared" si="20"/>
        <v>2014</v>
      </c>
      <c r="C668" s="3">
        <f t="shared" si="21"/>
        <v>3</v>
      </c>
      <c r="D668" t="s">
        <v>885</v>
      </c>
      <c r="E668" t="s">
        <v>131</v>
      </c>
      <c r="F668" t="s">
        <v>18</v>
      </c>
      <c r="G668" t="s">
        <v>36</v>
      </c>
      <c r="H668" t="s">
        <v>886</v>
      </c>
      <c r="I668" s="2">
        <v>8.32</v>
      </c>
      <c r="J668" s="3">
        <v>5</v>
      </c>
      <c r="K668" s="2">
        <v>2.29</v>
      </c>
    </row>
    <row r="669" spans="1:11" x14ac:dyDescent="0.35">
      <c r="A669" s="1">
        <v>41709</v>
      </c>
      <c r="B669" s="3">
        <f t="shared" si="20"/>
        <v>2014</v>
      </c>
      <c r="C669" s="3">
        <f t="shared" si="21"/>
        <v>3</v>
      </c>
      <c r="D669" t="s">
        <v>885</v>
      </c>
      <c r="E669" t="s">
        <v>131</v>
      </c>
      <c r="F669" t="s">
        <v>28</v>
      </c>
      <c r="G669" t="s">
        <v>33</v>
      </c>
      <c r="H669" t="s">
        <v>887</v>
      </c>
      <c r="I669" s="2">
        <v>10.46</v>
      </c>
      <c r="J669" s="3">
        <v>6</v>
      </c>
      <c r="K669" s="2">
        <v>1.7</v>
      </c>
    </row>
    <row r="670" spans="1:11" x14ac:dyDescent="0.35">
      <c r="A670" s="1">
        <v>41709</v>
      </c>
      <c r="B670" s="3">
        <f t="shared" si="20"/>
        <v>2014</v>
      </c>
      <c r="C670" s="3">
        <f t="shared" si="21"/>
        <v>3</v>
      </c>
      <c r="D670" t="s">
        <v>888</v>
      </c>
      <c r="E670" t="s">
        <v>22</v>
      </c>
      <c r="F670" t="s">
        <v>28</v>
      </c>
      <c r="G670" t="s">
        <v>29</v>
      </c>
      <c r="H670" t="s">
        <v>860</v>
      </c>
      <c r="I670" s="2">
        <v>108.92</v>
      </c>
      <c r="J670" s="3">
        <v>14</v>
      </c>
      <c r="K670" s="2">
        <v>49.01</v>
      </c>
    </row>
    <row r="671" spans="1:11" x14ac:dyDescent="0.35">
      <c r="A671" s="1">
        <v>41709</v>
      </c>
      <c r="B671" s="3">
        <f t="shared" si="20"/>
        <v>2014</v>
      </c>
      <c r="C671" s="3">
        <f t="shared" si="21"/>
        <v>3</v>
      </c>
      <c r="D671" t="s">
        <v>889</v>
      </c>
      <c r="E671" t="s">
        <v>118</v>
      </c>
      <c r="F671" t="s">
        <v>28</v>
      </c>
      <c r="G671" t="s">
        <v>58</v>
      </c>
      <c r="H671" t="s">
        <v>890</v>
      </c>
      <c r="I671" s="2">
        <v>146.76</v>
      </c>
      <c r="J671" s="3">
        <v>3</v>
      </c>
      <c r="K671" s="2">
        <v>38.159999999999997</v>
      </c>
    </row>
    <row r="672" spans="1:11" x14ac:dyDescent="0.35">
      <c r="A672" s="1">
        <v>41709</v>
      </c>
      <c r="B672" s="3">
        <f t="shared" si="20"/>
        <v>2014</v>
      </c>
      <c r="C672" s="3">
        <f t="shared" si="21"/>
        <v>3</v>
      </c>
      <c r="D672" t="s">
        <v>889</v>
      </c>
      <c r="E672" t="s">
        <v>118</v>
      </c>
      <c r="F672" t="s">
        <v>13</v>
      </c>
      <c r="G672" t="s">
        <v>14</v>
      </c>
      <c r="H672" t="s">
        <v>593</v>
      </c>
      <c r="I672" s="2">
        <v>32.96</v>
      </c>
      <c r="J672" s="3">
        <v>2</v>
      </c>
      <c r="K672" s="2">
        <v>14.17</v>
      </c>
    </row>
    <row r="673" spans="1:11" x14ac:dyDescent="0.35">
      <c r="A673" s="1">
        <v>41709</v>
      </c>
      <c r="B673" s="3">
        <f t="shared" si="20"/>
        <v>2014</v>
      </c>
      <c r="C673" s="3">
        <f t="shared" si="21"/>
        <v>3</v>
      </c>
      <c r="D673" t="s">
        <v>889</v>
      </c>
      <c r="E673" t="s">
        <v>118</v>
      </c>
      <c r="F673" t="s">
        <v>13</v>
      </c>
      <c r="G673" t="s">
        <v>23</v>
      </c>
      <c r="H673" t="s">
        <v>321</v>
      </c>
      <c r="I673" s="2">
        <v>587.97</v>
      </c>
      <c r="J673" s="3">
        <v>3</v>
      </c>
      <c r="K673" s="2">
        <v>164.63</v>
      </c>
    </row>
    <row r="674" spans="1:11" x14ac:dyDescent="0.35">
      <c r="A674" s="1">
        <v>41709</v>
      </c>
      <c r="B674" s="3">
        <f t="shared" si="20"/>
        <v>2014</v>
      </c>
      <c r="C674" s="3">
        <f t="shared" si="21"/>
        <v>3</v>
      </c>
      <c r="D674" t="s">
        <v>889</v>
      </c>
      <c r="E674" t="s">
        <v>118</v>
      </c>
      <c r="F674" t="s">
        <v>28</v>
      </c>
      <c r="G674" t="s">
        <v>29</v>
      </c>
      <c r="H674" t="s">
        <v>891</v>
      </c>
      <c r="I674" s="2">
        <v>14.94</v>
      </c>
      <c r="J674" s="3">
        <v>3</v>
      </c>
      <c r="K674" s="2">
        <v>7.02</v>
      </c>
    </row>
    <row r="675" spans="1:11" x14ac:dyDescent="0.35">
      <c r="A675" s="1">
        <v>41709</v>
      </c>
      <c r="B675" s="3">
        <f t="shared" si="20"/>
        <v>2014</v>
      </c>
      <c r="C675" s="3">
        <f t="shared" si="21"/>
        <v>3</v>
      </c>
      <c r="D675" t="s">
        <v>853</v>
      </c>
      <c r="E675" t="s">
        <v>45</v>
      </c>
      <c r="F675" t="s">
        <v>28</v>
      </c>
      <c r="G675" t="s">
        <v>64</v>
      </c>
      <c r="H675" t="s">
        <v>892</v>
      </c>
      <c r="I675" s="2">
        <v>7.98</v>
      </c>
      <c r="J675" s="3">
        <v>3</v>
      </c>
      <c r="K675" s="2">
        <v>2.0699999999999998</v>
      </c>
    </row>
    <row r="676" spans="1:11" x14ac:dyDescent="0.35">
      <c r="A676" s="1">
        <v>41740</v>
      </c>
      <c r="B676" s="3">
        <f t="shared" si="20"/>
        <v>2014</v>
      </c>
      <c r="C676" s="3">
        <f t="shared" si="21"/>
        <v>4</v>
      </c>
      <c r="D676" t="s">
        <v>893</v>
      </c>
      <c r="E676" t="s">
        <v>77</v>
      </c>
      <c r="F676" t="s">
        <v>28</v>
      </c>
      <c r="G676" t="s">
        <v>33</v>
      </c>
      <c r="H676" t="s">
        <v>894</v>
      </c>
      <c r="I676" s="2">
        <v>6.91</v>
      </c>
      <c r="J676" s="3">
        <v>3</v>
      </c>
      <c r="K676" s="2">
        <v>2.33</v>
      </c>
    </row>
    <row r="677" spans="1:11" x14ac:dyDescent="0.35">
      <c r="A677" s="1">
        <v>41740</v>
      </c>
      <c r="B677" s="3">
        <f t="shared" si="20"/>
        <v>2014</v>
      </c>
      <c r="C677" s="3">
        <f t="shared" si="21"/>
        <v>4</v>
      </c>
      <c r="D677" t="s">
        <v>893</v>
      </c>
      <c r="E677" t="s">
        <v>77</v>
      </c>
      <c r="F677" t="s">
        <v>13</v>
      </c>
      <c r="G677" t="s">
        <v>14</v>
      </c>
      <c r="H677" t="s">
        <v>426</v>
      </c>
      <c r="I677" s="2">
        <v>383.98</v>
      </c>
      <c r="J677" s="3">
        <v>3</v>
      </c>
      <c r="K677" s="2">
        <v>81.59</v>
      </c>
    </row>
    <row r="678" spans="1:11" x14ac:dyDescent="0.35">
      <c r="A678" s="1">
        <v>41740</v>
      </c>
      <c r="B678" s="3">
        <f t="shared" si="20"/>
        <v>2014</v>
      </c>
      <c r="C678" s="3">
        <f t="shared" si="21"/>
        <v>4</v>
      </c>
      <c r="D678" t="s">
        <v>893</v>
      </c>
      <c r="E678" t="s">
        <v>77</v>
      </c>
      <c r="F678" t="s">
        <v>28</v>
      </c>
      <c r="G678" t="s">
        <v>29</v>
      </c>
      <c r="H678" t="s">
        <v>895</v>
      </c>
      <c r="I678" s="2">
        <v>10.37</v>
      </c>
      <c r="J678" s="3">
        <v>2</v>
      </c>
      <c r="K678" s="2">
        <v>3.63</v>
      </c>
    </row>
    <row r="679" spans="1:11" x14ac:dyDescent="0.35">
      <c r="A679" s="1">
        <v>41740</v>
      </c>
      <c r="B679" s="3">
        <f t="shared" si="20"/>
        <v>2014</v>
      </c>
      <c r="C679" s="3">
        <f t="shared" si="21"/>
        <v>4</v>
      </c>
      <c r="D679" t="s">
        <v>893</v>
      </c>
      <c r="E679" t="s">
        <v>77</v>
      </c>
      <c r="F679" t="s">
        <v>13</v>
      </c>
      <c r="G679" t="s">
        <v>14</v>
      </c>
      <c r="H679" t="s">
        <v>896</v>
      </c>
      <c r="I679" s="2">
        <v>335.94</v>
      </c>
      <c r="J679" s="3">
        <v>7</v>
      </c>
      <c r="K679" s="2">
        <v>41.99</v>
      </c>
    </row>
    <row r="680" spans="1:11" x14ac:dyDescent="0.35">
      <c r="A680" s="1">
        <v>41740</v>
      </c>
      <c r="B680" s="3">
        <f t="shared" si="20"/>
        <v>2014</v>
      </c>
      <c r="C680" s="3">
        <f t="shared" si="21"/>
        <v>4</v>
      </c>
      <c r="D680" t="s">
        <v>897</v>
      </c>
      <c r="E680" t="s">
        <v>871</v>
      </c>
      <c r="F680" t="s">
        <v>28</v>
      </c>
      <c r="G680" t="s">
        <v>48</v>
      </c>
      <c r="H680" t="s">
        <v>852</v>
      </c>
      <c r="I680" s="2">
        <v>9.58</v>
      </c>
      <c r="J680" s="3">
        <v>1</v>
      </c>
      <c r="K680" s="2">
        <v>3.35</v>
      </c>
    </row>
    <row r="681" spans="1:11" x14ac:dyDescent="0.35">
      <c r="A681" s="1">
        <v>41740</v>
      </c>
      <c r="B681" s="3">
        <f t="shared" si="20"/>
        <v>2014</v>
      </c>
      <c r="C681" s="3">
        <f t="shared" si="21"/>
        <v>4</v>
      </c>
      <c r="D681" t="s">
        <v>898</v>
      </c>
      <c r="E681" t="s">
        <v>32</v>
      </c>
      <c r="F681" t="s">
        <v>13</v>
      </c>
      <c r="G681" t="s">
        <v>23</v>
      </c>
      <c r="H681" t="s">
        <v>899</v>
      </c>
      <c r="I681" s="2">
        <v>758.35</v>
      </c>
      <c r="J681" s="3">
        <v>6</v>
      </c>
      <c r="K681" s="2">
        <v>265.42</v>
      </c>
    </row>
    <row r="682" spans="1:11" x14ac:dyDescent="0.35">
      <c r="A682" s="1">
        <v>41740</v>
      </c>
      <c r="B682" s="3">
        <f t="shared" si="20"/>
        <v>2014</v>
      </c>
      <c r="C682" s="3">
        <f t="shared" si="21"/>
        <v>4</v>
      </c>
      <c r="D682" t="s">
        <v>900</v>
      </c>
      <c r="E682" t="s">
        <v>901</v>
      </c>
      <c r="F682" t="s">
        <v>28</v>
      </c>
      <c r="G682" t="s">
        <v>38</v>
      </c>
      <c r="H682" t="s">
        <v>902</v>
      </c>
      <c r="I682" s="2">
        <v>87.08</v>
      </c>
      <c r="J682" s="3">
        <v>7</v>
      </c>
      <c r="K682" s="2">
        <v>24.38</v>
      </c>
    </row>
    <row r="683" spans="1:11" x14ac:dyDescent="0.35">
      <c r="A683" s="1">
        <v>41740</v>
      </c>
      <c r="B683" s="3">
        <f t="shared" si="20"/>
        <v>2014</v>
      </c>
      <c r="C683" s="3">
        <f t="shared" si="21"/>
        <v>4</v>
      </c>
      <c r="D683" t="s">
        <v>900</v>
      </c>
      <c r="E683" t="s">
        <v>901</v>
      </c>
      <c r="F683" t="s">
        <v>13</v>
      </c>
      <c r="G683" t="s">
        <v>23</v>
      </c>
      <c r="H683" t="s">
        <v>903</v>
      </c>
      <c r="I683" s="2">
        <v>105.58</v>
      </c>
      <c r="J683" s="3">
        <v>2</v>
      </c>
      <c r="K683" s="2">
        <v>9.24</v>
      </c>
    </row>
    <row r="684" spans="1:11" x14ac:dyDescent="0.35">
      <c r="A684" s="1">
        <v>41740</v>
      </c>
      <c r="B684" s="3">
        <f t="shared" si="20"/>
        <v>2014</v>
      </c>
      <c r="C684" s="3">
        <f t="shared" si="21"/>
        <v>4</v>
      </c>
      <c r="D684" t="s">
        <v>900</v>
      </c>
      <c r="E684" t="s">
        <v>901</v>
      </c>
      <c r="F684" t="s">
        <v>13</v>
      </c>
      <c r="G684" t="s">
        <v>14</v>
      </c>
      <c r="H684" t="s">
        <v>904</v>
      </c>
      <c r="I684" s="2">
        <v>217.44</v>
      </c>
      <c r="J684" s="3">
        <v>6</v>
      </c>
      <c r="K684" s="2">
        <v>91.32</v>
      </c>
    </row>
    <row r="685" spans="1:11" x14ac:dyDescent="0.35">
      <c r="A685" s="1">
        <v>41770</v>
      </c>
      <c r="B685" s="3">
        <f t="shared" si="20"/>
        <v>2014</v>
      </c>
      <c r="C685" s="3">
        <f t="shared" si="21"/>
        <v>5</v>
      </c>
      <c r="D685" t="s">
        <v>905</v>
      </c>
      <c r="E685" t="s">
        <v>32</v>
      </c>
      <c r="F685" t="s">
        <v>13</v>
      </c>
      <c r="G685" t="s">
        <v>14</v>
      </c>
      <c r="H685" t="s">
        <v>906</v>
      </c>
      <c r="I685" s="2">
        <v>58.11</v>
      </c>
      <c r="J685" s="3">
        <v>2</v>
      </c>
      <c r="K685" s="2">
        <v>7.26</v>
      </c>
    </row>
    <row r="686" spans="1:11" x14ac:dyDescent="0.35">
      <c r="A686" s="1">
        <v>41770</v>
      </c>
      <c r="B686" s="3">
        <f t="shared" si="20"/>
        <v>2014</v>
      </c>
      <c r="C686" s="3">
        <f t="shared" si="21"/>
        <v>5</v>
      </c>
      <c r="D686" t="s">
        <v>905</v>
      </c>
      <c r="E686" t="s">
        <v>32</v>
      </c>
      <c r="F686" t="s">
        <v>13</v>
      </c>
      <c r="G686" t="s">
        <v>23</v>
      </c>
      <c r="H686" t="s">
        <v>907</v>
      </c>
      <c r="I686" s="2">
        <v>100.79</v>
      </c>
      <c r="J686" s="3">
        <v>1</v>
      </c>
      <c r="K686" s="2">
        <v>6.3</v>
      </c>
    </row>
    <row r="687" spans="1:11" x14ac:dyDescent="0.35">
      <c r="A687" s="1">
        <v>41770</v>
      </c>
      <c r="B687" s="3">
        <f t="shared" si="20"/>
        <v>2014</v>
      </c>
      <c r="C687" s="3">
        <f t="shared" si="21"/>
        <v>5</v>
      </c>
      <c r="D687" t="s">
        <v>905</v>
      </c>
      <c r="E687" t="s">
        <v>32</v>
      </c>
      <c r="F687" t="s">
        <v>18</v>
      </c>
      <c r="G687" t="s">
        <v>36</v>
      </c>
      <c r="H687" t="s">
        <v>908</v>
      </c>
      <c r="I687" s="2">
        <v>66.11</v>
      </c>
      <c r="J687" s="3">
        <v>4</v>
      </c>
      <c r="K687" s="2">
        <v>-84.29</v>
      </c>
    </row>
    <row r="688" spans="1:11" x14ac:dyDescent="0.35">
      <c r="A688" s="1">
        <v>41770</v>
      </c>
      <c r="B688" s="3">
        <f t="shared" si="20"/>
        <v>2014</v>
      </c>
      <c r="C688" s="3">
        <f t="shared" si="21"/>
        <v>5</v>
      </c>
      <c r="D688" t="s">
        <v>909</v>
      </c>
      <c r="E688" t="s">
        <v>32</v>
      </c>
      <c r="F688" t="s">
        <v>13</v>
      </c>
      <c r="G688" t="s">
        <v>14</v>
      </c>
      <c r="H688" t="s">
        <v>910</v>
      </c>
      <c r="I688" s="2">
        <v>46.86</v>
      </c>
      <c r="J688" s="3">
        <v>2</v>
      </c>
      <c r="K688" s="2">
        <v>7.62</v>
      </c>
    </row>
    <row r="689" spans="1:11" x14ac:dyDescent="0.35">
      <c r="A689" s="1">
        <v>41770</v>
      </c>
      <c r="B689" s="3">
        <f t="shared" si="20"/>
        <v>2014</v>
      </c>
      <c r="C689" s="3">
        <f t="shared" si="21"/>
        <v>5</v>
      </c>
      <c r="D689" t="s">
        <v>911</v>
      </c>
      <c r="E689" t="s">
        <v>22</v>
      </c>
      <c r="F689" t="s">
        <v>28</v>
      </c>
      <c r="G689" t="s">
        <v>58</v>
      </c>
      <c r="H689" t="s">
        <v>247</v>
      </c>
      <c r="I689" s="2">
        <v>35.909999999999997</v>
      </c>
      <c r="J689" s="3">
        <v>3</v>
      </c>
      <c r="K689" s="2">
        <v>9.6999999999999993</v>
      </c>
    </row>
    <row r="690" spans="1:11" x14ac:dyDescent="0.35">
      <c r="A690" s="1">
        <v>41770</v>
      </c>
      <c r="B690" s="3">
        <f t="shared" si="20"/>
        <v>2014</v>
      </c>
      <c r="C690" s="3">
        <f t="shared" si="21"/>
        <v>5</v>
      </c>
      <c r="D690" t="s">
        <v>912</v>
      </c>
      <c r="E690" t="s">
        <v>32</v>
      </c>
      <c r="F690" t="s">
        <v>18</v>
      </c>
      <c r="G690" t="s">
        <v>19</v>
      </c>
      <c r="H690" t="s">
        <v>147</v>
      </c>
      <c r="I690" s="2">
        <v>1212.96</v>
      </c>
      <c r="J690" s="3">
        <v>8</v>
      </c>
      <c r="K690" s="2">
        <v>-69.31</v>
      </c>
    </row>
    <row r="691" spans="1:11" x14ac:dyDescent="0.35">
      <c r="A691" s="1">
        <v>41770</v>
      </c>
      <c r="B691" s="3">
        <f t="shared" si="20"/>
        <v>2014</v>
      </c>
      <c r="C691" s="3">
        <f t="shared" si="21"/>
        <v>5</v>
      </c>
      <c r="D691" t="s">
        <v>913</v>
      </c>
      <c r="E691" t="s">
        <v>26</v>
      </c>
      <c r="F691" t="s">
        <v>28</v>
      </c>
      <c r="G691" t="s">
        <v>29</v>
      </c>
      <c r="H691" t="s">
        <v>30</v>
      </c>
      <c r="I691" s="2">
        <v>17.47</v>
      </c>
      <c r="J691" s="3">
        <v>3</v>
      </c>
      <c r="K691" s="2">
        <v>5.68</v>
      </c>
    </row>
    <row r="692" spans="1:11" x14ac:dyDescent="0.35">
      <c r="A692" s="1">
        <v>41770</v>
      </c>
      <c r="B692" s="3">
        <f t="shared" si="20"/>
        <v>2014</v>
      </c>
      <c r="C692" s="3">
        <f t="shared" si="21"/>
        <v>5</v>
      </c>
      <c r="D692" t="s">
        <v>913</v>
      </c>
      <c r="E692" t="s">
        <v>26</v>
      </c>
      <c r="F692" t="s">
        <v>28</v>
      </c>
      <c r="G692" t="s">
        <v>48</v>
      </c>
      <c r="H692" t="s">
        <v>914</v>
      </c>
      <c r="I692" s="2">
        <v>104.58</v>
      </c>
      <c r="J692" s="3">
        <v>9</v>
      </c>
      <c r="K692" s="2">
        <v>-172.56</v>
      </c>
    </row>
    <row r="693" spans="1:11" x14ac:dyDescent="0.35">
      <c r="A693" s="1">
        <v>41831</v>
      </c>
      <c r="B693" s="3">
        <f t="shared" si="20"/>
        <v>2014</v>
      </c>
      <c r="C693" s="3">
        <f t="shared" si="21"/>
        <v>7</v>
      </c>
      <c r="D693" t="s">
        <v>915</v>
      </c>
      <c r="E693" t="s">
        <v>62</v>
      </c>
      <c r="F693" t="s">
        <v>28</v>
      </c>
      <c r="G693" t="s">
        <v>29</v>
      </c>
      <c r="H693" t="s">
        <v>123</v>
      </c>
      <c r="I693" s="2">
        <v>177.2</v>
      </c>
      <c r="J693" s="3">
        <v>5</v>
      </c>
      <c r="K693" s="2">
        <v>83.28</v>
      </c>
    </row>
    <row r="694" spans="1:11" x14ac:dyDescent="0.35">
      <c r="A694" s="1">
        <v>41831</v>
      </c>
      <c r="B694" s="3">
        <f t="shared" si="20"/>
        <v>2014</v>
      </c>
      <c r="C694" s="3">
        <f t="shared" si="21"/>
        <v>7</v>
      </c>
      <c r="D694" t="s">
        <v>915</v>
      </c>
      <c r="E694" t="s">
        <v>62</v>
      </c>
      <c r="F694" t="s">
        <v>13</v>
      </c>
      <c r="G694" t="s">
        <v>23</v>
      </c>
      <c r="H694" t="s">
        <v>916</v>
      </c>
      <c r="I694" s="2">
        <v>197.97</v>
      </c>
      <c r="J694" s="3">
        <v>3</v>
      </c>
      <c r="K694" s="2">
        <v>57.41</v>
      </c>
    </row>
    <row r="695" spans="1:11" x14ac:dyDescent="0.35">
      <c r="A695" s="1">
        <v>41831</v>
      </c>
      <c r="B695" s="3">
        <f t="shared" si="20"/>
        <v>2014</v>
      </c>
      <c r="C695" s="3">
        <f t="shared" si="21"/>
        <v>7</v>
      </c>
      <c r="D695" t="s">
        <v>915</v>
      </c>
      <c r="E695" t="s">
        <v>62</v>
      </c>
      <c r="F695" t="s">
        <v>18</v>
      </c>
      <c r="G695" t="s">
        <v>19</v>
      </c>
      <c r="H695" t="s">
        <v>917</v>
      </c>
      <c r="I695" s="2">
        <v>854.94</v>
      </c>
      <c r="J695" s="3">
        <v>3</v>
      </c>
      <c r="K695" s="2">
        <v>213.74</v>
      </c>
    </row>
    <row r="696" spans="1:11" x14ac:dyDescent="0.35">
      <c r="A696" s="1">
        <v>41831</v>
      </c>
      <c r="B696" s="3">
        <f t="shared" si="20"/>
        <v>2014</v>
      </c>
      <c r="C696" s="3">
        <f t="shared" si="21"/>
        <v>7</v>
      </c>
      <c r="D696" t="s">
        <v>915</v>
      </c>
      <c r="E696" t="s">
        <v>62</v>
      </c>
      <c r="F696" t="s">
        <v>18</v>
      </c>
      <c r="G696" t="s">
        <v>36</v>
      </c>
      <c r="H696" t="s">
        <v>83</v>
      </c>
      <c r="I696" s="2">
        <v>124.11</v>
      </c>
      <c r="J696" s="3">
        <v>9</v>
      </c>
      <c r="K696" s="2">
        <v>52.13</v>
      </c>
    </row>
    <row r="697" spans="1:11" x14ac:dyDescent="0.35">
      <c r="A697" s="1">
        <v>41831</v>
      </c>
      <c r="B697" s="3">
        <f t="shared" si="20"/>
        <v>2014</v>
      </c>
      <c r="C697" s="3">
        <f t="shared" si="21"/>
        <v>7</v>
      </c>
      <c r="D697" t="s">
        <v>915</v>
      </c>
      <c r="E697" t="s">
        <v>62</v>
      </c>
      <c r="F697" t="s">
        <v>28</v>
      </c>
      <c r="G697" t="s">
        <v>46</v>
      </c>
      <c r="H697" t="s">
        <v>299</v>
      </c>
      <c r="I697" s="2">
        <v>14.4</v>
      </c>
      <c r="J697" s="3">
        <v>5</v>
      </c>
      <c r="K697" s="2">
        <v>7.06</v>
      </c>
    </row>
    <row r="698" spans="1:11" x14ac:dyDescent="0.35">
      <c r="A698" s="1">
        <v>41831</v>
      </c>
      <c r="B698" s="3">
        <f t="shared" si="20"/>
        <v>2014</v>
      </c>
      <c r="C698" s="3">
        <f t="shared" si="21"/>
        <v>7</v>
      </c>
      <c r="D698" t="s">
        <v>918</v>
      </c>
      <c r="E698" t="s">
        <v>32</v>
      </c>
      <c r="F698" t="s">
        <v>13</v>
      </c>
      <c r="G698" t="s">
        <v>23</v>
      </c>
      <c r="H698" t="s">
        <v>919</v>
      </c>
      <c r="I698" s="2">
        <v>575.97</v>
      </c>
      <c r="J698" s="3">
        <v>4</v>
      </c>
      <c r="K698" s="2">
        <v>43.2</v>
      </c>
    </row>
    <row r="699" spans="1:11" x14ac:dyDescent="0.35">
      <c r="A699" s="1">
        <v>41831</v>
      </c>
      <c r="B699" s="3">
        <f t="shared" si="20"/>
        <v>2014</v>
      </c>
      <c r="C699" s="3">
        <f t="shared" si="21"/>
        <v>7</v>
      </c>
      <c r="D699" t="s">
        <v>918</v>
      </c>
      <c r="E699" t="s">
        <v>32</v>
      </c>
      <c r="F699" t="s">
        <v>28</v>
      </c>
      <c r="G699" t="s">
        <v>29</v>
      </c>
      <c r="H699" t="s">
        <v>920</v>
      </c>
      <c r="I699" s="2">
        <v>10.37</v>
      </c>
      <c r="J699" s="3">
        <v>2</v>
      </c>
      <c r="K699" s="2">
        <v>3.63</v>
      </c>
    </row>
    <row r="700" spans="1:11" x14ac:dyDescent="0.35">
      <c r="A700" s="1">
        <v>41831</v>
      </c>
      <c r="B700" s="3">
        <f t="shared" si="20"/>
        <v>2014</v>
      </c>
      <c r="C700" s="3">
        <f t="shared" si="21"/>
        <v>7</v>
      </c>
      <c r="D700" t="s">
        <v>921</v>
      </c>
      <c r="E700" t="s">
        <v>22</v>
      </c>
      <c r="F700" t="s">
        <v>28</v>
      </c>
      <c r="G700" t="s">
        <v>29</v>
      </c>
      <c r="H700" t="s">
        <v>922</v>
      </c>
      <c r="I700" s="2">
        <v>49.12</v>
      </c>
      <c r="J700" s="3">
        <v>4</v>
      </c>
      <c r="K700" s="2">
        <v>23.09</v>
      </c>
    </row>
    <row r="701" spans="1:11" x14ac:dyDescent="0.35">
      <c r="A701" s="1">
        <v>41831</v>
      </c>
      <c r="B701" s="3">
        <f t="shared" si="20"/>
        <v>2014</v>
      </c>
      <c r="C701" s="3">
        <f t="shared" si="21"/>
        <v>7</v>
      </c>
      <c r="D701" t="s">
        <v>921</v>
      </c>
      <c r="E701" t="s">
        <v>22</v>
      </c>
      <c r="F701" t="s">
        <v>28</v>
      </c>
      <c r="G701" t="s">
        <v>48</v>
      </c>
      <c r="H701" t="s">
        <v>923</v>
      </c>
      <c r="I701" s="2">
        <v>18.28</v>
      </c>
      <c r="J701" s="3">
        <v>5</v>
      </c>
      <c r="K701" s="2">
        <v>6.4</v>
      </c>
    </row>
    <row r="702" spans="1:11" x14ac:dyDescent="0.35">
      <c r="A702" s="1">
        <v>41831</v>
      </c>
      <c r="B702" s="3">
        <f t="shared" si="20"/>
        <v>2014</v>
      </c>
      <c r="C702" s="3">
        <f t="shared" si="21"/>
        <v>7</v>
      </c>
      <c r="D702" t="s">
        <v>924</v>
      </c>
      <c r="E702" t="s">
        <v>22</v>
      </c>
      <c r="F702" t="s">
        <v>13</v>
      </c>
      <c r="G702" t="s">
        <v>23</v>
      </c>
      <c r="H702" t="s">
        <v>925</v>
      </c>
      <c r="I702" s="2">
        <v>164.85</v>
      </c>
      <c r="J702" s="3">
        <v>3</v>
      </c>
      <c r="K702" s="2">
        <v>47.81</v>
      </c>
    </row>
    <row r="703" spans="1:11" x14ac:dyDescent="0.35">
      <c r="A703" s="1">
        <v>41862</v>
      </c>
      <c r="B703" s="3">
        <f t="shared" si="20"/>
        <v>2014</v>
      </c>
      <c r="C703" s="3">
        <f t="shared" si="21"/>
        <v>8</v>
      </c>
      <c r="D703" t="s">
        <v>835</v>
      </c>
      <c r="E703" t="s">
        <v>17</v>
      </c>
      <c r="F703" t="s">
        <v>18</v>
      </c>
      <c r="G703" t="s">
        <v>36</v>
      </c>
      <c r="H703" t="s">
        <v>926</v>
      </c>
      <c r="I703" s="2">
        <v>12.35</v>
      </c>
      <c r="J703" s="3">
        <v>1</v>
      </c>
      <c r="K703" s="2">
        <v>5.43</v>
      </c>
    </row>
    <row r="704" spans="1:11" x14ac:dyDescent="0.35">
      <c r="A704" s="1">
        <v>41862</v>
      </c>
      <c r="B704" s="3">
        <f t="shared" si="20"/>
        <v>2014</v>
      </c>
      <c r="C704" s="3">
        <f t="shared" si="21"/>
        <v>8</v>
      </c>
      <c r="D704" t="s">
        <v>835</v>
      </c>
      <c r="E704" t="s">
        <v>17</v>
      </c>
      <c r="F704" t="s">
        <v>28</v>
      </c>
      <c r="G704" t="s">
        <v>64</v>
      </c>
      <c r="H704" t="s">
        <v>927</v>
      </c>
      <c r="I704" s="2">
        <v>40.97</v>
      </c>
      <c r="J704" s="3">
        <v>1</v>
      </c>
      <c r="K704" s="2">
        <v>10.65</v>
      </c>
    </row>
    <row r="705" spans="1:11" x14ac:dyDescent="0.35">
      <c r="A705" s="1">
        <v>41862</v>
      </c>
      <c r="B705" s="3">
        <f t="shared" si="20"/>
        <v>2014</v>
      </c>
      <c r="C705" s="3">
        <f t="shared" si="21"/>
        <v>8</v>
      </c>
      <c r="D705" t="s">
        <v>835</v>
      </c>
      <c r="E705" t="s">
        <v>17</v>
      </c>
      <c r="F705" t="s">
        <v>28</v>
      </c>
      <c r="G705" t="s">
        <v>33</v>
      </c>
      <c r="H705" t="s">
        <v>928</v>
      </c>
      <c r="I705" s="2">
        <v>22.96</v>
      </c>
      <c r="J705" s="3">
        <v>2</v>
      </c>
      <c r="K705" s="2">
        <v>10.79</v>
      </c>
    </row>
    <row r="706" spans="1:11" x14ac:dyDescent="0.35">
      <c r="A706" s="1">
        <v>41862</v>
      </c>
      <c r="B706" s="3">
        <f t="shared" ref="B706:B769" si="22">YEAR(A706)</f>
        <v>2014</v>
      </c>
      <c r="C706" s="3">
        <f t="shared" ref="C706:C769" si="23">MONTH(A706)</f>
        <v>8</v>
      </c>
      <c r="D706" t="s">
        <v>929</v>
      </c>
      <c r="E706" t="s">
        <v>22</v>
      </c>
      <c r="F706" t="s">
        <v>28</v>
      </c>
      <c r="G706" t="s">
        <v>38</v>
      </c>
      <c r="H706" t="s">
        <v>930</v>
      </c>
      <c r="I706" s="2">
        <v>375.34</v>
      </c>
      <c r="J706" s="3">
        <v>1</v>
      </c>
      <c r="K706" s="2">
        <v>18.77</v>
      </c>
    </row>
    <row r="707" spans="1:11" x14ac:dyDescent="0.35">
      <c r="A707" s="1">
        <v>41893</v>
      </c>
      <c r="B707" s="3">
        <f t="shared" si="22"/>
        <v>2014</v>
      </c>
      <c r="C707" s="3">
        <f t="shared" si="23"/>
        <v>9</v>
      </c>
      <c r="D707" t="s">
        <v>931</v>
      </c>
      <c r="E707" t="s">
        <v>45</v>
      </c>
      <c r="F707" t="s">
        <v>18</v>
      </c>
      <c r="G707" t="s">
        <v>36</v>
      </c>
      <c r="H707" t="s">
        <v>932</v>
      </c>
      <c r="I707" s="2">
        <v>127.95</v>
      </c>
      <c r="J707" s="3">
        <v>3</v>
      </c>
      <c r="K707" s="2">
        <v>21.75</v>
      </c>
    </row>
    <row r="708" spans="1:11" x14ac:dyDescent="0.35">
      <c r="A708" s="1">
        <v>41923</v>
      </c>
      <c r="B708" s="3">
        <f t="shared" si="22"/>
        <v>2014</v>
      </c>
      <c r="C708" s="3">
        <f t="shared" si="23"/>
        <v>10</v>
      </c>
      <c r="D708" t="s">
        <v>933</v>
      </c>
      <c r="E708" t="s">
        <v>89</v>
      </c>
      <c r="F708" t="s">
        <v>28</v>
      </c>
      <c r="G708" t="s">
        <v>38</v>
      </c>
      <c r="H708" t="s">
        <v>934</v>
      </c>
      <c r="I708" s="2">
        <v>281.89999999999998</v>
      </c>
      <c r="J708" s="3">
        <v>2</v>
      </c>
      <c r="K708" s="2">
        <v>10.57</v>
      </c>
    </row>
    <row r="709" spans="1:11" x14ac:dyDescent="0.35">
      <c r="A709" s="1">
        <v>41923</v>
      </c>
      <c r="B709" s="3">
        <f t="shared" si="22"/>
        <v>2014</v>
      </c>
      <c r="C709" s="3">
        <f t="shared" si="23"/>
        <v>10</v>
      </c>
      <c r="D709" t="s">
        <v>933</v>
      </c>
      <c r="E709" t="s">
        <v>89</v>
      </c>
      <c r="F709" t="s">
        <v>28</v>
      </c>
      <c r="G709" t="s">
        <v>158</v>
      </c>
      <c r="H709" t="s">
        <v>935</v>
      </c>
      <c r="I709" s="2">
        <v>201.43</v>
      </c>
      <c r="J709" s="3">
        <v>3</v>
      </c>
      <c r="K709" s="2">
        <v>67.98</v>
      </c>
    </row>
    <row r="710" spans="1:11" x14ac:dyDescent="0.35">
      <c r="A710" s="1">
        <v>41923</v>
      </c>
      <c r="B710" s="3">
        <f t="shared" si="22"/>
        <v>2014</v>
      </c>
      <c r="C710" s="3">
        <f t="shared" si="23"/>
        <v>10</v>
      </c>
      <c r="D710" t="s">
        <v>936</v>
      </c>
      <c r="E710" t="s">
        <v>17</v>
      </c>
      <c r="F710" t="s">
        <v>18</v>
      </c>
      <c r="G710" t="s">
        <v>36</v>
      </c>
      <c r="H710" t="s">
        <v>937</v>
      </c>
      <c r="I710" s="2">
        <v>63.47</v>
      </c>
      <c r="J710" s="3">
        <v>11</v>
      </c>
      <c r="K710" s="2">
        <v>19.04</v>
      </c>
    </row>
    <row r="711" spans="1:11" x14ac:dyDescent="0.35">
      <c r="A711" s="1">
        <v>41923</v>
      </c>
      <c r="B711" s="3">
        <f t="shared" si="22"/>
        <v>2014</v>
      </c>
      <c r="C711" s="3">
        <f t="shared" si="23"/>
        <v>10</v>
      </c>
      <c r="D711" t="s">
        <v>936</v>
      </c>
      <c r="E711" t="s">
        <v>17</v>
      </c>
      <c r="F711" t="s">
        <v>13</v>
      </c>
      <c r="G711" t="s">
        <v>14</v>
      </c>
      <c r="H711" t="s">
        <v>938</v>
      </c>
      <c r="I711" s="2">
        <v>345</v>
      </c>
      <c r="J711" s="3">
        <v>5</v>
      </c>
      <c r="K711" s="2">
        <v>58.65</v>
      </c>
    </row>
    <row r="712" spans="1:11" x14ac:dyDescent="0.35">
      <c r="A712" s="1">
        <v>41923</v>
      </c>
      <c r="B712" s="3">
        <f t="shared" si="22"/>
        <v>2014</v>
      </c>
      <c r="C712" s="3">
        <f t="shared" si="23"/>
        <v>10</v>
      </c>
      <c r="D712" t="s">
        <v>939</v>
      </c>
      <c r="E712" t="s">
        <v>45</v>
      </c>
      <c r="F712" t="s">
        <v>28</v>
      </c>
      <c r="G712" t="s">
        <v>38</v>
      </c>
      <c r="H712" t="s">
        <v>940</v>
      </c>
      <c r="I712" s="2">
        <v>31.92</v>
      </c>
      <c r="J712" s="3">
        <v>4</v>
      </c>
      <c r="K712" s="2">
        <v>8.3000000000000007</v>
      </c>
    </row>
    <row r="713" spans="1:11" x14ac:dyDescent="0.35">
      <c r="A713" s="1">
        <v>41923</v>
      </c>
      <c r="B713" s="3">
        <f t="shared" si="22"/>
        <v>2014</v>
      </c>
      <c r="C713" s="3">
        <f t="shared" si="23"/>
        <v>10</v>
      </c>
      <c r="D713" t="s">
        <v>939</v>
      </c>
      <c r="E713" t="s">
        <v>45</v>
      </c>
      <c r="F713" t="s">
        <v>18</v>
      </c>
      <c r="G713" t="s">
        <v>19</v>
      </c>
      <c r="H713" t="s">
        <v>941</v>
      </c>
      <c r="I713" s="2">
        <v>433.57</v>
      </c>
      <c r="J713" s="3">
        <v>2</v>
      </c>
      <c r="K713" s="2">
        <v>-65.040000000000006</v>
      </c>
    </row>
    <row r="714" spans="1:11" x14ac:dyDescent="0.35">
      <c r="A714" s="1">
        <v>41923</v>
      </c>
      <c r="B714" s="3">
        <f t="shared" si="22"/>
        <v>2014</v>
      </c>
      <c r="C714" s="3">
        <f t="shared" si="23"/>
        <v>10</v>
      </c>
      <c r="D714" t="s">
        <v>942</v>
      </c>
      <c r="E714" t="s">
        <v>67</v>
      </c>
      <c r="F714" t="s">
        <v>28</v>
      </c>
      <c r="G714" t="s">
        <v>46</v>
      </c>
      <c r="H714" t="s">
        <v>82</v>
      </c>
      <c r="I714" s="2">
        <v>7.31</v>
      </c>
      <c r="J714" s="3">
        <v>1</v>
      </c>
      <c r="K714" s="2">
        <v>3.44</v>
      </c>
    </row>
    <row r="715" spans="1:11" x14ac:dyDescent="0.35">
      <c r="A715" s="1">
        <v>41923</v>
      </c>
      <c r="B715" s="3">
        <f t="shared" si="22"/>
        <v>2014</v>
      </c>
      <c r="C715" s="3">
        <f t="shared" si="23"/>
        <v>10</v>
      </c>
      <c r="D715" t="s">
        <v>942</v>
      </c>
      <c r="E715" t="s">
        <v>67</v>
      </c>
      <c r="F715" t="s">
        <v>18</v>
      </c>
      <c r="G715" t="s">
        <v>36</v>
      </c>
      <c r="H715" t="s">
        <v>943</v>
      </c>
      <c r="I715" s="2">
        <v>8.92</v>
      </c>
      <c r="J715" s="3">
        <v>4</v>
      </c>
      <c r="K715" s="2">
        <v>3.92</v>
      </c>
    </row>
    <row r="716" spans="1:11" x14ac:dyDescent="0.35">
      <c r="A716" s="1">
        <v>41923</v>
      </c>
      <c r="B716" s="3">
        <f t="shared" si="22"/>
        <v>2014</v>
      </c>
      <c r="C716" s="3">
        <f t="shared" si="23"/>
        <v>10</v>
      </c>
      <c r="D716" t="s">
        <v>944</v>
      </c>
      <c r="E716" t="s">
        <v>45</v>
      </c>
      <c r="F716" t="s">
        <v>28</v>
      </c>
      <c r="G716" t="s">
        <v>158</v>
      </c>
      <c r="H716" t="s">
        <v>849</v>
      </c>
      <c r="I716" s="2">
        <v>7.64</v>
      </c>
      <c r="J716" s="3">
        <v>1</v>
      </c>
      <c r="K716" s="2">
        <v>3.74</v>
      </c>
    </row>
    <row r="717" spans="1:11" x14ac:dyDescent="0.35">
      <c r="A717" s="1">
        <v>41954</v>
      </c>
      <c r="B717" s="3">
        <f t="shared" si="22"/>
        <v>2014</v>
      </c>
      <c r="C717" s="3">
        <f t="shared" si="23"/>
        <v>11</v>
      </c>
      <c r="D717" t="s">
        <v>945</v>
      </c>
      <c r="E717" t="s">
        <v>12</v>
      </c>
      <c r="F717" t="s">
        <v>28</v>
      </c>
      <c r="G717" t="s">
        <v>38</v>
      </c>
      <c r="H717" t="s">
        <v>946</v>
      </c>
      <c r="I717" s="2">
        <v>665.88</v>
      </c>
      <c r="J717" s="3">
        <v>6</v>
      </c>
      <c r="K717" s="2">
        <v>13.32</v>
      </c>
    </row>
    <row r="718" spans="1:11" x14ac:dyDescent="0.35">
      <c r="A718" s="1">
        <v>41954</v>
      </c>
      <c r="B718" s="3">
        <f t="shared" si="22"/>
        <v>2014</v>
      </c>
      <c r="C718" s="3">
        <f t="shared" si="23"/>
        <v>11</v>
      </c>
      <c r="D718" t="s">
        <v>947</v>
      </c>
      <c r="E718" t="s">
        <v>103</v>
      </c>
      <c r="F718" t="s">
        <v>28</v>
      </c>
      <c r="G718" t="s">
        <v>64</v>
      </c>
      <c r="H718" t="s">
        <v>948</v>
      </c>
      <c r="I718" s="2">
        <v>3.39</v>
      </c>
      <c r="J718" s="3">
        <v>1</v>
      </c>
      <c r="K718" s="2">
        <v>0.81</v>
      </c>
    </row>
    <row r="719" spans="1:11" x14ac:dyDescent="0.35">
      <c r="A719" s="1">
        <v>41954</v>
      </c>
      <c r="B719" s="3">
        <f t="shared" si="22"/>
        <v>2014</v>
      </c>
      <c r="C719" s="3">
        <f t="shared" si="23"/>
        <v>11</v>
      </c>
      <c r="D719" t="s">
        <v>947</v>
      </c>
      <c r="E719" t="s">
        <v>103</v>
      </c>
      <c r="F719" t="s">
        <v>13</v>
      </c>
      <c r="G719" t="s">
        <v>23</v>
      </c>
      <c r="H719" t="s">
        <v>949</v>
      </c>
      <c r="I719" s="2">
        <v>559.98</v>
      </c>
      <c r="J719" s="3">
        <v>2</v>
      </c>
      <c r="K719" s="2">
        <v>56</v>
      </c>
    </row>
    <row r="720" spans="1:11" x14ac:dyDescent="0.35">
      <c r="A720" s="1">
        <v>41954</v>
      </c>
      <c r="B720" s="3">
        <f t="shared" si="22"/>
        <v>2014</v>
      </c>
      <c r="C720" s="3">
        <f t="shared" si="23"/>
        <v>11</v>
      </c>
      <c r="D720" t="s">
        <v>947</v>
      </c>
      <c r="E720" t="s">
        <v>103</v>
      </c>
      <c r="F720" t="s">
        <v>18</v>
      </c>
      <c r="G720" t="s">
        <v>19</v>
      </c>
      <c r="H720" t="s">
        <v>950</v>
      </c>
      <c r="I720" s="2">
        <v>603.91999999999996</v>
      </c>
      <c r="J720" s="3">
        <v>5</v>
      </c>
      <c r="K720" s="2">
        <v>75.489999999999995</v>
      </c>
    </row>
    <row r="721" spans="1:11" x14ac:dyDescent="0.35">
      <c r="A721" s="1">
        <v>41954</v>
      </c>
      <c r="B721" s="3">
        <f t="shared" si="22"/>
        <v>2014</v>
      </c>
      <c r="C721" s="3">
        <f t="shared" si="23"/>
        <v>11</v>
      </c>
      <c r="D721" t="s">
        <v>951</v>
      </c>
      <c r="E721" t="s">
        <v>32</v>
      </c>
      <c r="F721" t="s">
        <v>28</v>
      </c>
      <c r="G721" t="s">
        <v>48</v>
      </c>
      <c r="H721" t="s">
        <v>207</v>
      </c>
      <c r="I721" s="2">
        <v>896.99</v>
      </c>
      <c r="J721" s="3">
        <v>5</v>
      </c>
      <c r="K721" s="2">
        <v>-1480.03</v>
      </c>
    </row>
    <row r="722" spans="1:11" x14ac:dyDescent="0.35">
      <c r="A722" s="1">
        <v>41954</v>
      </c>
      <c r="B722" s="3">
        <f t="shared" si="22"/>
        <v>2014</v>
      </c>
      <c r="C722" s="3">
        <f t="shared" si="23"/>
        <v>11</v>
      </c>
      <c r="D722" t="s">
        <v>951</v>
      </c>
      <c r="E722" t="s">
        <v>32</v>
      </c>
      <c r="F722" t="s">
        <v>28</v>
      </c>
      <c r="G722" t="s">
        <v>48</v>
      </c>
      <c r="H722" t="s">
        <v>952</v>
      </c>
      <c r="I722" s="2">
        <v>1.23</v>
      </c>
      <c r="J722" s="3">
        <v>1</v>
      </c>
      <c r="K722" s="2">
        <v>-1.97</v>
      </c>
    </row>
    <row r="723" spans="1:11" x14ac:dyDescent="0.35">
      <c r="A723" s="1">
        <v>41954</v>
      </c>
      <c r="B723" s="3">
        <f t="shared" si="22"/>
        <v>2014</v>
      </c>
      <c r="C723" s="3">
        <f t="shared" si="23"/>
        <v>11</v>
      </c>
      <c r="D723" t="s">
        <v>951</v>
      </c>
      <c r="E723" t="s">
        <v>32</v>
      </c>
      <c r="F723" t="s">
        <v>28</v>
      </c>
      <c r="G723" t="s">
        <v>64</v>
      </c>
      <c r="H723" t="s">
        <v>953</v>
      </c>
      <c r="I723" s="2">
        <v>67.56</v>
      </c>
      <c r="J723" s="3">
        <v>3</v>
      </c>
      <c r="K723" s="2">
        <v>6.76</v>
      </c>
    </row>
    <row r="724" spans="1:11" x14ac:dyDescent="0.35">
      <c r="A724" s="1">
        <v>41954</v>
      </c>
      <c r="B724" s="3">
        <f t="shared" si="22"/>
        <v>2014</v>
      </c>
      <c r="C724" s="3">
        <f t="shared" si="23"/>
        <v>11</v>
      </c>
      <c r="D724" t="s">
        <v>951</v>
      </c>
      <c r="E724" t="s">
        <v>32</v>
      </c>
      <c r="F724" t="s">
        <v>28</v>
      </c>
      <c r="G724" t="s">
        <v>29</v>
      </c>
      <c r="H724" t="s">
        <v>954</v>
      </c>
      <c r="I724" s="2">
        <v>21.72</v>
      </c>
      <c r="J724" s="3">
        <v>5</v>
      </c>
      <c r="K724" s="2">
        <v>7.87</v>
      </c>
    </row>
    <row r="725" spans="1:11" x14ac:dyDescent="0.35">
      <c r="A725" s="1">
        <v>41954</v>
      </c>
      <c r="B725" s="3">
        <f t="shared" si="22"/>
        <v>2014</v>
      </c>
      <c r="C725" s="3">
        <f t="shared" si="23"/>
        <v>11</v>
      </c>
      <c r="D725" t="s">
        <v>951</v>
      </c>
      <c r="E725" t="s">
        <v>32</v>
      </c>
      <c r="F725" t="s">
        <v>28</v>
      </c>
      <c r="G725" t="s">
        <v>29</v>
      </c>
      <c r="H725" t="s">
        <v>512</v>
      </c>
      <c r="I725" s="2">
        <v>262.33999999999997</v>
      </c>
      <c r="J725" s="3">
        <v>8</v>
      </c>
      <c r="K725" s="2">
        <v>95.1</v>
      </c>
    </row>
    <row r="726" spans="1:11" x14ac:dyDescent="0.35">
      <c r="A726" s="1">
        <v>41954</v>
      </c>
      <c r="B726" s="3">
        <f t="shared" si="22"/>
        <v>2014</v>
      </c>
      <c r="C726" s="3">
        <f t="shared" si="23"/>
        <v>11</v>
      </c>
      <c r="D726" t="s">
        <v>951</v>
      </c>
      <c r="E726" t="s">
        <v>32</v>
      </c>
      <c r="F726" t="s">
        <v>13</v>
      </c>
      <c r="G726" t="s">
        <v>23</v>
      </c>
      <c r="H726" t="s">
        <v>955</v>
      </c>
      <c r="I726" s="2">
        <v>148.47999999999999</v>
      </c>
      <c r="J726" s="3">
        <v>2</v>
      </c>
      <c r="K726" s="2">
        <v>16.7</v>
      </c>
    </row>
    <row r="727" spans="1:11" x14ac:dyDescent="0.35">
      <c r="A727" s="1">
        <v>41954</v>
      </c>
      <c r="B727" s="3">
        <f t="shared" si="22"/>
        <v>2014</v>
      </c>
      <c r="C727" s="3">
        <f t="shared" si="23"/>
        <v>11</v>
      </c>
      <c r="D727" t="s">
        <v>951</v>
      </c>
      <c r="E727" t="s">
        <v>32</v>
      </c>
      <c r="F727" t="s">
        <v>13</v>
      </c>
      <c r="G727" t="s">
        <v>23</v>
      </c>
      <c r="H727" t="s">
        <v>956</v>
      </c>
      <c r="I727" s="2">
        <v>241.18</v>
      </c>
      <c r="J727" s="3">
        <v>3</v>
      </c>
      <c r="K727" s="2">
        <v>15.07</v>
      </c>
    </row>
    <row r="728" spans="1:11" x14ac:dyDescent="0.35">
      <c r="A728" s="1">
        <v>41954</v>
      </c>
      <c r="B728" s="3">
        <f t="shared" si="22"/>
        <v>2014</v>
      </c>
      <c r="C728" s="3">
        <f t="shared" si="23"/>
        <v>11</v>
      </c>
      <c r="D728" t="s">
        <v>957</v>
      </c>
      <c r="E728" t="s">
        <v>45</v>
      </c>
      <c r="F728" t="s">
        <v>28</v>
      </c>
      <c r="G728" t="s">
        <v>64</v>
      </c>
      <c r="H728" t="s">
        <v>958</v>
      </c>
      <c r="I728" s="2">
        <v>30.48</v>
      </c>
      <c r="J728" s="3">
        <v>3</v>
      </c>
      <c r="K728" s="2">
        <v>7.92</v>
      </c>
    </row>
    <row r="729" spans="1:11" x14ac:dyDescent="0.35">
      <c r="A729" s="1">
        <v>41954</v>
      </c>
      <c r="B729" s="3">
        <f t="shared" si="22"/>
        <v>2014</v>
      </c>
      <c r="C729" s="3">
        <f t="shared" si="23"/>
        <v>11</v>
      </c>
      <c r="D729" t="s">
        <v>957</v>
      </c>
      <c r="E729" t="s">
        <v>45</v>
      </c>
      <c r="F729" t="s">
        <v>18</v>
      </c>
      <c r="G729" t="s">
        <v>19</v>
      </c>
      <c r="H729" t="s">
        <v>959</v>
      </c>
      <c r="I729" s="2">
        <v>112.65</v>
      </c>
      <c r="J729" s="3">
        <v>1</v>
      </c>
      <c r="K729" s="2">
        <v>11.26</v>
      </c>
    </row>
    <row r="730" spans="1:11" x14ac:dyDescent="0.35">
      <c r="A730" s="1">
        <v>41954</v>
      </c>
      <c r="B730" s="3">
        <f t="shared" si="22"/>
        <v>2014</v>
      </c>
      <c r="C730" s="3">
        <f t="shared" si="23"/>
        <v>11</v>
      </c>
      <c r="D730" t="s">
        <v>960</v>
      </c>
      <c r="E730" t="s">
        <v>89</v>
      </c>
      <c r="F730" t="s">
        <v>18</v>
      </c>
      <c r="G730" t="s">
        <v>36</v>
      </c>
      <c r="H730" t="s">
        <v>961</v>
      </c>
      <c r="I730" s="2">
        <v>23.97</v>
      </c>
      <c r="J730" s="3">
        <v>2</v>
      </c>
      <c r="K730" s="2">
        <v>7.79</v>
      </c>
    </row>
    <row r="731" spans="1:11" x14ac:dyDescent="0.35">
      <c r="A731" s="1">
        <v>41954</v>
      </c>
      <c r="B731" s="3">
        <f t="shared" si="22"/>
        <v>2014</v>
      </c>
      <c r="C731" s="3">
        <f t="shared" si="23"/>
        <v>11</v>
      </c>
      <c r="D731" t="s">
        <v>960</v>
      </c>
      <c r="E731" t="s">
        <v>89</v>
      </c>
      <c r="F731" t="s">
        <v>18</v>
      </c>
      <c r="G731" t="s">
        <v>237</v>
      </c>
      <c r="H731" t="s">
        <v>962</v>
      </c>
      <c r="I731" s="2">
        <v>521.96</v>
      </c>
      <c r="J731" s="3">
        <v>4</v>
      </c>
      <c r="K731" s="2">
        <v>-250.54</v>
      </c>
    </row>
    <row r="732" spans="1:11" x14ac:dyDescent="0.35">
      <c r="A732" s="1">
        <v>41954</v>
      </c>
      <c r="B732" s="3">
        <f t="shared" si="22"/>
        <v>2014</v>
      </c>
      <c r="C732" s="3">
        <f t="shared" si="23"/>
        <v>11</v>
      </c>
      <c r="D732" t="s">
        <v>695</v>
      </c>
      <c r="E732" t="s">
        <v>45</v>
      </c>
      <c r="F732" t="s">
        <v>13</v>
      </c>
      <c r="G732" t="s">
        <v>23</v>
      </c>
      <c r="H732" t="s">
        <v>184</v>
      </c>
      <c r="I732" s="2">
        <v>575.92999999999995</v>
      </c>
      <c r="J732" s="3">
        <v>9</v>
      </c>
      <c r="K732" s="2">
        <v>57.59</v>
      </c>
    </row>
    <row r="733" spans="1:11" x14ac:dyDescent="0.35">
      <c r="A733" s="1">
        <v>41954</v>
      </c>
      <c r="B733" s="3">
        <f t="shared" si="22"/>
        <v>2014</v>
      </c>
      <c r="C733" s="3">
        <f t="shared" si="23"/>
        <v>11</v>
      </c>
      <c r="D733" t="s">
        <v>695</v>
      </c>
      <c r="E733" t="s">
        <v>45</v>
      </c>
      <c r="F733" t="s">
        <v>28</v>
      </c>
      <c r="G733" t="s">
        <v>58</v>
      </c>
      <c r="H733" t="s">
        <v>380</v>
      </c>
      <c r="I733" s="2">
        <v>7.78</v>
      </c>
      <c r="J733" s="3">
        <v>2</v>
      </c>
      <c r="K733" s="2">
        <v>2.02</v>
      </c>
    </row>
    <row r="734" spans="1:11" x14ac:dyDescent="0.35">
      <c r="A734" s="1">
        <v>41954</v>
      </c>
      <c r="B734" s="3">
        <f t="shared" si="22"/>
        <v>2014</v>
      </c>
      <c r="C734" s="3">
        <f t="shared" si="23"/>
        <v>11</v>
      </c>
      <c r="D734" t="s">
        <v>695</v>
      </c>
      <c r="E734" t="s">
        <v>45</v>
      </c>
      <c r="F734" t="s">
        <v>28</v>
      </c>
      <c r="G734" t="s">
        <v>29</v>
      </c>
      <c r="H734" t="s">
        <v>963</v>
      </c>
      <c r="I734" s="2">
        <v>123.92</v>
      </c>
      <c r="J734" s="3">
        <v>4</v>
      </c>
      <c r="K734" s="2">
        <v>55.76</v>
      </c>
    </row>
    <row r="735" spans="1:11" x14ac:dyDescent="0.35">
      <c r="A735" s="1">
        <v>41954</v>
      </c>
      <c r="B735" s="3">
        <f t="shared" si="22"/>
        <v>2014</v>
      </c>
      <c r="C735" s="3">
        <f t="shared" si="23"/>
        <v>11</v>
      </c>
      <c r="D735" t="s">
        <v>359</v>
      </c>
      <c r="E735" t="s">
        <v>17</v>
      </c>
      <c r="F735" t="s">
        <v>28</v>
      </c>
      <c r="G735" t="s">
        <v>58</v>
      </c>
      <c r="H735" t="s">
        <v>490</v>
      </c>
      <c r="I735" s="2">
        <v>22.98</v>
      </c>
      <c r="J735" s="3">
        <v>1</v>
      </c>
      <c r="K735" s="2">
        <v>6.89</v>
      </c>
    </row>
    <row r="736" spans="1:11" x14ac:dyDescent="0.35">
      <c r="A736" s="1">
        <v>41954</v>
      </c>
      <c r="B736" s="3">
        <f t="shared" si="22"/>
        <v>2014</v>
      </c>
      <c r="C736" s="3">
        <f t="shared" si="23"/>
        <v>11</v>
      </c>
      <c r="D736" t="s">
        <v>359</v>
      </c>
      <c r="E736" t="s">
        <v>17</v>
      </c>
      <c r="F736" t="s">
        <v>13</v>
      </c>
      <c r="G736" t="s">
        <v>14</v>
      </c>
      <c r="H736" t="s">
        <v>634</v>
      </c>
      <c r="I736" s="2">
        <v>102.13</v>
      </c>
      <c r="J736" s="3">
        <v>7</v>
      </c>
      <c r="K736" s="2">
        <v>15.32</v>
      </c>
    </row>
    <row r="737" spans="1:11" x14ac:dyDescent="0.35">
      <c r="A737" s="1">
        <v>41954</v>
      </c>
      <c r="B737" s="3">
        <f t="shared" si="22"/>
        <v>2014</v>
      </c>
      <c r="C737" s="3">
        <f t="shared" si="23"/>
        <v>11</v>
      </c>
      <c r="D737" t="s">
        <v>359</v>
      </c>
      <c r="E737" t="s">
        <v>17</v>
      </c>
      <c r="F737" t="s">
        <v>28</v>
      </c>
      <c r="G737" t="s">
        <v>48</v>
      </c>
      <c r="H737" t="s">
        <v>964</v>
      </c>
      <c r="I737" s="2">
        <v>2033.58</v>
      </c>
      <c r="J737" s="3">
        <v>2</v>
      </c>
      <c r="K737" s="2">
        <v>762.59</v>
      </c>
    </row>
    <row r="738" spans="1:11" x14ac:dyDescent="0.35">
      <c r="A738" s="1">
        <v>41954</v>
      </c>
      <c r="B738" s="3">
        <f t="shared" si="22"/>
        <v>2014</v>
      </c>
      <c r="C738" s="3">
        <f t="shared" si="23"/>
        <v>11</v>
      </c>
      <c r="D738" t="s">
        <v>755</v>
      </c>
      <c r="E738" t="s">
        <v>26</v>
      </c>
      <c r="F738" t="s">
        <v>18</v>
      </c>
      <c r="G738" t="s">
        <v>36</v>
      </c>
      <c r="H738" t="s">
        <v>965</v>
      </c>
      <c r="I738" s="2">
        <v>10.98</v>
      </c>
      <c r="J738" s="3">
        <v>2</v>
      </c>
      <c r="K738" s="2">
        <v>-7.96</v>
      </c>
    </row>
    <row r="739" spans="1:11" x14ac:dyDescent="0.35">
      <c r="A739" s="1">
        <v>41954</v>
      </c>
      <c r="B739" s="3">
        <f t="shared" si="22"/>
        <v>2014</v>
      </c>
      <c r="C739" s="3">
        <f t="shared" si="23"/>
        <v>11</v>
      </c>
      <c r="D739" t="s">
        <v>755</v>
      </c>
      <c r="E739" t="s">
        <v>26</v>
      </c>
      <c r="F739" t="s">
        <v>18</v>
      </c>
      <c r="G739" t="s">
        <v>19</v>
      </c>
      <c r="H739" t="s">
        <v>917</v>
      </c>
      <c r="I739" s="2">
        <v>797.94</v>
      </c>
      <c r="J739" s="3">
        <v>4</v>
      </c>
      <c r="K739" s="2">
        <v>-57</v>
      </c>
    </row>
    <row r="740" spans="1:11" x14ac:dyDescent="0.35">
      <c r="A740" s="1">
        <v>41954</v>
      </c>
      <c r="B740" s="3">
        <f t="shared" si="22"/>
        <v>2014</v>
      </c>
      <c r="C740" s="3">
        <f t="shared" si="23"/>
        <v>11</v>
      </c>
      <c r="D740" t="s">
        <v>157</v>
      </c>
      <c r="E740" t="s">
        <v>22</v>
      </c>
      <c r="F740" t="s">
        <v>28</v>
      </c>
      <c r="G740" t="s">
        <v>29</v>
      </c>
      <c r="H740" t="s">
        <v>966</v>
      </c>
      <c r="I740" s="2">
        <v>46.35</v>
      </c>
      <c r="J740" s="3">
        <v>5</v>
      </c>
      <c r="K740" s="2">
        <v>21.78</v>
      </c>
    </row>
    <row r="741" spans="1:11" x14ac:dyDescent="0.35">
      <c r="A741" s="1">
        <v>41954</v>
      </c>
      <c r="B741" s="3">
        <f t="shared" si="22"/>
        <v>2014</v>
      </c>
      <c r="C741" s="3">
        <f t="shared" si="23"/>
        <v>11</v>
      </c>
      <c r="D741" t="s">
        <v>157</v>
      </c>
      <c r="E741" t="s">
        <v>22</v>
      </c>
      <c r="F741" t="s">
        <v>28</v>
      </c>
      <c r="G741" t="s">
        <v>29</v>
      </c>
      <c r="H741" t="s">
        <v>967</v>
      </c>
      <c r="I741" s="2">
        <v>223.92</v>
      </c>
      <c r="J741" s="3">
        <v>4</v>
      </c>
      <c r="K741" s="2">
        <v>109.72</v>
      </c>
    </row>
    <row r="742" spans="1:11" x14ac:dyDescent="0.35">
      <c r="A742" s="1">
        <v>41954</v>
      </c>
      <c r="B742" s="3">
        <f t="shared" si="22"/>
        <v>2014</v>
      </c>
      <c r="C742" s="3">
        <f t="shared" si="23"/>
        <v>11</v>
      </c>
      <c r="D742" t="s">
        <v>157</v>
      </c>
      <c r="E742" t="s">
        <v>22</v>
      </c>
      <c r="F742" t="s">
        <v>28</v>
      </c>
      <c r="G742" t="s">
        <v>215</v>
      </c>
      <c r="H742" t="s">
        <v>968</v>
      </c>
      <c r="I742" s="2">
        <v>7.3</v>
      </c>
      <c r="J742" s="3">
        <v>2</v>
      </c>
      <c r="K742" s="2">
        <v>2.19</v>
      </c>
    </row>
    <row r="743" spans="1:11" x14ac:dyDescent="0.35">
      <c r="A743" s="1">
        <v>41682</v>
      </c>
      <c r="B743" s="3">
        <f t="shared" si="22"/>
        <v>2014</v>
      </c>
      <c r="C743" s="3">
        <f t="shared" si="23"/>
        <v>2</v>
      </c>
      <c r="D743" t="s">
        <v>206</v>
      </c>
      <c r="E743" t="s">
        <v>45</v>
      </c>
      <c r="F743" t="s">
        <v>18</v>
      </c>
      <c r="G743" t="s">
        <v>19</v>
      </c>
      <c r="H743" t="s">
        <v>969</v>
      </c>
      <c r="I743" s="2">
        <v>129.57</v>
      </c>
      <c r="J743" s="3">
        <v>2</v>
      </c>
      <c r="K743" s="2">
        <v>-24.29</v>
      </c>
    </row>
    <row r="744" spans="1:11" x14ac:dyDescent="0.35">
      <c r="A744" s="1">
        <v>41741</v>
      </c>
      <c r="B744" s="3">
        <f t="shared" si="22"/>
        <v>2014</v>
      </c>
      <c r="C744" s="3">
        <f t="shared" si="23"/>
        <v>4</v>
      </c>
      <c r="D744" t="s">
        <v>970</v>
      </c>
      <c r="E744" t="s">
        <v>45</v>
      </c>
      <c r="F744" t="s">
        <v>13</v>
      </c>
      <c r="G744" t="s">
        <v>23</v>
      </c>
      <c r="H744" t="s">
        <v>217</v>
      </c>
      <c r="I744" s="2">
        <v>1075.0899999999999</v>
      </c>
      <c r="J744" s="3">
        <v>14</v>
      </c>
      <c r="K744" s="2">
        <v>94.07</v>
      </c>
    </row>
    <row r="745" spans="1:11" x14ac:dyDescent="0.35">
      <c r="A745" s="1">
        <v>41741</v>
      </c>
      <c r="B745" s="3">
        <f t="shared" si="22"/>
        <v>2014</v>
      </c>
      <c r="C745" s="3">
        <f t="shared" si="23"/>
        <v>4</v>
      </c>
      <c r="D745" t="s">
        <v>970</v>
      </c>
      <c r="E745" t="s">
        <v>45</v>
      </c>
      <c r="F745" t="s">
        <v>13</v>
      </c>
      <c r="G745" t="s">
        <v>23</v>
      </c>
      <c r="H745" t="s">
        <v>971</v>
      </c>
      <c r="I745" s="2">
        <v>438.37</v>
      </c>
      <c r="J745" s="3">
        <v>4</v>
      </c>
      <c r="K745" s="2">
        <v>38.36</v>
      </c>
    </row>
    <row r="746" spans="1:11" x14ac:dyDescent="0.35">
      <c r="A746" s="1">
        <v>41741</v>
      </c>
      <c r="B746" s="3">
        <f t="shared" si="22"/>
        <v>2014</v>
      </c>
      <c r="C746" s="3">
        <f t="shared" si="23"/>
        <v>4</v>
      </c>
      <c r="D746" t="s">
        <v>970</v>
      </c>
      <c r="E746" t="s">
        <v>45</v>
      </c>
      <c r="F746" t="s">
        <v>28</v>
      </c>
      <c r="G746" t="s">
        <v>48</v>
      </c>
      <c r="H746" t="s">
        <v>972</v>
      </c>
      <c r="I746" s="2">
        <v>18.09</v>
      </c>
      <c r="J746" s="3">
        <v>7</v>
      </c>
      <c r="K746" s="2">
        <v>6.56</v>
      </c>
    </row>
    <row r="747" spans="1:11" x14ac:dyDescent="0.35">
      <c r="A747" s="1">
        <v>41741</v>
      </c>
      <c r="B747" s="3">
        <f t="shared" si="22"/>
        <v>2014</v>
      </c>
      <c r="C747" s="3">
        <f t="shared" si="23"/>
        <v>4</v>
      </c>
      <c r="D747" t="s">
        <v>970</v>
      </c>
      <c r="E747" t="s">
        <v>45</v>
      </c>
      <c r="F747" t="s">
        <v>18</v>
      </c>
      <c r="G747" t="s">
        <v>237</v>
      </c>
      <c r="H747" t="s">
        <v>973</v>
      </c>
      <c r="I747" s="2">
        <v>308.5</v>
      </c>
      <c r="J747" s="3">
        <v>3</v>
      </c>
      <c r="K747" s="2">
        <v>-18.149999999999999</v>
      </c>
    </row>
    <row r="748" spans="1:11" x14ac:dyDescent="0.35">
      <c r="A748" s="1">
        <v>41741</v>
      </c>
      <c r="B748" s="3">
        <f t="shared" si="22"/>
        <v>2014</v>
      </c>
      <c r="C748" s="3">
        <f t="shared" si="23"/>
        <v>4</v>
      </c>
      <c r="D748" t="s">
        <v>182</v>
      </c>
      <c r="E748" t="s">
        <v>575</v>
      </c>
      <c r="F748" t="s">
        <v>28</v>
      </c>
      <c r="G748" t="s">
        <v>29</v>
      </c>
      <c r="H748" t="s">
        <v>974</v>
      </c>
      <c r="I748" s="2">
        <v>32.4</v>
      </c>
      <c r="J748" s="3">
        <v>5</v>
      </c>
      <c r="K748" s="2">
        <v>15.55</v>
      </c>
    </row>
    <row r="749" spans="1:11" x14ac:dyDescent="0.35">
      <c r="A749" s="1">
        <v>41741</v>
      </c>
      <c r="B749" s="3">
        <f t="shared" si="22"/>
        <v>2014</v>
      </c>
      <c r="C749" s="3">
        <f t="shared" si="23"/>
        <v>4</v>
      </c>
      <c r="D749" t="s">
        <v>975</v>
      </c>
      <c r="E749" t="s">
        <v>45</v>
      </c>
      <c r="F749" t="s">
        <v>28</v>
      </c>
      <c r="G749" t="s">
        <v>64</v>
      </c>
      <c r="H749" t="s">
        <v>976</v>
      </c>
      <c r="I749" s="2">
        <v>39.68</v>
      </c>
      <c r="J749" s="3">
        <v>2</v>
      </c>
      <c r="K749" s="2">
        <v>16.27</v>
      </c>
    </row>
    <row r="750" spans="1:11" x14ac:dyDescent="0.35">
      <c r="A750" s="1">
        <v>41771</v>
      </c>
      <c r="B750" s="3">
        <f t="shared" si="22"/>
        <v>2014</v>
      </c>
      <c r="C750" s="3">
        <f t="shared" si="23"/>
        <v>5</v>
      </c>
      <c r="D750" t="s">
        <v>977</v>
      </c>
      <c r="E750" t="s">
        <v>12</v>
      </c>
      <c r="F750" t="s">
        <v>18</v>
      </c>
      <c r="G750" t="s">
        <v>36</v>
      </c>
      <c r="H750" t="s">
        <v>877</v>
      </c>
      <c r="I750" s="2">
        <v>34.79</v>
      </c>
      <c r="J750" s="3">
        <v>7</v>
      </c>
      <c r="K750" s="2">
        <v>10.78</v>
      </c>
    </row>
    <row r="751" spans="1:11" x14ac:dyDescent="0.35">
      <c r="A751" s="1">
        <v>41771</v>
      </c>
      <c r="B751" s="3">
        <f t="shared" si="22"/>
        <v>2014</v>
      </c>
      <c r="C751" s="3">
        <f t="shared" si="23"/>
        <v>5</v>
      </c>
      <c r="D751" t="s">
        <v>676</v>
      </c>
      <c r="E751" t="s">
        <v>51</v>
      </c>
      <c r="F751" t="s">
        <v>18</v>
      </c>
      <c r="G751" t="s">
        <v>42</v>
      </c>
      <c r="H751" t="s">
        <v>978</v>
      </c>
      <c r="I751" s="2">
        <v>700.06</v>
      </c>
      <c r="J751" s="3">
        <v>3</v>
      </c>
      <c r="K751" s="2">
        <v>-130.01</v>
      </c>
    </row>
    <row r="752" spans="1:11" x14ac:dyDescent="0.35">
      <c r="A752" s="1">
        <v>41832</v>
      </c>
      <c r="B752" s="3">
        <f t="shared" si="22"/>
        <v>2014</v>
      </c>
      <c r="C752" s="3">
        <f t="shared" si="23"/>
        <v>7</v>
      </c>
      <c r="D752" t="s">
        <v>979</v>
      </c>
      <c r="E752" t="s">
        <v>45</v>
      </c>
      <c r="F752" t="s">
        <v>28</v>
      </c>
      <c r="G752" t="s">
        <v>48</v>
      </c>
      <c r="H752" t="s">
        <v>842</v>
      </c>
      <c r="I752" s="2">
        <v>7.71</v>
      </c>
      <c r="J752" s="3">
        <v>2</v>
      </c>
      <c r="K752" s="2">
        <v>2.8</v>
      </c>
    </row>
    <row r="753" spans="1:11" x14ac:dyDescent="0.35">
      <c r="A753" s="1">
        <v>41832</v>
      </c>
      <c r="B753" s="3">
        <f t="shared" si="22"/>
        <v>2014</v>
      </c>
      <c r="C753" s="3">
        <f t="shared" si="23"/>
        <v>7</v>
      </c>
      <c r="D753" t="s">
        <v>979</v>
      </c>
      <c r="E753" t="s">
        <v>45</v>
      </c>
      <c r="F753" t="s">
        <v>18</v>
      </c>
      <c r="G753" t="s">
        <v>42</v>
      </c>
      <c r="H753" t="s">
        <v>980</v>
      </c>
      <c r="I753" s="2">
        <v>698.35</v>
      </c>
      <c r="J753" s="3">
        <v>3</v>
      </c>
      <c r="K753" s="2">
        <v>-17.46</v>
      </c>
    </row>
    <row r="754" spans="1:11" x14ac:dyDescent="0.35">
      <c r="A754" s="1">
        <v>41832</v>
      </c>
      <c r="B754" s="3">
        <f t="shared" si="22"/>
        <v>2014</v>
      </c>
      <c r="C754" s="3">
        <f t="shared" si="23"/>
        <v>7</v>
      </c>
      <c r="D754" t="s">
        <v>981</v>
      </c>
      <c r="E754" t="s">
        <v>45</v>
      </c>
      <c r="F754" t="s">
        <v>28</v>
      </c>
      <c r="G754" t="s">
        <v>38</v>
      </c>
      <c r="H754" t="s">
        <v>752</v>
      </c>
      <c r="I754" s="2">
        <v>249.75</v>
      </c>
      <c r="J754" s="3">
        <v>9</v>
      </c>
      <c r="K754" s="2">
        <v>44.96</v>
      </c>
    </row>
    <row r="755" spans="1:11" x14ac:dyDescent="0.35">
      <c r="A755" s="1">
        <v>41832</v>
      </c>
      <c r="B755" s="3">
        <f t="shared" si="22"/>
        <v>2014</v>
      </c>
      <c r="C755" s="3">
        <f t="shared" si="23"/>
        <v>7</v>
      </c>
      <c r="D755" t="s">
        <v>981</v>
      </c>
      <c r="E755" t="s">
        <v>45</v>
      </c>
      <c r="F755" t="s">
        <v>13</v>
      </c>
      <c r="G755" t="s">
        <v>23</v>
      </c>
      <c r="H755" t="s">
        <v>982</v>
      </c>
      <c r="I755" s="2">
        <v>255.94</v>
      </c>
      <c r="J755" s="3">
        <v>8</v>
      </c>
      <c r="K755" s="2">
        <v>28.79</v>
      </c>
    </row>
    <row r="756" spans="1:11" x14ac:dyDescent="0.35">
      <c r="A756" s="1">
        <v>41832</v>
      </c>
      <c r="B756" s="3">
        <f t="shared" si="22"/>
        <v>2014</v>
      </c>
      <c r="C756" s="3">
        <f t="shared" si="23"/>
        <v>7</v>
      </c>
      <c r="D756" t="s">
        <v>197</v>
      </c>
      <c r="E756" t="s">
        <v>17</v>
      </c>
      <c r="F756" t="s">
        <v>18</v>
      </c>
      <c r="G756" t="s">
        <v>19</v>
      </c>
      <c r="H756" t="s">
        <v>983</v>
      </c>
      <c r="I756" s="2">
        <v>123.14</v>
      </c>
      <c r="J756" s="3">
        <v>4</v>
      </c>
      <c r="K756" s="2">
        <v>13.85</v>
      </c>
    </row>
    <row r="757" spans="1:11" x14ac:dyDescent="0.35">
      <c r="A757" s="1">
        <v>41832</v>
      </c>
      <c r="B757" s="3">
        <f t="shared" si="22"/>
        <v>2014</v>
      </c>
      <c r="C757" s="3">
        <f t="shared" si="23"/>
        <v>7</v>
      </c>
      <c r="D757" t="s">
        <v>197</v>
      </c>
      <c r="E757" t="s">
        <v>17</v>
      </c>
      <c r="F757" t="s">
        <v>28</v>
      </c>
      <c r="G757" t="s">
        <v>48</v>
      </c>
      <c r="H757" t="s">
        <v>984</v>
      </c>
      <c r="I757" s="2">
        <v>11.26</v>
      </c>
      <c r="J757" s="3">
        <v>4</v>
      </c>
      <c r="K757" s="2">
        <v>3.8</v>
      </c>
    </row>
    <row r="758" spans="1:11" x14ac:dyDescent="0.35">
      <c r="A758" s="1">
        <v>41832</v>
      </c>
      <c r="B758" s="3">
        <f t="shared" si="22"/>
        <v>2014</v>
      </c>
      <c r="C758" s="3">
        <f t="shared" si="23"/>
        <v>7</v>
      </c>
      <c r="D758" t="s">
        <v>985</v>
      </c>
      <c r="E758" t="s">
        <v>26</v>
      </c>
      <c r="F758" t="s">
        <v>28</v>
      </c>
      <c r="G758" t="s">
        <v>29</v>
      </c>
      <c r="H758" t="s">
        <v>986</v>
      </c>
      <c r="I758" s="2">
        <v>35.86</v>
      </c>
      <c r="J758" s="3">
        <v>9</v>
      </c>
      <c r="K758" s="2">
        <v>13</v>
      </c>
    </row>
    <row r="759" spans="1:11" x14ac:dyDescent="0.35">
      <c r="A759" s="1">
        <v>41832</v>
      </c>
      <c r="B759" s="3">
        <f t="shared" si="22"/>
        <v>2014</v>
      </c>
      <c r="C759" s="3">
        <f t="shared" si="23"/>
        <v>7</v>
      </c>
      <c r="D759" t="s">
        <v>985</v>
      </c>
      <c r="E759" t="s">
        <v>26</v>
      </c>
      <c r="F759" t="s">
        <v>13</v>
      </c>
      <c r="G759" t="s">
        <v>14</v>
      </c>
      <c r="H759" t="s">
        <v>987</v>
      </c>
      <c r="I759" s="2">
        <v>23.84</v>
      </c>
      <c r="J759" s="3">
        <v>4</v>
      </c>
      <c r="K759" s="2">
        <v>3.28</v>
      </c>
    </row>
    <row r="760" spans="1:11" x14ac:dyDescent="0.35">
      <c r="A760" s="1">
        <v>41832</v>
      </c>
      <c r="B760" s="3">
        <f t="shared" si="22"/>
        <v>2014</v>
      </c>
      <c r="C760" s="3">
        <f t="shared" si="23"/>
        <v>7</v>
      </c>
      <c r="D760" t="s">
        <v>988</v>
      </c>
      <c r="E760" t="s">
        <v>32</v>
      </c>
      <c r="F760" t="s">
        <v>18</v>
      </c>
      <c r="G760" t="s">
        <v>19</v>
      </c>
      <c r="H760" t="s">
        <v>989</v>
      </c>
      <c r="I760" s="2">
        <v>512.36</v>
      </c>
      <c r="J760" s="3">
        <v>3</v>
      </c>
      <c r="K760" s="2">
        <v>-14.64</v>
      </c>
    </row>
    <row r="761" spans="1:11" x14ac:dyDescent="0.35">
      <c r="A761" s="1">
        <v>41832</v>
      </c>
      <c r="B761" s="3">
        <f t="shared" si="22"/>
        <v>2014</v>
      </c>
      <c r="C761" s="3">
        <f t="shared" si="23"/>
        <v>7</v>
      </c>
      <c r="D761" t="s">
        <v>988</v>
      </c>
      <c r="E761" t="s">
        <v>32</v>
      </c>
      <c r="F761" t="s">
        <v>28</v>
      </c>
      <c r="G761" t="s">
        <v>33</v>
      </c>
      <c r="H761" t="s">
        <v>887</v>
      </c>
      <c r="I761" s="2">
        <v>3.49</v>
      </c>
      <c r="J761" s="3">
        <v>2</v>
      </c>
      <c r="K761" s="2">
        <v>0.56999999999999995</v>
      </c>
    </row>
    <row r="762" spans="1:11" x14ac:dyDescent="0.35">
      <c r="A762" s="1">
        <v>41832</v>
      </c>
      <c r="B762" s="3">
        <f t="shared" si="22"/>
        <v>2014</v>
      </c>
      <c r="C762" s="3">
        <f t="shared" si="23"/>
        <v>7</v>
      </c>
      <c r="D762" t="s">
        <v>988</v>
      </c>
      <c r="E762" t="s">
        <v>32</v>
      </c>
      <c r="F762" t="s">
        <v>28</v>
      </c>
      <c r="G762" t="s">
        <v>64</v>
      </c>
      <c r="H762" t="s">
        <v>990</v>
      </c>
      <c r="I762" s="2">
        <v>22.29</v>
      </c>
      <c r="J762" s="3">
        <v>7</v>
      </c>
      <c r="K762" s="2">
        <v>3.9</v>
      </c>
    </row>
    <row r="763" spans="1:11" x14ac:dyDescent="0.35">
      <c r="A763" s="1">
        <v>41832</v>
      </c>
      <c r="B763" s="3">
        <f t="shared" si="22"/>
        <v>2014</v>
      </c>
      <c r="C763" s="3">
        <f t="shared" si="23"/>
        <v>7</v>
      </c>
      <c r="D763" t="s">
        <v>988</v>
      </c>
      <c r="E763" t="s">
        <v>32</v>
      </c>
      <c r="F763" t="s">
        <v>28</v>
      </c>
      <c r="G763" t="s">
        <v>29</v>
      </c>
      <c r="H763" t="s">
        <v>820</v>
      </c>
      <c r="I763" s="2">
        <v>16.03</v>
      </c>
      <c r="J763" s="3">
        <v>3</v>
      </c>
      <c r="K763" s="2">
        <v>5.61</v>
      </c>
    </row>
    <row r="764" spans="1:11" x14ac:dyDescent="0.35">
      <c r="A764" s="1">
        <v>41863</v>
      </c>
      <c r="B764" s="3">
        <f t="shared" si="22"/>
        <v>2014</v>
      </c>
      <c r="C764" s="3">
        <f t="shared" si="23"/>
        <v>8</v>
      </c>
      <c r="D764" t="s">
        <v>991</v>
      </c>
      <c r="E764" t="s">
        <v>62</v>
      </c>
      <c r="F764" t="s">
        <v>28</v>
      </c>
      <c r="G764" t="s">
        <v>48</v>
      </c>
      <c r="H764" t="s">
        <v>992</v>
      </c>
      <c r="I764" s="2">
        <v>196.21</v>
      </c>
      <c r="J764" s="3">
        <v>7</v>
      </c>
      <c r="K764" s="2">
        <v>98.11</v>
      </c>
    </row>
    <row r="765" spans="1:11" x14ac:dyDescent="0.35">
      <c r="A765" s="1">
        <v>41863</v>
      </c>
      <c r="B765" s="3">
        <f t="shared" si="22"/>
        <v>2014</v>
      </c>
      <c r="C765" s="3">
        <f t="shared" si="23"/>
        <v>8</v>
      </c>
      <c r="D765" t="s">
        <v>993</v>
      </c>
      <c r="E765" t="s">
        <v>45</v>
      </c>
      <c r="F765" t="s">
        <v>13</v>
      </c>
      <c r="G765" t="s">
        <v>23</v>
      </c>
      <c r="H765" t="s">
        <v>994</v>
      </c>
      <c r="I765" s="2">
        <v>806.34</v>
      </c>
      <c r="J765" s="3">
        <v>8</v>
      </c>
      <c r="K765" s="2">
        <v>50.4</v>
      </c>
    </row>
    <row r="766" spans="1:11" x14ac:dyDescent="0.35">
      <c r="A766" s="1">
        <v>41863</v>
      </c>
      <c r="B766" s="3">
        <f t="shared" si="22"/>
        <v>2014</v>
      </c>
      <c r="C766" s="3">
        <f t="shared" si="23"/>
        <v>8</v>
      </c>
      <c r="D766" t="s">
        <v>993</v>
      </c>
      <c r="E766" t="s">
        <v>45</v>
      </c>
      <c r="F766" t="s">
        <v>18</v>
      </c>
      <c r="G766" t="s">
        <v>36</v>
      </c>
      <c r="H766" t="s">
        <v>379</v>
      </c>
      <c r="I766" s="2">
        <v>85.44</v>
      </c>
      <c r="J766" s="3">
        <v>3</v>
      </c>
      <c r="K766" s="2">
        <v>31.61</v>
      </c>
    </row>
    <row r="767" spans="1:11" x14ac:dyDescent="0.35">
      <c r="A767" s="1">
        <v>41863</v>
      </c>
      <c r="B767" s="3">
        <f t="shared" si="22"/>
        <v>2014</v>
      </c>
      <c r="C767" s="3">
        <f t="shared" si="23"/>
        <v>8</v>
      </c>
      <c r="D767" t="s">
        <v>995</v>
      </c>
      <c r="E767" t="s">
        <v>77</v>
      </c>
      <c r="F767" t="s">
        <v>28</v>
      </c>
      <c r="G767" t="s">
        <v>29</v>
      </c>
      <c r="H767" t="s">
        <v>996</v>
      </c>
      <c r="I767" s="2">
        <v>31.1</v>
      </c>
      <c r="J767" s="3">
        <v>6</v>
      </c>
      <c r="K767" s="2">
        <v>10.89</v>
      </c>
    </row>
    <row r="768" spans="1:11" x14ac:dyDescent="0.35">
      <c r="A768" s="1">
        <v>41863</v>
      </c>
      <c r="B768" s="3">
        <f t="shared" si="22"/>
        <v>2014</v>
      </c>
      <c r="C768" s="3">
        <f t="shared" si="23"/>
        <v>8</v>
      </c>
      <c r="D768" t="s">
        <v>995</v>
      </c>
      <c r="E768" t="s">
        <v>77</v>
      </c>
      <c r="F768" t="s">
        <v>28</v>
      </c>
      <c r="G768" t="s">
        <v>64</v>
      </c>
      <c r="H768" t="s">
        <v>997</v>
      </c>
      <c r="I768" s="2">
        <v>47.96</v>
      </c>
      <c r="J768" s="3">
        <v>5</v>
      </c>
      <c r="K768" s="2">
        <v>4.2</v>
      </c>
    </row>
    <row r="769" spans="1:11" x14ac:dyDescent="0.35">
      <c r="A769" s="1">
        <v>41863</v>
      </c>
      <c r="B769" s="3">
        <f t="shared" si="22"/>
        <v>2014</v>
      </c>
      <c r="C769" s="3">
        <f t="shared" si="23"/>
        <v>8</v>
      </c>
      <c r="D769" t="s">
        <v>995</v>
      </c>
      <c r="E769" t="s">
        <v>77</v>
      </c>
      <c r="F769" t="s">
        <v>13</v>
      </c>
      <c r="G769" t="s">
        <v>14</v>
      </c>
      <c r="H769" t="s">
        <v>395</v>
      </c>
      <c r="I769" s="2">
        <v>158.93</v>
      </c>
      <c r="J769" s="3">
        <v>7</v>
      </c>
      <c r="K769" s="2">
        <v>41.72</v>
      </c>
    </row>
    <row r="770" spans="1:11" x14ac:dyDescent="0.35">
      <c r="A770" s="1">
        <v>41863</v>
      </c>
      <c r="B770" s="3">
        <f t="shared" ref="B770:B833" si="24">YEAR(A770)</f>
        <v>2014</v>
      </c>
      <c r="C770" s="3">
        <f t="shared" ref="C770:C833" si="25">MONTH(A770)</f>
        <v>8</v>
      </c>
      <c r="D770" t="s">
        <v>995</v>
      </c>
      <c r="E770" t="s">
        <v>77</v>
      </c>
      <c r="F770" t="s">
        <v>28</v>
      </c>
      <c r="G770" t="s">
        <v>58</v>
      </c>
      <c r="H770" t="s">
        <v>998</v>
      </c>
      <c r="I770" s="2">
        <v>211.25</v>
      </c>
      <c r="J770" s="3">
        <v>6</v>
      </c>
      <c r="K770" s="2">
        <v>15.84</v>
      </c>
    </row>
    <row r="771" spans="1:11" x14ac:dyDescent="0.35">
      <c r="A771" s="1">
        <v>41863</v>
      </c>
      <c r="B771" s="3">
        <f t="shared" si="24"/>
        <v>2014</v>
      </c>
      <c r="C771" s="3">
        <f t="shared" si="25"/>
        <v>8</v>
      </c>
      <c r="D771" t="s">
        <v>995</v>
      </c>
      <c r="E771" t="s">
        <v>77</v>
      </c>
      <c r="F771" t="s">
        <v>28</v>
      </c>
      <c r="G771" t="s">
        <v>215</v>
      </c>
      <c r="H771" t="s">
        <v>739</v>
      </c>
      <c r="I771" s="2">
        <v>5.55</v>
      </c>
      <c r="J771" s="3">
        <v>2</v>
      </c>
      <c r="K771" s="2">
        <v>-1.04</v>
      </c>
    </row>
    <row r="772" spans="1:11" x14ac:dyDescent="0.35">
      <c r="A772" s="1">
        <v>41863</v>
      </c>
      <c r="B772" s="3">
        <f t="shared" si="24"/>
        <v>2014</v>
      </c>
      <c r="C772" s="3">
        <f t="shared" si="25"/>
        <v>8</v>
      </c>
      <c r="D772" t="s">
        <v>995</v>
      </c>
      <c r="E772" t="s">
        <v>77</v>
      </c>
      <c r="F772" t="s">
        <v>28</v>
      </c>
      <c r="G772" t="s">
        <v>46</v>
      </c>
      <c r="H772" t="s">
        <v>999</v>
      </c>
      <c r="I772" s="2">
        <v>2.95</v>
      </c>
      <c r="J772" s="3">
        <v>1</v>
      </c>
      <c r="K772" s="2">
        <v>1</v>
      </c>
    </row>
    <row r="773" spans="1:11" x14ac:dyDescent="0.35">
      <c r="A773" s="1">
        <v>41863</v>
      </c>
      <c r="B773" s="3">
        <f t="shared" si="24"/>
        <v>2014</v>
      </c>
      <c r="C773" s="3">
        <f t="shared" si="25"/>
        <v>8</v>
      </c>
      <c r="D773" t="s">
        <v>1000</v>
      </c>
      <c r="E773" t="s">
        <v>165</v>
      </c>
      <c r="F773" t="s">
        <v>28</v>
      </c>
      <c r="G773" t="s">
        <v>48</v>
      </c>
      <c r="H773" t="s">
        <v>1001</v>
      </c>
      <c r="I773" s="2">
        <v>14.04</v>
      </c>
      <c r="J773" s="3">
        <v>3</v>
      </c>
      <c r="K773" s="2">
        <v>6.74</v>
      </c>
    </row>
    <row r="774" spans="1:11" x14ac:dyDescent="0.35">
      <c r="A774" s="1">
        <v>41863</v>
      </c>
      <c r="B774" s="3">
        <f t="shared" si="24"/>
        <v>2014</v>
      </c>
      <c r="C774" s="3">
        <f t="shared" si="25"/>
        <v>8</v>
      </c>
      <c r="D774" t="s">
        <v>1000</v>
      </c>
      <c r="E774" t="s">
        <v>165</v>
      </c>
      <c r="F774" t="s">
        <v>13</v>
      </c>
      <c r="G774" t="s">
        <v>14</v>
      </c>
      <c r="H774" t="s">
        <v>233</v>
      </c>
      <c r="I774" s="2">
        <v>272.61</v>
      </c>
      <c r="J774" s="3">
        <v>13</v>
      </c>
      <c r="K774" s="2">
        <v>98.14</v>
      </c>
    </row>
    <row r="775" spans="1:11" x14ac:dyDescent="0.35">
      <c r="A775" s="1">
        <v>41894</v>
      </c>
      <c r="B775" s="3">
        <f t="shared" si="24"/>
        <v>2014</v>
      </c>
      <c r="C775" s="3">
        <f t="shared" si="25"/>
        <v>9</v>
      </c>
      <c r="D775" t="s">
        <v>537</v>
      </c>
      <c r="E775" t="s">
        <v>22</v>
      </c>
      <c r="F775" t="s">
        <v>13</v>
      </c>
      <c r="G775" t="s">
        <v>204</v>
      </c>
      <c r="H775" t="s">
        <v>714</v>
      </c>
      <c r="I775" s="2">
        <v>69.989999999999995</v>
      </c>
      <c r="J775" s="3">
        <v>1</v>
      </c>
      <c r="K775" s="2">
        <v>30.1</v>
      </c>
    </row>
    <row r="776" spans="1:11" x14ac:dyDescent="0.35">
      <c r="A776" s="1">
        <v>41894</v>
      </c>
      <c r="B776" s="3">
        <f t="shared" si="24"/>
        <v>2014</v>
      </c>
      <c r="C776" s="3">
        <f t="shared" si="25"/>
        <v>9</v>
      </c>
      <c r="D776" t="s">
        <v>1002</v>
      </c>
      <c r="E776" t="s">
        <v>81</v>
      </c>
      <c r="F776" t="s">
        <v>28</v>
      </c>
      <c r="G776" t="s">
        <v>29</v>
      </c>
      <c r="H776" t="s">
        <v>1003</v>
      </c>
      <c r="I776" s="2">
        <v>10.37</v>
      </c>
      <c r="J776" s="3">
        <v>2</v>
      </c>
      <c r="K776" s="2">
        <v>3.63</v>
      </c>
    </row>
    <row r="777" spans="1:11" x14ac:dyDescent="0.35">
      <c r="A777" s="1">
        <v>41894</v>
      </c>
      <c r="B777" s="3">
        <f t="shared" si="24"/>
        <v>2014</v>
      </c>
      <c r="C777" s="3">
        <f t="shared" si="25"/>
        <v>9</v>
      </c>
      <c r="D777" t="s">
        <v>1002</v>
      </c>
      <c r="E777" t="s">
        <v>81</v>
      </c>
      <c r="F777" t="s">
        <v>28</v>
      </c>
      <c r="G777" t="s">
        <v>58</v>
      </c>
      <c r="H777" t="s">
        <v>520</v>
      </c>
      <c r="I777" s="2">
        <v>166.84</v>
      </c>
      <c r="J777" s="3">
        <v>5</v>
      </c>
      <c r="K777" s="2">
        <v>18.77</v>
      </c>
    </row>
    <row r="778" spans="1:11" x14ac:dyDescent="0.35">
      <c r="A778" s="1">
        <v>41894</v>
      </c>
      <c r="B778" s="3">
        <f t="shared" si="24"/>
        <v>2014</v>
      </c>
      <c r="C778" s="3">
        <f t="shared" si="25"/>
        <v>9</v>
      </c>
      <c r="D778" t="s">
        <v>1002</v>
      </c>
      <c r="E778" t="s">
        <v>81</v>
      </c>
      <c r="F778" t="s">
        <v>13</v>
      </c>
      <c r="G778" t="s">
        <v>14</v>
      </c>
      <c r="H778" t="s">
        <v>1004</v>
      </c>
      <c r="I778" s="2">
        <v>15.22</v>
      </c>
      <c r="J778" s="3">
        <v>1</v>
      </c>
      <c r="K778" s="2">
        <v>2.2799999999999998</v>
      </c>
    </row>
    <row r="779" spans="1:11" x14ac:dyDescent="0.35">
      <c r="A779" s="1">
        <v>41894</v>
      </c>
      <c r="B779" s="3">
        <f t="shared" si="24"/>
        <v>2014</v>
      </c>
      <c r="C779" s="3">
        <f t="shared" si="25"/>
        <v>9</v>
      </c>
      <c r="D779" t="s">
        <v>1005</v>
      </c>
      <c r="E779" t="s">
        <v>32</v>
      </c>
      <c r="F779" t="s">
        <v>28</v>
      </c>
      <c r="G779" t="s">
        <v>48</v>
      </c>
      <c r="H779" t="s">
        <v>1006</v>
      </c>
      <c r="I779" s="2">
        <v>5.18</v>
      </c>
      <c r="J779" s="3">
        <v>5</v>
      </c>
      <c r="K779" s="2">
        <v>-8.0299999999999994</v>
      </c>
    </row>
    <row r="780" spans="1:11" x14ac:dyDescent="0.35">
      <c r="A780" s="1">
        <v>41894</v>
      </c>
      <c r="B780" s="3">
        <f t="shared" si="24"/>
        <v>2014</v>
      </c>
      <c r="C780" s="3">
        <f t="shared" si="25"/>
        <v>9</v>
      </c>
      <c r="D780" t="s">
        <v>833</v>
      </c>
      <c r="E780" t="s">
        <v>131</v>
      </c>
      <c r="F780" t="s">
        <v>28</v>
      </c>
      <c r="G780" t="s">
        <v>48</v>
      </c>
      <c r="H780" t="s">
        <v>855</v>
      </c>
      <c r="I780" s="2">
        <v>63.92</v>
      </c>
      <c r="J780" s="3">
        <v>7</v>
      </c>
      <c r="K780" s="2">
        <v>-46.88</v>
      </c>
    </row>
    <row r="781" spans="1:11" x14ac:dyDescent="0.35">
      <c r="A781" s="1">
        <v>41894</v>
      </c>
      <c r="B781" s="3">
        <f t="shared" si="24"/>
        <v>2014</v>
      </c>
      <c r="C781" s="3">
        <f t="shared" si="25"/>
        <v>9</v>
      </c>
      <c r="D781" t="s">
        <v>1007</v>
      </c>
      <c r="E781" t="s">
        <v>1008</v>
      </c>
      <c r="F781" t="s">
        <v>28</v>
      </c>
      <c r="G781" t="s">
        <v>215</v>
      </c>
      <c r="H781" t="s">
        <v>319</v>
      </c>
      <c r="I781" s="2">
        <v>357.93</v>
      </c>
      <c r="J781" s="3">
        <v>3</v>
      </c>
      <c r="K781" s="2">
        <v>7.16</v>
      </c>
    </row>
    <row r="782" spans="1:11" x14ac:dyDescent="0.35">
      <c r="A782" s="1">
        <v>41894</v>
      </c>
      <c r="B782" s="3">
        <f t="shared" si="24"/>
        <v>2014</v>
      </c>
      <c r="C782" s="3">
        <f t="shared" si="25"/>
        <v>9</v>
      </c>
      <c r="D782" t="s">
        <v>1007</v>
      </c>
      <c r="E782" t="s">
        <v>1008</v>
      </c>
      <c r="F782" t="s">
        <v>13</v>
      </c>
      <c r="G782" t="s">
        <v>14</v>
      </c>
      <c r="H782" t="s">
        <v>1009</v>
      </c>
      <c r="I782" s="2">
        <v>57.4</v>
      </c>
      <c r="J782" s="3">
        <v>5</v>
      </c>
      <c r="K782" s="2">
        <v>10.91</v>
      </c>
    </row>
    <row r="783" spans="1:11" x14ac:dyDescent="0.35">
      <c r="A783" s="1">
        <v>41894</v>
      </c>
      <c r="B783" s="3">
        <f t="shared" si="24"/>
        <v>2014</v>
      </c>
      <c r="C783" s="3">
        <f t="shared" si="25"/>
        <v>9</v>
      </c>
      <c r="D783" t="s">
        <v>1007</v>
      </c>
      <c r="E783" t="s">
        <v>1008</v>
      </c>
      <c r="F783" t="s">
        <v>28</v>
      </c>
      <c r="G783" t="s">
        <v>48</v>
      </c>
      <c r="H783" t="s">
        <v>1010</v>
      </c>
      <c r="I783" s="2">
        <v>331.96</v>
      </c>
      <c r="J783" s="3">
        <v>2</v>
      </c>
      <c r="K783" s="2">
        <v>149.38</v>
      </c>
    </row>
    <row r="784" spans="1:11" x14ac:dyDescent="0.35">
      <c r="A784" s="1">
        <v>41894</v>
      </c>
      <c r="B784" s="3">
        <f t="shared" si="24"/>
        <v>2014</v>
      </c>
      <c r="C784" s="3">
        <f t="shared" si="25"/>
        <v>9</v>
      </c>
      <c r="D784" t="s">
        <v>1007</v>
      </c>
      <c r="E784" t="s">
        <v>1008</v>
      </c>
      <c r="F784" t="s">
        <v>18</v>
      </c>
      <c r="G784" t="s">
        <v>36</v>
      </c>
      <c r="H784" t="s">
        <v>1011</v>
      </c>
      <c r="I784" s="2">
        <v>40.56</v>
      </c>
      <c r="J784" s="3">
        <v>2</v>
      </c>
      <c r="K784" s="2">
        <v>12.98</v>
      </c>
    </row>
    <row r="785" spans="1:11" x14ac:dyDescent="0.35">
      <c r="A785" s="1">
        <v>41894</v>
      </c>
      <c r="B785" s="3">
        <f t="shared" si="24"/>
        <v>2014</v>
      </c>
      <c r="C785" s="3">
        <f t="shared" si="25"/>
        <v>9</v>
      </c>
      <c r="D785" t="s">
        <v>1012</v>
      </c>
      <c r="E785" t="s">
        <v>22</v>
      </c>
      <c r="F785" t="s">
        <v>18</v>
      </c>
      <c r="G785" t="s">
        <v>19</v>
      </c>
      <c r="H785" t="s">
        <v>1013</v>
      </c>
      <c r="I785" s="2">
        <v>3785.29</v>
      </c>
      <c r="J785" s="3">
        <v>6</v>
      </c>
      <c r="K785" s="2">
        <v>420.59</v>
      </c>
    </row>
    <row r="786" spans="1:11" x14ac:dyDescent="0.35">
      <c r="A786" s="1">
        <v>41924</v>
      </c>
      <c r="B786" s="3">
        <f t="shared" si="24"/>
        <v>2014</v>
      </c>
      <c r="C786" s="3">
        <f t="shared" si="25"/>
        <v>10</v>
      </c>
      <c r="D786" t="s">
        <v>731</v>
      </c>
      <c r="E786" t="s">
        <v>45</v>
      </c>
      <c r="F786" t="s">
        <v>28</v>
      </c>
      <c r="G786" t="s">
        <v>64</v>
      </c>
      <c r="H786" t="s">
        <v>1014</v>
      </c>
      <c r="I786" s="2">
        <v>14.9</v>
      </c>
      <c r="J786" s="3">
        <v>5</v>
      </c>
      <c r="K786" s="2">
        <v>4.17</v>
      </c>
    </row>
    <row r="787" spans="1:11" x14ac:dyDescent="0.35">
      <c r="A787" s="1">
        <v>41924</v>
      </c>
      <c r="B787" s="3">
        <f t="shared" si="24"/>
        <v>2014</v>
      </c>
      <c r="C787" s="3">
        <f t="shared" si="25"/>
        <v>10</v>
      </c>
      <c r="D787" t="s">
        <v>731</v>
      </c>
      <c r="E787" t="s">
        <v>45</v>
      </c>
      <c r="F787" t="s">
        <v>28</v>
      </c>
      <c r="G787" t="s">
        <v>38</v>
      </c>
      <c r="H787" t="s">
        <v>1015</v>
      </c>
      <c r="I787" s="2">
        <v>21.39</v>
      </c>
      <c r="J787" s="3">
        <v>1</v>
      </c>
      <c r="K787" s="2">
        <v>6.2</v>
      </c>
    </row>
    <row r="788" spans="1:11" x14ac:dyDescent="0.35">
      <c r="A788" s="1">
        <v>41924</v>
      </c>
      <c r="B788" s="3">
        <f t="shared" si="24"/>
        <v>2014</v>
      </c>
      <c r="C788" s="3">
        <f t="shared" si="25"/>
        <v>10</v>
      </c>
      <c r="D788" t="s">
        <v>1016</v>
      </c>
      <c r="E788" t="s">
        <v>26</v>
      </c>
      <c r="F788" t="s">
        <v>28</v>
      </c>
      <c r="G788" t="s">
        <v>215</v>
      </c>
      <c r="H788" t="s">
        <v>1017</v>
      </c>
      <c r="I788" s="2">
        <v>22.24</v>
      </c>
      <c r="J788" s="3">
        <v>2</v>
      </c>
      <c r="K788" s="2">
        <v>2.5</v>
      </c>
    </row>
    <row r="789" spans="1:11" x14ac:dyDescent="0.35">
      <c r="A789" s="1">
        <v>41955</v>
      </c>
      <c r="B789" s="3">
        <f t="shared" si="24"/>
        <v>2014</v>
      </c>
      <c r="C789" s="3">
        <f t="shared" si="25"/>
        <v>11</v>
      </c>
      <c r="D789" t="s">
        <v>1018</v>
      </c>
      <c r="E789" t="s">
        <v>32</v>
      </c>
      <c r="F789" t="s">
        <v>28</v>
      </c>
      <c r="G789" t="s">
        <v>38</v>
      </c>
      <c r="H789" t="s">
        <v>1019</v>
      </c>
      <c r="I789" s="2">
        <v>49.63</v>
      </c>
      <c r="J789" s="3">
        <v>4</v>
      </c>
      <c r="K789" s="2">
        <v>4.96</v>
      </c>
    </row>
    <row r="790" spans="1:11" x14ac:dyDescent="0.35">
      <c r="A790" s="1">
        <v>41955</v>
      </c>
      <c r="B790" s="3">
        <f t="shared" si="24"/>
        <v>2014</v>
      </c>
      <c r="C790" s="3">
        <f t="shared" si="25"/>
        <v>11</v>
      </c>
      <c r="D790" t="s">
        <v>1020</v>
      </c>
      <c r="E790" t="s">
        <v>45</v>
      </c>
      <c r="F790" t="s">
        <v>28</v>
      </c>
      <c r="G790" t="s">
        <v>29</v>
      </c>
      <c r="H790" t="s">
        <v>1021</v>
      </c>
      <c r="I790" s="2">
        <v>11.96</v>
      </c>
      <c r="J790" s="3">
        <v>2</v>
      </c>
      <c r="K790" s="2">
        <v>5.86</v>
      </c>
    </row>
    <row r="791" spans="1:11" x14ac:dyDescent="0.35">
      <c r="A791" s="1">
        <v>41955</v>
      </c>
      <c r="B791" s="3">
        <f t="shared" si="24"/>
        <v>2014</v>
      </c>
      <c r="C791" s="3">
        <f t="shared" si="25"/>
        <v>11</v>
      </c>
      <c r="D791" t="s">
        <v>1020</v>
      </c>
      <c r="E791" t="s">
        <v>45</v>
      </c>
      <c r="F791" t="s">
        <v>18</v>
      </c>
      <c r="G791" t="s">
        <v>42</v>
      </c>
      <c r="H791" t="s">
        <v>1022</v>
      </c>
      <c r="I791" s="2">
        <v>629.05999999999995</v>
      </c>
      <c r="J791" s="3">
        <v>3</v>
      </c>
      <c r="K791" s="2">
        <v>31.45</v>
      </c>
    </row>
    <row r="792" spans="1:11" x14ac:dyDescent="0.35">
      <c r="A792" s="1">
        <v>41955</v>
      </c>
      <c r="B792" s="3">
        <f t="shared" si="24"/>
        <v>2014</v>
      </c>
      <c r="C792" s="3">
        <f t="shared" si="25"/>
        <v>11</v>
      </c>
      <c r="D792" t="s">
        <v>332</v>
      </c>
      <c r="E792" t="s">
        <v>81</v>
      </c>
      <c r="F792" t="s">
        <v>28</v>
      </c>
      <c r="G792" t="s">
        <v>64</v>
      </c>
      <c r="H792" t="s">
        <v>448</v>
      </c>
      <c r="I792" s="2">
        <v>7.87</v>
      </c>
      <c r="J792" s="3">
        <v>3</v>
      </c>
      <c r="K792" s="2">
        <v>0.89</v>
      </c>
    </row>
    <row r="793" spans="1:11" x14ac:dyDescent="0.35">
      <c r="A793" s="1">
        <v>41955</v>
      </c>
      <c r="B793" s="3">
        <f t="shared" si="24"/>
        <v>2014</v>
      </c>
      <c r="C793" s="3">
        <f t="shared" si="25"/>
        <v>11</v>
      </c>
      <c r="D793" t="s">
        <v>1023</v>
      </c>
      <c r="E793" t="s">
        <v>32</v>
      </c>
      <c r="F793" t="s">
        <v>28</v>
      </c>
      <c r="G793" t="s">
        <v>64</v>
      </c>
      <c r="H793" t="s">
        <v>1024</v>
      </c>
      <c r="I793" s="2">
        <v>2.67</v>
      </c>
      <c r="J793" s="3">
        <v>1</v>
      </c>
      <c r="K793" s="2">
        <v>0.33</v>
      </c>
    </row>
    <row r="794" spans="1:11" x14ac:dyDescent="0.35">
      <c r="A794" s="1">
        <v>41955</v>
      </c>
      <c r="B794" s="3">
        <f t="shared" si="24"/>
        <v>2014</v>
      </c>
      <c r="C794" s="3">
        <f t="shared" si="25"/>
        <v>11</v>
      </c>
      <c r="D794" t="s">
        <v>1023</v>
      </c>
      <c r="E794" t="s">
        <v>32</v>
      </c>
      <c r="F794" t="s">
        <v>28</v>
      </c>
      <c r="G794" t="s">
        <v>215</v>
      </c>
      <c r="H794" t="s">
        <v>739</v>
      </c>
      <c r="I794" s="2">
        <v>16.66</v>
      </c>
      <c r="J794" s="3">
        <v>6</v>
      </c>
      <c r="K794" s="2">
        <v>-3.12</v>
      </c>
    </row>
    <row r="795" spans="1:11" x14ac:dyDescent="0.35">
      <c r="A795" s="1">
        <v>41955</v>
      </c>
      <c r="B795" s="3">
        <f t="shared" si="24"/>
        <v>2014</v>
      </c>
      <c r="C795" s="3">
        <f t="shared" si="25"/>
        <v>11</v>
      </c>
      <c r="D795" t="s">
        <v>1023</v>
      </c>
      <c r="E795" t="s">
        <v>32</v>
      </c>
      <c r="F795" t="s">
        <v>13</v>
      </c>
      <c r="G795" t="s">
        <v>14</v>
      </c>
      <c r="H795" t="s">
        <v>1025</v>
      </c>
      <c r="I795" s="2">
        <v>79.510000000000005</v>
      </c>
      <c r="J795" s="3">
        <v>3</v>
      </c>
      <c r="K795" s="2">
        <v>20.87</v>
      </c>
    </row>
    <row r="796" spans="1:11" x14ac:dyDescent="0.35">
      <c r="A796" s="1">
        <v>41955</v>
      </c>
      <c r="B796" s="3">
        <f t="shared" si="24"/>
        <v>2014</v>
      </c>
      <c r="C796" s="3">
        <f t="shared" si="25"/>
        <v>11</v>
      </c>
      <c r="D796" t="s">
        <v>1023</v>
      </c>
      <c r="E796" t="s">
        <v>32</v>
      </c>
      <c r="F796" t="s">
        <v>28</v>
      </c>
      <c r="G796" t="s">
        <v>29</v>
      </c>
      <c r="H796" t="s">
        <v>95</v>
      </c>
      <c r="I796" s="2">
        <v>36.29</v>
      </c>
      <c r="J796" s="3">
        <v>7</v>
      </c>
      <c r="K796" s="2">
        <v>12.7</v>
      </c>
    </row>
    <row r="797" spans="1:11" x14ac:dyDescent="0.35">
      <c r="A797" s="1">
        <v>41955</v>
      </c>
      <c r="B797" s="3">
        <f t="shared" si="24"/>
        <v>2014</v>
      </c>
      <c r="C797" s="3">
        <f t="shared" si="25"/>
        <v>11</v>
      </c>
      <c r="D797" t="s">
        <v>1023</v>
      </c>
      <c r="E797" t="s">
        <v>32</v>
      </c>
      <c r="F797" t="s">
        <v>18</v>
      </c>
      <c r="G797" t="s">
        <v>237</v>
      </c>
      <c r="H797" t="s">
        <v>834</v>
      </c>
      <c r="I797" s="2">
        <v>67.989999999999995</v>
      </c>
      <c r="J797" s="3">
        <v>1</v>
      </c>
      <c r="K797" s="2">
        <v>-13</v>
      </c>
    </row>
    <row r="798" spans="1:11" x14ac:dyDescent="0.35">
      <c r="A798" s="1">
        <v>41955</v>
      </c>
      <c r="B798" s="3">
        <f t="shared" si="24"/>
        <v>2014</v>
      </c>
      <c r="C798" s="3">
        <f t="shared" si="25"/>
        <v>11</v>
      </c>
      <c r="D798" t="s">
        <v>257</v>
      </c>
      <c r="E798" t="s">
        <v>32</v>
      </c>
      <c r="F798" t="s">
        <v>18</v>
      </c>
      <c r="G798" t="s">
        <v>36</v>
      </c>
      <c r="H798" t="s">
        <v>1026</v>
      </c>
      <c r="I798" s="2">
        <v>25.13</v>
      </c>
      <c r="J798" s="3">
        <v>3</v>
      </c>
      <c r="K798" s="2">
        <v>-6.91</v>
      </c>
    </row>
    <row r="799" spans="1:11" x14ac:dyDescent="0.35">
      <c r="A799" s="1">
        <v>41955</v>
      </c>
      <c r="B799" s="3">
        <f t="shared" si="24"/>
        <v>2014</v>
      </c>
      <c r="C799" s="3">
        <f t="shared" si="25"/>
        <v>11</v>
      </c>
      <c r="D799" t="s">
        <v>257</v>
      </c>
      <c r="E799" t="s">
        <v>32</v>
      </c>
      <c r="F799" t="s">
        <v>13</v>
      </c>
      <c r="G799" t="s">
        <v>14</v>
      </c>
      <c r="H799" t="s">
        <v>1027</v>
      </c>
      <c r="I799" s="2">
        <v>127.98</v>
      </c>
      <c r="J799" s="3">
        <v>2</v>
      </c>
      <c r="K799" s="2">
        <v>25.6</v>
      </c>
    </row>
    <row r="800" spans="1:11" x14ac:dyDescent="0.35">
      <c r="A800" s="1">
        <v>41985</v>
      </c>
      <c r="B800" s="3">
        <f t="shared" si="24"/>
        <v>2014</v>
      </c>
      <c r="C800" s="3">
        <f t="shared" si="25"/>
        <v>12</v>
      </c>
      <c r="D800" t="s">
        <v>485</v>
      </c>
      <c r="E800" t="s">
        <v>45</v>
      </c>
      <c r="F800" t="s">
        <v>18</v>
      </c>
      <c r="G800" t="s">
        <v>42</v>
      </c>
      <c r="H800" t="s">
        <v>1028</v>
      </c>
      <c r="I800" s="2">
        <v>764.69</v>
      </c>
      <c r="J800" s="3">
        <v>6</v>
      </c>
      <c r="K800" s="2">
        <v>95.59</v>
      </c>
    </row>
    <row r="801" spans="1:11" x14ac:dyDescent="0.35">
      <c r="A801" s="1">
        <v>41985</v>
      </c>
      <c r="B801" s="3">
        <f t="shared" si="24"/>
        <v>2014</v>
      </c>
      <c r="C801" s="3">
        <f t="shared" si="25"/>
        <v>12</v>
      </c>
      <c r="D801" t="s">
        <v>485</v>
      </c>
      <c r="E801" t="s">
        <v>45</v>
      </c>
      <c r="F801" t="s">
        <v>18</v>
      </c>
      <c r="G801" t="s">
        <v>42</v>
      </c>
      <c r="H801" t="s">
        <v>1029</v>
      </c>
      <c r="I801" s="2">
        <v>3610.85</v>
      </c>
      <c r="J801" s="3">
        <v>12</v>
      </c>
      <c r="K801" s="2">
        <v>135.41</v>
      </c>
    </row>
    <row r="802" spans="1:11" x14ac:dyDescent="0.35">
      <c r="A802" s="1">
        <v>41985</v>
      </c>
      <c r="B802" s="3">
        <f t="shared" si="24"/>
        <v>2014</v>
      </c>
      <c r="C802" s="3">
        <f t="shared" si="25"/>
        <v>12</v>
      </c>
      <c r="D802" t="s">
        <v>485</v>
      </c>
      <c r="E802" t="s">
        <v>45</v>
      </c>
      <c r="F802" t="s">
        <v>18</v>
      </c>
      <c r="G802" t="s">
        <v>237</v>
      </c>
      <c r="H802" t="s">
        <v>834</v>
      </c>
      <c r="I802" s="2">
        <v>254.97</v>
      </c>
      <c r="J802" s="3">
        <v>3</v>
      </c>
      <c r="K802" s="2">
        <v>12</v>
      </c>
    </row>
    <row r="803" spans="1:11" x14ac:dyDescent="0.35">
      <c r="A803" s="1">
        <v>41985</v>
      </c>
      <c r="B803" s="3">
        <f t="shared" si="24"/>
        <v>2014</v>
      </c>
      <c r="C803" s="3">
        <f t="shared" si="25"/>
        <v>12</v>
      </c>
      <c r="D803" t="s">
        <v>412</v>
      </c>
      <c r="E803" t="s">
        <v>45</v>
      </c>
      <c r="F803" t="s">
        <v>18</v>
      </c>
      <c r="G803" t="s">
        <v>36</v>
      </c>
      <c r="H803" t="s">
        <v>1030</v>
      </c>
      <c r="I803" s="2">
        <v>43.31</v>
      </c>
      <c r="J803" s="3">
        <v>1</v>
      </c>
      <c r="K803" s="2">
        <v>4.33</v>
      </c>
    </row>
    <row r="804" spans="1:11" x14ac:dyDescent="0.35">
      <c r="A804" s="1">
        <v>41985</v>
      </c>
      <c r="B804" s="3">
        <f t="shared" si="24"/>
        <v>2014</v>
      </c>
      <c r="C804" s="3">
        <f t="shared" si="25"/>
        <v>12</v>
      </c>
      <c r="D804" t="s">
        <v>1031</v>
      </c>
      <c r="E804" t="s">
        <v>32</v>
      </c>
      <c r="F804" t="s">
        <v>28</v>
      </c>
      <c r="G804" t="s">
        <v>48</v>
      </c>
      <c r="H804" t="s">
        <v>1032</v>
      </c>
      <c r="I804" s="2">
        <v>210.39</v>
      </c>
      <c r="J804" s="3">
        <v>2</v>
      </c>
      <c r="K804" s="2">
        <v>-336.63</v>
      </c>
    </row>
    <row r="805" spans="1:11" x14ac:dyDescent="0.35">
      <c r="A805" s="1">
        <v>41985</v>
      </c>
      <c r="B805" s="3">
        <f t="shared" si="24"/>
        <v>2014</v>
      </c>
      <c r="C805" s="3">
        <f t="shared" si="25"/>
        <v>12</v>
      </c>
      <c r="D805" t="s">
        <v>1033</v>
      </c>
      <c r="E805" t="s">
        <v>45</v>
      </c>
      <c r="F805" t="s">
        <v>18</v>
      </c>
      <c r="G805" t="s">
        <v>36</v>
      </c>
      <c r="H805" t="s">
        <v>1034</v>
      </c>
      <c r="I805" s="2">
        <v>12.54</v>
      </c>
      <c r="J805" s="3">
        <v>3</v>
      </c>
      <c r="K805" s="2">
        <v>4.51</v>
      </c>
    </row>
    <row r="806" spans="1:11" x14ac:dyDescent="0.35">
      <c r="A806" s="1">
        <v>41985</v>
      </c>
      <c r="B806" s="3">
        <f t="shared" si="24"/>
        <v>2014</v>
      </c>
      <c r="C806" s="3">
        <f t="shared" si="25"/>
        <v>12</v>
      </c>
      <c r="D806" t="s">
        <v>1033</v>
      </c>
      <c r="E806" t="s">
        <v>45</v>
      </c>
      <c r="F806" t="s">
        <v>28</v>
      </c>
      <c r="G806" t="s">
        <v>38</v>
      </c>
      <c r="H806" t="s">
        <v>1035</v>
      </c>
      <c r="I806" s="2">
        <v>8.94</v>
      </c>
      <c r="J806" s="3">
        <v>3</v>
      </c>
      <c r="K806" s="2">
        <v>0.63</v>
      </c>
    </row>
    <row r="807" spans="1:11" x14ac:dyDescent="0.35">
      <c r="A807" s="1">
        <v>41985</v>
      </c>
      <c r="B807" s="3">
        <f t="shared" si="24"/>
        <v>2014</v>
      </c>
      <c r="C807" s="3">
        <f t="shared" si="25"/>
        <v>12</v>
      </c>
      <c r="D807" t="s">
        <v>1033</v>
      </c>
      <c r="E807" t="s">
        <v>45</v>
      </c>
      <c r="F807" t="s">
        <v>18</v>
      </c>
      <c r="G807" t="s">
        <v>36</v>
      </c>
      <c r="H807" t="s">
        <v>1036</v>
      </c>
      <c r="I807" s="2">
        <v>9.24</v>
      </c>
      <c r="J807" s="3">
        <v>3</v>
      </c>
      <c r="K807" s="2">
        <v>4.4400000000000004</v>
      </c>
    </row>
    <row r="808" spans="1:11" x14ac:dyDescent="0.35">
      <c r="A808" s="1">
        <v>41985</v>
      </c>
      <c r="B808" s="3">
        <f t="shared" si="24"/>
        <v>2014</v>
      </c>
      <c r="C808" s="3">
        <f t="shared" si="25"/>
        <v>12</v>
      </c>
      <c r="D808" t="s">
        <v>1037</v>
      </c>
      <c r="E808" t="s">
        <v>77</v>
      </c>
      <c r="F808" t="s">
        <v>28</v>
      </c>
      <c r="G808" t="s">
        <v>158</v>
      </c>
      <c r="H808" t="s">
        <v>159</v>
      </c>
      <c r="I808" s="2">
        <v>23.47</v>
      </c>
      <c r="J808" s="3">
        <v>3</v>
      </c>
      <c r="K808" s="2">
        <v>7.63</v>
      </c>
    </row>
    <row r="809" spans="1:11" x14ac:dyDescent="0.35">
      <c r="A809" s="1">
        <v>42064</v>
      </c>
      <c r="B809" s="3">
        <f t="shared" si="24"/>
        <v>2015</v>
      </c>
      <c r="C809" s="3">
        <f t="shared" si="25"/>
        <v>3</v>
      </c>
      <c r="D809" t="s">
        <v>1038</v>
      </c>
      <c r="E809" t="s">
        <v>165</v>
      </c>
      <c r="F809" t="s">
        <v>28</v>
      </c>
      <c r="G809" t="s">
        <v>48</v>
      </c>
      <c r="H809" t="s">
        <v>1039</v>
      </c>
      <c r="I809" s="2">
        <v>58.72</v>
      </c>
      <c r="J809" s="3">
        <v>4</v>
      </c>
      <c r="K809" s="2">
        <v>27.01</v>
      </c>
    </row>
    <row r="810" spans="1:11" x14ac:dyDescent="0.35">
      <c r="A810" s="1">
        <v>42064</v>
      </c>
      <c r="B810" s="3">
        <f t="shared" si="24"/>
        <v>2015</v>
      </c>
      <c r="C810" s="3">
        <f t="shared" si="25"/>
        <v>3</v>
      </c>
      <c r="D810" t="s">
        <v>1040</v>
      </c>
      <c r="E810" t="s">
        <v>45</v>
      </c>
      <c r="F810" t="s">
        <v>13</v>
      </c>
      <c r="G810" t="s">
        <v>23</v>
      </c>
      <c r="H810" t="s">
        <v>761</v>
      </c>
      <c r="I810" s="2">
        <v>15.98</v>
      </c>
      <c r="J810" s="3">
        <v>2</v>
      </c>
      <c r="K810" s="2">
        <v>1.2</v>
      </c>
    </row>
    <row r="811" spans="1:11" x14ac:dyDescent="0.35">
      <c r="A811" s="1">
        <v>42064</v>
      </c>
      <c r="B811" s="3">
        <f t="shared" si="24"/>
        <v>2015</v>
      </c>
      <c r="C811" s="3">
        <f t="shared" si="25"/>
        <v>3</v>
      </c>
      <c r="D811" t="s">
        <v>1040</v>
      </c>
      <c r="E811" t="s">
        <v>45</v>
      </c>
      <c r="F811" t="s">
        <v>18</v>
      </c>
      <c r="G811" t="s">
        <v>19</v>
      </c>
      <c r="H811" t="s">
        <v>1041</v>
      </c>
      <c r="I811" s="2">
        <v>184.75</v>
      </c>
      <c r="J811" s="3">
        <v>3</v>
      </c>
      <c r="K811" s="2">
        <v>-20.78</v>
      </c>
    </row>
    <row r="812" spans="1:11" x14ac:dyDescent="0.35">
      <c r="A812" s="1">
        <v>42064</v>
      </c>
      <c r="B812" s="3">
        <f t="shared" si="24"/>
        <v>2015</v>
      </c>
      <c r="C812" s="3">
        <f t="shared" si="25"/>
        <v>3</v>
      </c>
      <c r="D812" t="s">
        <v>135</v>
      </c>
      <c r="E812" t="s">
        <v>89</v>
      </c>
      <c r="F812" t="s">
        <v>28</v>
      </c>
      <c r="G812" t="s">
        <v>58</v>
      </c>
      <c r="H812" t="s">
        <v>1042</v>
      </c>
      <c r="I812" s="2">
        <v>3.55</v>
      </c>
      <c r="J812" s="3">
        <v>2</v>
      </c>
      <c r="K812" s="2">
        <v>0.44</v>
      </c>
    </row>
    <row r="813" spans="1:11" x14ac:dyDescent="0.35">
      <c r="A813" s="1">
        <v>42064</v>
      </c>
      <c r="B813" s="3">
        <f t="shared" si="24"/>
        <v>2015</v>
      </c>
      <c r="C813" s="3">
        <f t="shared" si="25"/>
        <v>3</v>
      </c>
      <c r="D813" t="s">
        <v>601</v>
      </c>
      <c r="E813" t="s">
        <v>32</v>
      </c>
      <c r="F813" t="s">
        <v>28</v>
      </c>
      <c r="G813" t="s">
        <v>64</v>
      </c>
      <c r="H813" t="s">
        <v>1043</v>
      </c>
      <c r="I813" s="2">
        <v>55.33</v>
      </c>
      <c r="J813" s="3">
        <v>2</v>
      </c>
      <c r="K813" s="2">
        <v>6.22</v>
      </c>
    </row>
    <row r="814" spans="1:11" x14ac:dyDescent="0.35">
      <c r="A814" s="1">
        <v>42064</v>
      </c>
      <c r="B814" s="3">
        <f t="shared" si="24"/>
        <v>2015</v>
      </c>
      <c r="C814" s="3">
        <f t="shared" si="25"/>
        <v>3</v>
      </c>
      <c r="D814" t="s">
        <v>601</v>
      </c>
      <c r="E814" t="s">
        <v>32</v>
      </c>
      <c r="F814" t="s">
        <v>18</v>
      </c>
      <c r="G814" t="s">
        <v>237</v>
      </c>
      <c r="H814" t="s">
        <v>1044</v>
      </c>
      <c r="I814" s="2">
        <v>1228</v>
      </c>
      <c r="J814" s="3">
        <v>6</v>
      </c>
      <c r="K814" s="2">
        <v>-36.119999999999997</v>
      </c>
    </row>
    <row r="815" spans="1:11" x14ac:dyDescent="0.35">
      <c r="A815" s="1">
        <v>42064</v>
      </c>
      <c r="B815" s="3">
        <f t="shared" si="24"/>
        <v>2015</v>
      </c>
      <c r="C815" s="3">
        <f t="shared" si="25"/>
        <v>3</v>
      </c>
      <c r="D815" t="s">
        <v>1045</v>
      </c>
      <c r="E815" t="s">
        <v>32</v>
      </c>
      <c r="F815" t="s">
        <v>13</v>
      </c>
      <c r="G815" t="s">
        <v>23</v>
      </c>
      <c r="H815" t="s">
        <v>1046</v>
      </c>
      <c r="I815" s="2">
        <v>95.84</v>
      </c>
      <c r="J815" s="3">
        <v>4</v>
      </c>
      <c r="K815" s="2">
        <v>34.74</v>
      </c>
    </row>
    <row r="816" spans="1:11" x14ac:dyDescent="0.35">
      <c r="A816" s="1">
        <v>42125</v>
      </c>
      <c r="B816" s="3">
        <f t="shared" si="24"/>
        <v>2015</v>
      </c>
      <c r="C816" s="3">
        <f t="shared" si="25"/>
        <v>5</v>
      </c>
      <c r="D816" t="s">
        <v>1047</v>
      </c>
      <c r="E816" t="s">
        <v>45</v>
      </c>
      <c r="F816" t="s">
        <v>13</v>
      </c>
      <c r="G816" t="s">
        <v>23</v>
      </c>
      <c r="H816" t="s">
        <v>1048</v>
      </c>
      <c r="I816" s="2">
        <v>88.75</v>
      </c>
      <c r="J816" s="3">
        <v>3</v>
      </c>
      <c r="K816" s="2">
        <v>11.09</v>
      </c>
    </row>
    <row r="817" spans="1:11" x14ac:dyDescent="0.35">
      <c r="A817" s="1">
        <v>42125</v>
      </c>
      <c r="B817" s="3">
        <f t="shared" si="24"/>
        <v>2015</v>
      </c>
      <c r="C817" s="3">
        <f t="shared" si="25"/>
        <v>5</v>
      </c>
      <c r="D817" t="s">
        <v>1049</v>
      </c>
      <c r="E817" t="s">
        <v>77</v>
      </c>
      <c r="F817" t="s">
        <v>18</v>
      </c>
      <c r="G817" t="s">
        <v>36</v>
      </c>
      <c r="H817" t="s">
        <v>37</v>
      </c>
      <c r="I817" s="2">
        <v>63.55</v>
      </c>
      <c r="J817" s="3">
        <v>3</v>
      </c>
      <c r="K817" s="2">
        <v>14.3</v>
      </c>
    </row>
    <row r="818" spans="1:11" x14ac:dyDescent="0.35">
      <c r="A818" s="1">
        <v>42125</v>
      </c>
      <c r="B818" s="3">
        <f t="shared" si="24"/>
        <v>2015</v>
      </c>
      <c r="C818" s="3">
        <f t="shared" si="25"/>
        <v>5</v>
      </c>
      <c r="D818" t="s">
        <v>1049</v>
      </c>
      <c r="E818" t="s">
        <v>77</v>
      </c>
      <c r="F818" t="s">
        <v>28</v>
      </c>
      <c r="G818" t="s">
        <v>215</v>
      </c>
      <c r="H818" t="s">
        <v>1050</v>
      </c>
      <c r="I818" s="2">
        <v>41.38</v>
      </c>
      <c r="J818" s="3">
        <v>3</v>
      </c>
      <c r="K818" s="2">
        <v>4.6500000000000004</v>
      </c>
    </row>
    <row r="819" spans="1:11" x14ac:dyDescent="0.35">
      <c r="A819" s="1">
        <v>42125</v>
      </c>
      <c r="B819" s="3">
        <f t="shared" si="24"/>
        <v>2015</v>
      </c>
      <c r="C819" s="3">
        <f t="shared" si="25"/>
        <v>5</v>
      </c>
      <c r="D819" t="s">
        <v>1049</v>
      </c>
      <c r="E819" t="s">
        <v>77</v>
      </c>
      <c r="F819" t="s">
        <v>28</v>
      </c>
      <c r="G819" t="s">
        <v>64</v>
      </c>
      <c r="H819" t="s">
        <v>1051</v>
      </c>
      <c r="I819" s="2">
        <v>172.7</v>
      </c>
      <c r="J819" s="3">
        <v>6</v>
      </c>
      <c r="K819" s="2">
        <v>10.79</v>
      </c>
    </row>
    <row r="820" spans="1:11" x14ac:dyDescent="0.35">
      <c r="A820" s="1">
        <v>42125</v>
      </c>
      <c r="B820" s="3">
        <f t="shared" si="24"/>
        <v>2015</v>
      </c>
      <c r="C820" s="3">
        <f t="shared" si="25"/>
        <v>5</v>
      </c>
      <c r="D820" t="s">
        <v>222</v>
      </c>
      <c r="E820" t="s">
        <v>45</v>
      </c>
      <c r="F820" t="s">
        <v>28</v>
      </c>
      <c r="G820" t="s">
        <v>48</v>
      </c>
      <c r="H820" t="s">
        <v>1052</v>
      </c>
      <c r="I820" s="2">
        <v>12.18</v>
      </c>
      <c r="J820" s="3">
        <v>1</v>
      </c>
      <c r="K820" s="2">
        <v>4.41</v>
      </c>
    </row>
    <row r="821" spans="1:11" x14ac:dyDescent="0.35">
      <c r="A821" s="1">
        <v>42125</v>
      </c>
      <c r="B821" s="3">
        <f t="shared" si="24"/>
        <v>2015</v>
      </c>
      <c r="C821" s="3">
        <f t="shared" si="25"/>
        <v>5</v>
      </c>
      <c r="D821" t="s">
        <v>222</v>
      </c>
      <c r="E821" t="s">
        <v>45</v>
      </c>
      <c r="F821" t="s">
        <v>28</v>
      </c>
      <c r="G821" t="s">
        <v>38</v>
      </c>
      <c r="H821" t="s">
        <v>902</v>
      </c>
      <c r="I821" s="2">
        <v>37.32</v>
      </c>
      <c r="J821" s="3">
        <v>3</v>
      </c>
      <c r="K821" s="2">
        <v>10.45</v>
      </c>
    </row>
    <row r="822" spans="1:11" x14ac:dyDescent="0.35">
      <c r="A822" s="1">
        <v>42125</v>
      </c>
      <c r="B822" s="3">
        <f t="shared" si="24"/>
        <v>2015</v>
      </c>
      <c r="C822" s="3">
        <f t="shared" si="25"/>
        <v>5</v>
      </c>
      <c r="D822" t="s">
        <v>222</v>
      </c>
      <c r="E822" t="s">
        <v>45</v>
      </c>
      <c r="F822" t="s">
        <v>28</v>
      </c>
      <c r="G822" t="s">
        <v>215</v>
      </c>
      <c r="H822" t="s">
        <v>1053</v>
      </c>
      <c r="I822" s="2">
        <v>35.06</v>
      </c>
      <c r="J822" s="3">
        <v>2</v>
      </c>
      <c r="K822" s="2">
        <v>10.52</v>
      </c>
    </row>
    <row r="823" spans="1:11" x14ac:dyDescent="0.35">
      <c r="A823" s="1">
        <v>42156</v>
      </c>
      <c r="B823" s="3">
        <f t="shared" si="24"/>
        <v>2015</v>
      </c>
      <c r="C823" s="3">
        <f t="shared" si="25"/>
        <v>6</v>
      </c>
      <c r="D823" t="s">
        <v>274</v>
      </c>
      <c r="E823" t="s">
        <v>32</v>
      </c>
      <c r="F823" t="s">
        <v>28</v>
      </c>
      <c r="G823" t="s">
        <v>48</v>
      </c>
      <c r="H823" t="s">
        <v>1054</v>
      </c>
      <c r="I823" s="2">
        <v>5.73</v>
      </c>
      <c r="J823" s="3">
        <v>8</v>
      </c>
      <c r="K823" s="2">
        <v>-9.16</v>
      </c>
    </row>
    <row r="824" spans="1:11" x14ac:dyDescent="0.35">
      <c r="A824" s="1">
        <v>42156</v>
      </c>
      <c r="B824" s="3">
        <f t="shared" si="24"/>
        <v>2015</v>
      </c>
      <c r="C824" s="3">
        <f t="shared" si="25"/>
        <v>6</v>
      </c>
      <c r="D824" t="s">
        <v>274</v>
      </c>
      <c r="E824" t="s">
        <v>32</v>
      </c>
      <c r="F824" t="s">
        <v>28</v>
      </c>
      <c r="G824" t="s">
        <v>29</v>
      </c>
      <c r="H824" t="s">
        <v>1055</v>
      </c>
      <c r="I824" s="2">
        <v>42.24</v>
      </c>
      <c r="J824" s="3">
        <v>10</v>
      </c>
      <c r="K824" s="2">
        <v>13.2</v>
      </c>
    </row>
    <row r="825" spans="1:11" x14ac:dyDescent="0.35">
      <c r="A825" s="1">
        <v>42156</v>
      </c>
      <c r="B825" s="3">
        <f t="shared" si="24"/>
        <v>2015</v>
      </c>
      <c r="C825" s="3">
        <f t="shared" si="25"/>
        <v>6</v>
      </c>
      <c r="D825" t="s">
        <v>262</v>
      </c>
      <c r="E825" t="s">
        <v>71</v>
      </c>
      <c r="F825" t="s">
        <v>13</v>
      </c>
      <c r="G825" t="s">
        <v>23</v>
      </c>
      <c r="H825" t="s">
        <v>224</v>
      </c>
      <c r="I825" s="2">
        <v>299.98</v>
      </c>
      <c r="J825" s="3">
        <v>2</v>
      </c>
      <c r="K825" s="2">
        <v>83.99</v>
      </c>
    </row>
    <row r="826" spans="1:11" x14ac:dyDescent="0.35">
      <c r="A826" s="1">
        <v>42156</v>
      </c>
      <c r="B826" s="3">
        <f t="shared" si="24"/>
        <v>2015</v>
      </c>
      <c r="C826" s="3">
        <f t="shared" si="25"/>
        <v>6</v>
      </c>
      <c r="D826" t="s">
        <v>262</v>
      </c>
      <c r="E826" t="s">
        <v>71</v>
      </c>
      <c r="F826" t="s">
        <v>28</v>
      </c>
      <c r="G826" t="s">
        <v>48</v>
      </c>
      <c r="H826" t="s">
        <v>600</v>
      </c>
      <c r="I826" s="2">
        <v>403.68</v>
      </c>
      <c r="J826" s="3">
        <v>6</v>
      </c>
      <c r="K826" s="2">
        <v>181.66</v>
      </c>
    </row>
    <row r="827" spans="1:11" x14ac:dyDescent="0.35">
      <c r="A827" s="1">
        <v>42156</v>
      </c>
      <c r="B827" s="3">
        <f t="shared" si="24"/>
        <v>2015</v>
      </c>
      <c r="C827" s="3">
        <f t="shared" si="25"/>
        <v>6</v>
      </c>
      <c r="D827" t="s">
        <v>262</v>
      </c>
      <c r="E827" t="s">
        <v>71</v>
      </c>
      <c r="F827" t="s">
        <v>13</v>
      </c>
      <c r="G827" t="s">
        <v>23</v>
      </c>
      <c r="H827" t="s">
        <v>1056</v>
      </c>
      <c r="I827" s="2">
        <v>41.9</v>
      </c>
      <c r="J827" s="3">
        <v>2</v>
      </c>
      <c r="K827" s="2">
        <v>11.73</v>
      </c>
    </row>
    <row r="828" spans="1:11" x14ac:dyDescent="0.35">
      <c r="A828" s="1">
        <v>42156</v>
      </c>
      <c r="B828" s="3">
        <f t="shared" si="24"/>
        <v>2015</v>
      </c>
      <c r="C828" s="3">
        <f t="shared" si="25"/>
        <v>6</v>
      </c>
      <c r="D828" t="s">
        <v>262</v>
      </c>
      <c r="E828" t="s">
        <v>71</v>
      </c>
      <c r="F828" t="s">
        <v>28</v>
      </c>
      <c r="G828" t="s">
        <v>46</v>
      </c>
      <c r="H828" t="s">
        <v>1057</v>
      </c>
      <c r="I828" s="2">
        <v>28.91</v>
      </c>
      <c r="J828" s="3">
        <v>7</v>
      </c>
      <c r="K828" s="2">
        <v>13.3</v>
      </c>
    </row>
    <row r="829" spans="1:11" x14ac:dyDescent="0.35">
      <c r="A829" s="1">
        <v>42156</v>
      </c>
      <c r="B829" s="3">
        <f t="shared" si="24"/>
        <v>2015</v>
      </c>
      <c r="C829" s="3">
        <f t="shared" si="25"/>
        <v>6</v>
      </c>
      <c r="D829" t="s">
        <v>1058</v>
      </c>
      <c r="E829" t="s">
        <v>45</v>
      </c>
      <c r="F829" t="s">
        <v>28</v>
      </c>
      <c r="G829" t="s">
        <v>29</v>
      </c>
      <c r="H829" t="s">
        <v>212</v>
      </c>
      <c r="I829" s="2">
        <v>11.76</v>
      </c>
      <c r="J829" s="3">
        <v>2</v>
      </c>
      <c r="K829" s="2">
        <v>5.76</v>
      </c>
    </row>
    <row r="830" spans="1:11" x14ac:dyDescent="0.35">
      <c r="A830" s="1">
        <v>42217</v>
      </c>
      <c r="B830" s="3">
        <f t="shared" si="24"/>
        <v>2015</v>
      </c>
      <c r="C830" s="3">
        <f t="shared" si="25"/>
        <v>8</v>
      </c>
      <c r="D830" t="s">
        <v>671</v>
      </c>
      <c r="E830" t="s">
        <v>45</v>
      </c>
      <c r="F830" t="s">
        <v>28</v>
      </c>
      <c r="G830" t="s">
        <v>64</v>
      </c>
      <c r="H830" t="s">
        <v>337</v>
      </c>
      <c r="I830" s="2">
        <v>6.72</v>
      </c>
      <c r="J830" s="3">
        <v>4</v>
      </c>
      <c r="K830" s="2">
        <v>3.36</v>
      </c>
    </row>
    <row r="831" spans="1:11" x14ac:dyDescent="0.35">
      <c r="A831" s="1">
        <v>42217</v>
      </c>
      <c r="B831" s="3">
        <f t="shared" si="24"/>
        <v>2015</v>
      </c>
      <c r="C831" s="3">
        <f t="shared" si="25"/>
        <v>8</v>
      </c>
      <c r="D831" t="s">
        <v>671</v>
      </c>
      <c r="E831" t="s">
        <v>45</v>
      </c>
      <c r="F831" t="s">
        <v>18</v>
      </c>
      <c r="G831" t="s">
        <v>42</v>
      </c>
      <c r="H831" t="s">
        <v>685</v>
      </c>
      <c r="I831" s="2">
        <v>1004.98</v>
      </c>
      <c r="J831" s="3">
        <v>6</v>
      </c>
      <c r="K831" s="2">
        <v>-175.87</v>
      </c>
    </row>
    <row r="832" spans="1:11" x14ac:dyDescent="0.35">
      <c r="A832" s="1">
        <v>42248</v>
      </c>
      <c r="B832" s="3">
        <f t="shared" si="24"/>
        <v>2015</v>
      </c>
      <c r="C832" s="3">
        <f t="shared" si="25"/>
        <v>9</v>
      </c>
      <c r="D832" t="s">
        <v>1059</v>
      </c>
      <c r="E832" t="s">
        <v>45</v>
      </c>
      <c r="F832" t="s">
        <v>28</v>
      </c>
      <c r="G832" t="s">
        <v>48</v>
      </c>
      <c r="H832" t="s">
        <v>454</v>
      </c>
      <c r="I832" s="2">
        <v>4.75</v>
      </c>
      <c r="J832" s="3">
        <v>1</v>
      </c>
      <c r="K832" s="2">
        <v>1.6</v>
      </c>
    </row>
    <row r="833" spans="1:11" x14ac:dyDescent="0.35">
      <c r="A833" s="1">
        <v>42248</v>
      </c>
      <c r="B833" s="3">
        <f t="shared" si="24"/>
        <v>2015</v>
      </c>
      <c r="C833" s="3">
        <f t="shared" si="25"/>
        <v>9</v>
      </c>
      <c r="D833" t="s">
        <v>1059</v>
      </c>
      <c r="E833" t="s">
        <v>45</v>
      </c>
      <c r="F833" t="s">
        <v>13</v>
      </c>
      <c r="G833" t="s">
        <v>143</v>
      </c>
      <c r="H833" t="s">
        <v>677</v>
      </c>
      <c r="I833" s="2">
        <v>959.98</v>
      </c>
      <c r="J833" s="3">
        <v>2</v>
      </c>
      <c r="K833" s="2">
        <v>335.99</v>
      </c>
    </row>
    <row r="834" spans="1:11" x14ac:dyDescent="0.35">
      <c r="A834" s="1">
        <v>42248</v>
      </c>
      <c r="B834" s="3">
        <f t="shared" ref="B834:B897" si="26">YEAR(A834)</f>
        <v>2015</v>
      </c>
      <c r="C834" s="3">
        <f t="shared" ref="C834:C897" si="27">MONTH(A834)</f>
        <v>9</v>
      </c>
      <c r="D834" t="s">
        <v>1059</v>
      </c>
      <c r="E834" t="s">
        <v>45</v>
      </c>
      <c r="F834" t="s">
        <v>28</v>
      </c>
      <c r="G834" t="s">
        <v>48</v>
      </c>
      <c r="H834" t="s">
        <v>360</v>
      </c>
      <c r="I834" s="2">
        <v>14.37</v>
      </c>
      <c r="J834" s="3">
        <v>4</v>
      </c>
      <c r="K834" s="2">
        <v>4.49</v>
      </c>
    </row>
    <row r="835" spans="1:11" x14ac:dyDescent="0.35">
      <c r="A835" s="1">
        <v>42248</v>
      </c>
      <c r="B835" s="3">
        <f t="shared" si="26"/>
        <v>2015</v>
      </c>
      <c r="C835" s="3">
        <f t="shared" si="27"/>
        <v>9</v>
      </c>
      <c r="D835" t="s">
        <v>1060</v>
      </c>
      <c r="E835" t="s">
        <v>51</v>
      </c>
      <c r="F835" t="s">
        <v>28</v>
      </c>
      <c r="G835" t="s">
        <v>48</v>
      </c>
      <c r="H835" t="s">
        <v>1061</v>
      </c>
      <c r="I835" s="2">
        <v>114.6</v>
      </c>
      <c r="J835" s="3">
        <v>5</v>
      </c>
      <c r="K835" s="2">
        <v>51.57</v>
      </c>
    </row>
    <row r="836" spans="1:11" x14ac:dyDescent="0.35">
      <c r="A836" s="1">
        <v>42248</v>
      </c>
      <c r="B836" s="3">
        <f t="shared" si="26"/>
        <v>2015</v>
      </c>
      <c r="C836" s="3">
        <f t="shared" si="27"/>
        <v>9</v>
      </c>
      <c r="D836" t="s">
        <v>1060</v>
      </c>
      <c r="E836" t="s">
        <v>51</v>
      </c>
      <c r="F836" t="s">
        <v>18</v>
      </c>
      <c r="G836" t="s">
        <v>19</v>
      </c>
      <c r="H836" t="s">
        <v>473</v>
      </c>
      <c r="I836" s="2">
        <v>60.74</v>
      </c>
      <c r="J836" s="3">
        <v>1</v>
      </c>
      <c r="K836" s="2">
        <v>15.19</v>
      </c>
    </row>
    <row r="837" spans="1:11" x14ac:dyDescent="0.35">
      <c r="A837" s="1">
        <v>42248</v>
      </c>
      <c r="B837" s="3">
        <f t="shared" si="26"/>
        <v>2015</v>
      </c>
      <c r="C837" s="3">
        <f t="shared" si="27"/>
        <v>9</v>
      </c>
      <c r="D837" t="s">
        <v>1060</v>
      </c>
      <c r="E837" t="s">
        <v>51</v>
      </c>
      <c r="F837" t="s">
        <v>18</v>
      </c>
      <c r="G837" t="s">
        <v>36</v>
      </c>
      <c r="H837" t="s">
        <v>1062</v>
      </c>
      <c r="I837" s="2">
        <v>124.36</v>
      </c>
      <c r="J837" s="3">
        <v>2</v>
      </c>
      <c r="K837" s="2">
        <v>27.36</v>
      </c>
    </row>
    <row r="838" spans="1:11" x14ac:dyDescent="0.35">
      <c r="A838" s="1">
        <v>42248</v>
      </c>
      <c r="B838" s="3">
        <f t="shared" si="26"/>
        <v>2015</v>
      </c>
      <c r="C838" s="3">
        <f t="shared" si="27"/>
        <v>9</v>
      </c>
      <c r="D838" t="s">
        <v>1060</v>
      </c>
      <c r="E838" t="s">
        <v>51</v>
      </c>
      <c r="F838" t="s">
        <v>28</v>
      </c>
      <c r="G838" t="s">
        <v>38</v>
      </c>
      <c r="H838" t="s">
        <v>231</v>
      </c>
      <c r="I838" s="2">
        <v>1088.76</v>
      </c>
      <c r="J838" s="3">
        <v>6</v>
      </c>
      <c r="K838" s="2">
        <v>315.74</v>
      </c>
    </row>
    <row r="839" spans="1:11" x14ac:dyDescent="0.35">
      <c r="A839" s="1">
        <v>42278</v>
      </c>
      <c r="B839" s="3">
        <f t="shared" si="26"/>
        <v>2015</v>
      </c>
      <c r="C839" s="3">
        <f t="shared" si="27"/>
        <v>10</v>
      </c>
      <c r="D839" t="s">
        <v>1063</v>
      </c>
      <c r="E839" t="s">
        <v>103</v>
      </c>
      <c r="F839" t="s">
        <v>28</v>
      </c>
      <c r="G839" t="s">
        <v>38</v>
      </c>
      <c r="H839" t="s">
        <v>408</v>
      </c>
      <c r="I839" s="2">
        <v>139.41999999999999</v>
      </c>
      <c r="J839" s="3">
        <v>4</v>
      </c>
      <c r="K839" s="2">
        <v>17.43</v>
      </c>
    </row>
    <row r="840" spans="1:11" x14ac:dyDescent="0.35">
      <c r="A840" s="1">
        <v>42278</v>
      </c>
      <c r="B840" s="3">
        <f t="shared" si="26"/>
        <v>2015</v>
      </c>
      <c r="C840" s="3">
        <f t="shared" si="27"/>
        <v>10</v>
      </c>
      <c r="D840" t="s">
        <v>1064</v>
      </c>
      <c r="E840" t="s">
        <v>51</v>
      </c>
      <c r="F840" t="s">
        <v>13</v>
      </c>
      <c r="G840" t="s">
        <v>23</v>
      </c>
      <c r="H840" t="s">
        <v>1065</v>
      </c>
      <c r="I840" s="2">
        <v>311.98</v>
      </c>
      <c r="J840" s="3">
        <v>2</v>
      </c>
      <c r="K840" s="2">
        <v>93.59</v>
      </c>
    </row>
    <row r="841" spans="1:11" x14ac:dyDescent="0.35">
      <c r="A841" s="1">
        <v>42278</v>
      </c>
      <c r="B841" s="3">
        <f t="shared" si="26"/>
        <v>2015</v>
      </c>
      <c r="C841" s="3">
        <f t="shared" si="27"/>
        <v>10</v>
      </c>
      <c r="D841" t="s">
        <v>1064</v>
      </c>
      <c r="E841" t="s">
        <v>51</v>
      </c>
      <c r="F841" t="s">
        <v>28</v>
      </c>
      <c r="G841" t="s">
        <v>48</v>
      </c>
      <c r="H841" t="s">
        <v>360</v>
      </c>
      <c r="I841" s="2">
        <v>22.45</v>
      </c>
      <c r="J841" s="3">
        <v>5</v>
      </c>
      <c r="K841" s="2">
        <v>10.33</v>
      </c>
    </row>
    <row r="842" spans="1:11" x14ac:dyDescent="0.35">
      <c r="A842" s="1">
        <v>42278</v>
      </c>
      <c r="B842" s="3">
        <f t="shared" si="26"/>
        <v>2015</v>
      </c>
      <c r="C842" s="3">
        <f t="shared" si="27"/>
        <v>10</v>
      </c>
      <c r="D842" t="s">
        <v>1066</v>
      </c>
      <c r="E842" t="s">
        <v>26</v>
      </c>
      <c r="F842" t="s">
        <v>28</v>
      </c>
      <c r="G842" t="s">
        <v>48</v>
      </c>
      <c r="H842" t="s">
        <v>1067</v>
      </c>
      <c r="I842" s="2">
        <v>2.99</v>
      </c>
      <c r="J842" s="3">
        <v>4</v>
      </c>
      <c r="K842" s="2">
        <v>-4.49</v>
      </c>
    </row>
    <row r="843" spans="1:11" x14ac:dyDescent="0.35">
      <c r="A843" s="1">
        <v>42278</v>
      </c>
      <c r="B843" s="3">
        <f t="shared" si="26"/>
        <v>2015</v>
      </c>
      <c r="C843" s="3">
        <f t="shared" si="27"/>
        <v>10</v>
      </c>
      <c r="D843" t="s">
        <v>1066</v>
      </c>
      <c r="E843" t="s">
        <v>26</v>
      </c>
      <c r="F843" t="s">
        <v>13</v>
      </c>
      <c r="G843" t="s">
        <v>14</v>
      </c>
      <c r="H843" t="s">
        <v>1068</v>
      </c>
      <c r="I843" s="2">
        <v>108.77</v>
      </c>
      <c r="J843" s="3">
        <v>4</v>
      </c>
      <c r="K843" s="2">
        <v>2.72</v>
      </c>
    </row>
    <row r="844" spans="1:11" x14ac:dyDescent="0.35">
      <c r="A844" s="1">
        <v>42278</v>
      </c>
      <c r="B844" s="3">
        <f t="shared" si="26"/>
        <v>2015</v>
      </c>
      <c r="C844" s="3">
        <f t="shared" si="27"/>
        <v>10</v>
      </c>
      <c r="D844" t="s">
        <v>1066</v>
      </c>
      <c r="E844" t="s">
        <v>107</v>
      </c>
      <c r="F844" t="s">
        <v>13</v>
      </c>
      <c r="G844" t="s">
        <v>23</v>
      </c>
      <c r="H844" t="s">
        <v>836</v>
      </c>
      <c r="I844" s="2">
        <v>572.79999999999995</v>
      </c>
      <c r="J844" s="3">
        <v>2</v>
      </c>
      <c r="K844" s="2">
        <v>50.12</v>
      </c>
    </row>
    <row r="845" spans="1:11" x14ac:dyDescent="0.35">
      <c r="A845" s="1">
        <v>42309</v>
      </c>
      <c r="B845" s="3">
        <f t="shared" si="26"/>
        <v>2015</v>
      </c>
      <c r="C845" s="3">
        <f t="shared" si="27"/>
        <v>11</v>
      </c>
      <c r="D845" t="s">
        <v>611</v>
      </c>
      <c r="E845" t="s">
        <v>89</v>
      </c>
      <c r="F845" t="s">
        <v>13</v>
      </c>
      <c r="G845" t="s">
        <v>14</v>
      </c>
      <c r="H845" t="s">
        <v>1069</v>
      </c>
      <c r="I845" s="2">
        <v>35.36</v>
      </c>
      <c r="J845" s="3">
        <v>2</v>
      </c>
      <c r="K845" s="2">
        <v>-3.09</v>
      </c>
    </row>
    <row r="846" spans="1:11" x14ac:dyDescent="0.35">
      <c r="A846" s="1">
        <v>42309</v>
      </c>
      <c r="B846" s="3">
        <f t="shared" si="26"/>
        <v>2015</v>
      </c>
      <c r="C846" s="3">
        <f t="shared" si="27"/>
        <v>11</v>
      </c>
      <c r="D846" t="s">
        <v>611</v>
      </c>
      <c r="E846" t="s">
        <v>89</v>
      </c>
      <c r="F846" t="s">
        <v>28</v>
      </c>
      <c r="G846" t="s">
        <v>33</v>
      </c>
      <c r="H846" t="s">
        <v>1070</v>
      </c>
      <c r="I846" s="2">
        <v>3.17</v>
      </c>
      <c r="J846" s="3">
        <v>2</v>
      </c>
      <c r="K846" s="2">
        <v>-0.71</v>
      </c>
    </row>
    <row r="847" spans="1:11" x14ac:dyDescent="0.35">
      <c r="A847" s="1">
        <v>42309</v>
      </c>
      <c r="B847" s="3">
        <f t="shared" si="26"/>
        <v>2015</v>
      </c>
      <c r="C847" s="3">
        <f t="shared" si="27"/>
        <v>11</v>
      </c>
      <c r="D847" t="s">
        <v>70</v>
      </c>
      <c r="E847" t="s">
        <v>22</v>
      </c>
      <c r="F847" t="s">
        <v>13</v>
      </c>
      <c r="G847" t="s">
        <v>23</v>
      </c>
      <c r="H847" t="s">
        <v>1071</v>
      </c>
      <c r="I847" s="2">
        <v>4.95</v>
      </c>
      <c r="J847" s="3">
        <v>1</v>
      </c>
      <c r="K847" s="2">
        <v>1.34</v>
      </c>
    </row>
    <row r="848" spans="1:11" x14ac:dyDescent="0.35">
      <c r="A848" s="1">
        <v>42309</v>
      </c>
      <c r="B848" s="3">
        <f t="shared" si="26"/>
        <v>2015</v>
      </c>
      <c r="C848" s="3">
        <f t="shared" si="27"/>
        <v>11</v>
      </c>
      <c r="D848" t="s">
        <v>385</v>
      </c>
      <c r="E848" t="s">
        <v>22</v>
      </c>
      <c r="F848" t="s">
        <v>28</v>
      </c>
      <c r="G848" t="s">
        <v>29</v>
      </c>
      <c r="H848" t="s">
        <v>1072</v>
      </c>
      <c r="I848" s="2">
        <v>13.52</v>
      </c>
      <c r="J848" s="3">
        <v>4</v>
      </c>
      <c r="K848" s="2">
        <v>6.22</v>
      </c>
    </row>
    <row r="849" spans="1:11" x14ac:dyDescent="0.35">
      <c r="A849" s="1">
        <v>42309</v>
      </c>
      <c r="B849" s="3">
        <f t="shared" si="26"/>
        <v>2015</v>
      </c>
      <c r="C849" s="3">
        <f t="shared" si="27"/>
        <v>11</v>
      </c>
      <c r="D849" t="s">
        <v>385</v>
      </c>
      <c r="E849" t="s">
        <v>22</v>
      </c>
      <c r="F849" t="s">
        <v>18</v>
      </c>
      <c r="G849" t="s">
        <v>36</v>
      </c>
      <c r="H849" t="s">
        <v>827</v>
      </c>
      <c r="I849" s="2">
        <v>259.7</v>
      </c>
      <c r="J849" s="3">
        <v>5</v>
      </c>
      <c r="K849" s="2">
        <v>106.48</v>
      </c>
    </row>
    <row r="850" spans="1:11" x14ac:dyDescent="0.35">
      <c r="A850" s="1">
        <v>42309</v>
      </c>
      <c r="B850" s="3">
        <f t="shared" si="26"/>
        <v>2015</v>
      </c>
      <c r="C850" s="3">
        <f t="shared" si="27"/>
        <v>11</v>
      </c>
      <c r="D850" t="s">
        <v>385</v>
      </c>
      <c r="E850" t="s">
        <v>22</v>
      </c>
      <c r="F850" t="s">
        <v>13</v>
      </c>
      <c r="G850" t="s">
        <v>23</v>
      </c>
      <c r="H850" t="s">
        <v>1073</v>
      </c>
      <c r="I850" s="2">
        <v>42.95</v>
      </c>
      <c r="J850" s="3">
        <v>1</v>
      </c>
      <c r="K850" s="2">
        <v>1.29</v>
      </c>
    </row>
    <row r="851" spans="1:11" x14ac:dyDescent="0.35">
      <c r="A851" s="1">
        <v>42309</v>
      </c>
      <c r="B851" s="3">
        <f t="shared" si="26"/>
        <v>2015</v>
      </c>
      <c r="C851" s="3">
        <f t="shared" si="27"/>
        <v>11</v>
      </c>
      <c r="D851" t="s">
        <v>385</v>
      </c>
      <c r="E851" t="s">
        <v>22</v>
      </c>
      <c r="F851" t="s">
        <v>13</v>
      </c>
      <c r="G851" t="s">
        <v>14</v>
      </c>
      <c r="H851" t="s">
        <v>1074</v>
      </c>
      <c r="I851" s="2">
        <v>1399.93</v>
      </c>
      <c r="J851" s="3">
        <v>7</v>
      </c>
      <c r="K851" s="2">
        <v>601.97</v>
      </c>
    </row>
    <row r="852" spans="1:11" x14ac:dyDescent="0.35">
      <c r="A852" s="1">
        <v>42309</v>
      </c>
      <c r="B852" s="3">
        <f t="shared" si="26"/>
        <v>2015</v>
      </c>
      <c r="C852" s="3">
        <f t="shared" si="27"/>
        <v>11</v>
      </c>
      <c r="D852" t="s">
        <v>385</v>
      </c>
      <c r="E852" t="s">
        <v>22</v>
      </c>
      <c r="F852" t="s">
        <v>13</v>
      </c>
      <c r="G852" t="s">
        <v>23</v>
      </c>
      <c r="H852" t="s">
        <v>907</v>
      </c>
      <c r="I852" s="2">
        <v>503.96</v>
      </c>
      <c r="J852" s="3">
        <v>4</v>
      </c>
      <c r="K852" s="2">
        <v>125.99</v>
      </c>
    </row>
    <row r="853" spans="1:11" x14ac:dyDescent="0.35">
      <c r="A853" s="1">
        <v>42309</v>
      </c>
      <c r="B853" s="3">
        <f t="shared" si="26"/>
        <v>2015</v>
      </c>
      <c r="C853" s="3">
        <f t="shared" si="27"/>
        <v>11</v>
      </c>
      <c r="D853" t="s">
        <v>879</v>
      </c>
      <c r="E853" t="s">
        <v>107</v>
      </c>
      <c r="F853" t="s">
        <v>28</v>
      </c>
      <c r="G853" t="s">
        <v>64</v>
      </c>
      <c r="H853" t="s">
        <v>1075</v>
      </c>
      <c r="I853" s="2">
        <v>7.88</v>
      </c>
      <c r="J853" s="3">
        <v>1</v>
      </c>
      <c r="K853" s="2">
        <v>1.77</v>
      </c>
    </row>
    <row r="854" spans="1:11" x14ac:dyDescent="0.35">
      <c r="A854" s="1">
        <v>42309</v>
      </c>
      <c r="B854" s="3">
        <f t="shared" si="26"/>
        <v>2015</v>
      </c>
      <c r="C854" s="3">
        <f t="shared" si="27"/>
        <v>11</v>
      </c>
      <c r="D854" t="s">
        <v>410</v>
      </c>
      <c r="E854" t="s">
        <v>67</v>
      </c>
      <c r="F854" t="s">
        <v>18</v>
      </c>
      <c r="G854" t="s">
        <v>42</v>
      </c>
      <c r="H854" t="s">
        <v>1076</v>
      </c>
      <c r="I854" s="2">
        <v>301.95999999999998</v>
      </c>
      <c r="J854" s="3">
        <v>2</v>
      </c>
      <c r="K854" s="2">
        <v>45.29</v>
      </c>
    </row>
    <row r="855" spans="1:11" x14ac:dyDescent="0.35">
      <c r="A855" s="1">
        <v>42309</v>
      </c>
      <c r="B855" s="3">
        <f t="shared" si="26"/>
        <v>2015</v>
      </c>
      <c r="C855" s="3">
        <f t="shared" si="27"/>
        <v>11</v>
      </c>
      <c r="D855" t="s">
        <v>1077</v>
      </c>
      <c r="E855" t="s">
        <v>22</v>
      </c>
      <c r="F855" t="s">
        <v>18</v>
      </c>
      <c r="G855" t="s">
        <v>19</v>
      </c>
      <c r="H855" t="s">
        <v>1078</v>
      </c>
      <c r="I855" s="2">
        <v>327.56</v>
      </c>
      <c r="J855" s="3">
        <v>4</v>
      </c>
      <c r="K855" s="2">
        <v>21.84</v>
      </c>
    </row>
    <row r="856" spans="1:11" x14ac:dyDescent="0.35">
      <c r="A856" s="1">
        <v>42309</v>
      </c>
      <c r="B856" s="3">
        <f t="shared" si="26"/>
        <v>2015</v>
      </c>
      <c r="C856" s="3">
        <f t="shared" si="27"/>
        <v>11</v>
      </c>
      <c r="D856" t="s">
        <v>1079</v>
      </c>
      <c r="E856" t="s">
        <v>22</v>
      </c>
      <c r="F856" t="s">
        <v>18</v>
      </c>
      <c r="G856" t="s">
        <v>19</v>
      </c>
      <c r="H856" t="s">
        <v>1080</v>
      </c>
      <c r="I856" s="2">
        <v>205.16</v>
      </c>
      <c r="J856" s="3">
        <v>2</v>
      </c>
      <c r="K856" s="2">
        <v>13.68</v>
      </c>
    </row>
    <row r="857" spans="1:11" x14ac:dyDescent="0.35">
      <c r="A857" s="1">
        <v>42339</v>
      </c>
      <c r="B857" s="3">
        <f t="shared" si="26"/>
        <v>2015</v>
      </c>
      <c r="C857" s="3">
        <f t="shared" si="27"/>
        <v>12</v>
      </c>
      <c r="D857" t="s">
        <v>798</v>
      </c>
      <c r="E857" t="s">
        <v>17</v>
      </c>
      <c r="F857" t="s">
        <v>28</v>
      </c>
      <c r="G857" t="s">
        <v>48</v>
      </c>
      <c r="H857" t="s">
        <v>72</v>
      </c>
      <c r="I857" s="2">
        <v>55.42</v>
      </c>
      <c r="J857" s="3">
        <v>2</v>
      </c>
      <c r="K857" s="2">
        <v>19.399999999999999</v>
      </c>
    </row>
    <row r="858" spans="1:11" x14ac:dyDescent="0.35">
      <c r="A858" s="1">
        <v>42339</v>
      </c>
      <c r="B858" s="3">
        <f t="shared" si="26"/>
        <v>2015</v>
      </c>
      <c r="C858" s="3">
        <f t="shared" si="27"/>
        <v>12</v>
      </c>
      <c r="D858" t="s">
        <v>1081</v>
      </c>
      <c r="E858" t="s">
        <v>32</v>
      </c>
      <c r="F858" t="s">
        <v>18</v>
      </c>
      <c r="G858" t="s">
        <v>36</v>
      </c>
      <c r="H858" t="s">
        <v>1034</v>
      </c>
      <c r="I858" s="2">
        <v>6.69</v>
      </c>
      <c r="J858" s="3">
        <v>4</v>
      </c>
      <c r="K858" s="2">
        <v>-4.01</v>
      </c>
    </row>
    <row r="859" spans="1:11" x14ac:dyDescent="0.35">
      <c r="A859" s="1">
        <v>42339</v>
      </c>
      <c r="B859" s="3">
        <f t="shared" si="26"/>
        <v>2015</v>
      </c>
      <c r="C859" s="3">
        <f t="shared" si="27"/>
        <v>12</v>
      </c>
      <c r="D859" t="s">
        <v>1082</v>
      </c>
      <c r="E859" t="s">
        <v>17</v>
      </c>
      <c r="F859" t="s">
        <v>28</v>
      </c>
      <c r="G859" t="s">
        <v>64</v>
      </c>
      <c r="H859" t="s">
        <v>779</v>
      </c>
      <c r="I859" s="2">
        <v>13.9</v>
      </c>
      <c r="J859" s="3">
        <v>5</v>
      </c>
      <c r="K859" s="2">
        <v>5.56</v>
      </c>
    </row>
    <row r="860" spans="1:11" x14ac:dyDescent="0.35">
      <c r="A860" s="1">
        <v>42339</v>
      </c>
      <c r="B860" s="3">
        <f t="shared" si="26"/>
        <v>2015</v>
      </c>
      <c r="C860" s="3">
        <f t="shared" si="27"/>
        <v>12</v>
      </c>
      <c r="D860" t="s">
        <v>1083</v>
      </c>
      <c r="E860" t="s">
        <v>173</v>
      </c>
      <c r="F860" t="s">
        <v>28</v>
      </c>
      <c r="G860" t="s">
        <v>38</v>
      </c>
      <c r="H860" t="s">
        <v>812</v>
      </c>
      <c r="I860" s="2">
        <v>61.68</v>
      </c>
      <c r="J860" s="3">
        <v>4</v>
      </c>
      <c r="K860" s="2">
        <v>16.649999999999999</v>
      </c>
    </row>
    <row r="861" spans="1:11" x14ac:dyDescent="0.35">
      <c r="A861" s="1">
        <v>42339</v>
      </c>
      <c r="B861" s="3">
        <f t="shared" si="26"/>
        <v>2015</v>
      </c>
      <c r="C861" s="3">
        <f t="shared" si="27"/>
        <v>12</v>
      </c>
      <c r="D861" t="s">
        <v>1083</v>
      </c>
      <c r="E861" t="s">
        <v>173</v>
      </c>
      <c r="F861" t="s">
        <v>28</v>
      </c>
      <c r="G861" t="s">
        <v>48</v>
      </c>
      <c r="H861" t="s">
        <v>1084</v>
      </c>
      <c r="I861" s="2">
        <v>63.96</v>
      </c>
      <c r="J861" s="3">
        <v>4</v>
      </c>
      <c r="K861" s="2">
        <v>30.7</v>
      </c>
    </row>
    <row r="862" spans="1:11" x14ac:dyDescent="0.35">
      <c r="A862" s="1">
        <v>42339</v>
      </c>
      <c r="B862" s="3">
        <f t="shared" si="26"/>
        <v>2015</v>
      </c>
      <c r="C862" s="3">
        <f t="shared" si="27"/>
        <v>12</v>
      </c>
      <c r="D862" t="s">
        <v>1085</v>
      </c>
      <c r="E862" t="s">
        <v>17</v>
      </c>
      <c r="F862" t="s">
        <v>18</v>
      </c>
      <c r="G862" t="s">
        <v>19</v>
      </c>
      <c r="H862" t="s">
        <v>1086</v>
      </c>
      <c r="I862" s="2">
        <v>2003.92</v>
      </c>
      <c r="J862" s="3">
        <v>5</v>
      </c>
      <c r="K862" s="2">
        <v>125.25</v>
      </c>
    </row>
    <row r="863" spans="1:11" x14ac:dyDescent="0.35">
      <c r="A863" s="1">
        <v>42339</v>
      </c>
      <c r="B863" s="3">
        <f t="shared" si="26"/>
        <v>2015</v>
      </c>
      <c r="C863" s="3">
        <f t="shared" si="27"/>
        <v>12</v>
      </c>
      <c r="D863" t="s">
        <v>1085</v>
      </c>
      <c r="E863" t="s">
        <v>17</v>
      </c>
      <c r="F863" t="s">
        <v>28</v>
      </c>
      <c r="G863" t="s">
        <v>29</v>
      </c>
      <c r="H863" t="s">
        <v>1087</v>
      </c>
      <c r="I863" s="2">
        <v>32.4</v>
      </c>
      <c r="J863" s="3">
        <v>5</v>
      </c>
      <c r="K863" s="2">
        <v>15.55</v>
      </c>
    </row>
    <row r="864" spans="1:11" x14ac:dyDescent="0.35">
      <c r="A864" s="1">
        <v>42339</v>
      </c>
      <c r="B864" s="3">
        <f t="shared" si="26"/>
        <v>2015</v>
      </c>
      <c r="C864" s="3">
        <f t="shared" si="27"/>
        <v>12</v>
      </c>
      <c r="D864" t="s">
        <v>1085</v>
      </c>
      <c r="E864" t="s">
        <v>17</v>
      </c>
      <c r="F864" t="s">
        <v>18</v>
      </c>
      <c r="G864" t="s">
        <v>42</v>
      </c>
      <c r="H864" t="s">
        <v>1088</v>
      </c>
      <c r="I864" s="2">
        <v>1913.4</v>
      </c>
      <c r="J864" s="3">
        <v>9</v>
      </c>
      <c r="K864" s="2">
        <v>401.81</v>
      </c>
    </row>
    <row r="865" spans="1:11" x14ac:dyDescent="0.35">
      <c r="A865" s="1">
        <v>42339</v>
      </c>
      <c r="B865" s="3">
        <f t="shared" si="26"/>
        <v>2015</v>
      </c>
      <c r="C865" s="3">
        <f t="shared" si="27"/>
        <v>12</v>
      </c>
      <c r="D865" t="s">
        <v>1085</v>
      </c>
      <c r="E865" t="s">
        <v>17</v>
      </c>
      <c r="F865" t="s">
        <v>28</v>
      </c>
      <c r="G865" t="s">
        <v>38</v>
      </c>
      <c r="H865" t="s">
        <v>1089</v>
      </c>
      <c r="I865" s="2">
        <v>146.72999999999999</v>
      </c>
      <c r="J865" s="3">
        <v>3</v>
      </c>
      <c r="K865" s="2">
        <v>2.93</v>
      </c>
    </row>
    <row r="866" spans="1:11" x14ac:dyDescent="0.35">
      <c r="A866" s="1">
        <v>42339</v>
      </c>
      <c r="B866" s="3">
        <f t="shared" si="26"/>
        <v>2015</v>
      </c>
      <c r="C866" s="3">
        <f t="shared" si="27"/>
        <v>12</v>
      </c>
      <c r="D866" t="s">
        <v>1085</v>
      </c>
      <c r="E866" t="s">
        <v>17</v>
      </c>
      <c r="F866" t="s">
        <v>28</v>
      </c>
      <c r="G866" t="s">
        <v>29</v>
      </c>
      <c r="H866" t="s">
        <v>874</v>
      </c>
      <c r="I866" s="2">
        <v>114.2</v>
      </c>
      <c r="J866" s="3">
        <v>5</v>
      </c>
      <c r="K866" s="2">
        <v>52.53</v>
      </c>
    </row>
    <row r="867" spans="1:11" x14ac:dyDescent="0.35">
      <c r="A867" s="1">
        <v>42339</v>
      </c>
      <c r="B867" s="3">
        <f t="shared" si="26"/>
        <v>2015</v>
      </c>
      <c r="C867" s="3">
        <f t="shared" si="27"/>
        <v>12</v>
      </c>
      <c r="D867" t="s">
        <v>1090</v>
      </c>
      <c r="E867" t="s">
        <v>45</v>
      </c>
      <c r="F867" t="s">
        <v>18</v>
      </c>
      <c r="G867" t="s">
        <v>19</v>
      </c>
      <c r="H867" t="s">
        <v>844</v>
      </c>
      <c r="I867" s="2">
        <v>2676.67</v>
      </c>
      <c r="J867" s="3">
        <v>9</v>
      </c>
      <c r="K867" s="2">
        <v>267.67</v>
      </c>
    </row>
    <row r="868" spans="1:11" x14ac:dyDescent="0.35">
      <c r="A868" s="1">
        <v>42339</v>
      </c>
      <c r="B868" s="3">
        <f t="shared" si="26"/>
        <v>2015</v>
      </c>
      <c r="C868" s="3">
        <f t="shared" si="27"/>
        <v>12</v>
      </c>
      <c r="D868" t="s">
        <v>695</v>
      </c>
      <c r="E868" t="s">
        <v>71</v>
      </c>
      <c r="F868" t="s">
        <v>28</v>
      </c>
      <c r="G868" t="s">
        <v>29</v>
      </c>
      <c r="H868" t="s">
        <v>1091</v>
      </c>
      <c r="I868" s="2">
        <v>19.440000000000001</v>
      </c>
      <c r="J868" s="3">
        <v>3</v>
      </c>
      <c r="K868" s="2">
        <v>9.33</v>
      </c>
    </row>
    <row r="869" spans="1:11" x14ac:dyDescent="0.35">
      <c r="A869" s="1">
        <v>42339</v>
      </c>
      <c r="B869" s="3">
        <f t="shared" si="26"/>
        <v>2015</v>
      </c>
      <c r="C869" s="3">
        <f t="shared" si="27"/>
        <v>12</v>
      </c>
      <c r="D869" t="s">
        <v>695</v>
      </c>
      <c r="E869" t="s">
        <v>71</v>
      </c>
      <c r="F869" t="s">
        <v>28</v>
      </c>
      <c r="G869" t="s">
        <v>64</v>
      </c>
      <c r="H869" t="s">
        <v>1092</v>
      </c>
      <c r="I869" s="2">
        <v>3.64</v>
      </c>
      <c r="J869" s="3">
        <v>2</v>
      </c>
      <c r="K869" s="2">
        <v>1.02</v>
      </c>
    </row>
    <row r="870" spans="1:11" x14ac:dyDescent="0.35">
      <c r="A870" s="1">
        <v>42339</v>
      </c>
      <c r="B870" s="3">
        <f t="shared" si="26"/>
        <v>2015</v>
      </c>
      <c r="C870" s="3">
        <f t="shared" si="27"/>
        <v>12</v>
      </c>
      <c r="D870" t="s">
        <v>695</v>
      </c>
      <c r="E870" t="s">
        <v>71</v>
      </c>
      <c r="F870" t="s">
        <v>28</v>
      </c>
      <c r="G870" t="s">
        <v>29</v>
      </c>
      <c r="H870" t="s">
        <v>966</v>
      </c>
      <c r="I870" s="2">
        <v>18.54</v>
      </c>
      <c r="J870" s="3">
        <v>2</v>
      </c>
      <c r="K870" s="2">
        <v>8.7100000000000009</v>
      </c>
    </row>
    <row r="871" spans="1:11" x14ac:dyDescent="0.35">
      <c r="A871" s="1">
        <v>42006</v>
      </c>
      <c r="B871" s="3">
        <f t="shared" si="26"/>
        <v>2015</v>
      </c>
      <c r="C871" s="3">
        <f t="shared" si="27"/>
        <v>1</v>
      </c>
      <c r="D871" t="s">
        <v>912</v>
      </c>
      <c r="E871" t="s">
        <v>131</v>
      </c>
      <c r="F871" t="s">
        <v>28</v>
      </c>
      <c r="G871" t="s">
        <v>46</v>
      </c>
      <c r="H871" t="s">
        <v>1093</v>
      </c>
      <c r="I871" s="2">
        <v>23.68</v>
      </c>
      <c r="J871" s="3">
        <v>2</v>
      </c>
      <c r="K871" s="2">
        <v>8.8800000000000008</v>
      </c>
    </row>
    <row r="872" spans="1:11" x14ac:dyDescent="0.35">
      <c r="A872" s="1">
        <v>42006</v>
      </c>
      <c r="B872" s="3">
        <f t="shared" si="26"/>
        <v>2015</v>
      </c>
      <c r="C872" s="3">
        <f t="shared" si="27"/>
        <v>1</v>
      </c>
      <c r="D872" t="s">
        <v>912</v>
      </c>
      <c r="E872" t="s">
        <v>131</v>
      </c>
      <c r="F872" t="s">
        <v>18</v>
      </c>
      <c r="G872" t="s">
        <v>237</v>
      </c>
      <c r="H872" t="s">
        <v>1094</v>
      </c>
      <c r="I872" s="2">
        <v>452.45</v>
      </c>
      <c r="J872" s="3">
        <v>5</v>
      </c>
      <c r="K872" s="2">
        <v>-244.32</v>
      </c>
    </row>
    <row r="873" spans="1:11" x14ac:dyDescent="0.35">
      <c r="A873" s="1">
        <v>42006</v>
      </c>
      <c r="B873" s="3">
        <f t="shared" si="26"/>
        <v>2015</v>
      </c>
      <c r="C873" s="3">
        <f t="shared" si="27"/>
        <v>1</v>
      </c>
      <c r="D873" t="s">
        <v>912</v>
      </c>
      <c r="E873" t="s">
        <v>131</v>
      </c>
      <c r="F873" t="s">
        <v>13</v>
      </c>
      <c r="G873" t="s">
        <v>23</v>
      </c>
      <c r="H873" t="s">
        <v>1095</v>
      </c>
      <c r="I873" s="2">
        <v>62.98</v>
      </c>
      <c r="J873" s="3">
        <v>3</v>
      </c>
      <c r="K873" s="2">
        <v>-14.7</v>
      </c>
    </row>
    <row r="874" spans="1:11" x14ac:dyDescent="0.35">
      <c r="A874" s="1">
        <v>42006</v>
      </c>
      <c r="B874" s="3">
        <f t="shared" si="26"/>
        <v>2015</v>
      </c>
      <c r="C874" s="3">
        <f t="shared" si="27"/>
        <v>1</v>
      </c>
      <c r="D874" t="s">
        <v>912</v>
      </c>
      <c r="E874" t="s">
        <v>131</v>
      </c>
      <c r="F874" t="s">
        <v>13</v>
      </c>
      <c r="G874" t="s">
        <v>204</v>
      </c>
      <c r="H874" t="s">
        <v>1096</v>
      </c>
      <c r="I874" s="2">
        <v>1188</v>
      </c>
      <c r="J874" s="3">
        <v>9</v>
      </c>
      <c r="K874" s="2">
        <v>-950.4</v>
      </c>
    </row>
    <row r="875" spans="1:11" x14ac:dyDescent="0.35">
      <c r="A875" s="1">
        <v>42006</v>
      </c>
      <c r="B875" s="3">
        <f t="shared" si="26"/>
        <v>2015</v>
      </c>
      <c r="C875" s="3">
        <f t="shared" si="27"/>
        <v>1</v>
      </c>
      <c r="D875" t="s">
        <v>912</v>
      </c>
      <c r="E875" t="s">
        <v>131</v>
      </c>
      <c r="F875" t="s">
        <v>13</v>
      </c>
      <c r="G875" t="s">
        <v>14</v>
      </c>
      <c r="H875" t="s">
        <v>751</v>
      </c>
      <c r="I875" s="2">
        <v>89.58</v>
      </c>
      <c r="J875" s="3">
        <v>2</v>
      </c>
      <c r="K875" s="2">
        <v>4.4800000000000004</v>
      </c>
    </row>
    <row r="876" spans="1:11" x14ac:dyDescent="0.35">
      <c r="A876" s="1">
        <v>42006</v>
      </c>
      <c r="B876" s="3">
        <f t="shared" si="26"/>
        <v>2015</v>
      </c>
      <c r="C876" s="3">
        <f t="shared" si="27"/>
        <v>1</v>
      </c>
      <c r="D876" t="s">
        <v>1097</v>
      </c>
      <c r="E876" t="s">
        <v>876</v>
      </c>
      <c r="F876" t="s">
        <v>28</v>
      </c>
      <c r="G876" t="s">
        <v>38</v>
      </c>
      <c r="H876" t="s">
        <v>1098</v>
      </c>
      <c r="I876" s="2">
        <v>85.52</v>
      </c>
      <c r="J876" s="3">
        <v>2</v>
      </c>
      <c r="K876" s="2">
        <v>22.24</v>
      </c>
    </row>
    <row r="877" spans="1:11" x14ac:dyDescent="0.35">
      <c r="A877" s="1">
        <v>42006</v>
      </c>
      <c r="B877" s="3">
        <f t="shared" si="26"/>
        <v>2015</v>
      </c>
      <c r="C877" s="3">
        <f t="shared" si="27"/>
        <v>1</v>
      </c>
      <c r="D877" t="s">
        <v>1097</v>
      </c>
      <c r="E877" t="s">
        <v>876</v>
      </c>
      <c r="F877" t="s">
        <v>28</v>
      </c>
      <c r="G877" t="s">
        <v>64</v>
      </c>
      <c r="H877" t="s">
        <v>1099</v>
      </c>
      <c r="I877" s="2">
        <v>9.84</v>
      </c>
      <c r="J877" s="3">
        <v>3</v>
      </c>
      <c r="K877" s="2">
        <v>2.66</v>
      </c>
    </row>
    <row r="878" spans="1:11" x14ac:dyDescent="0.35">
      <c r="A878" s="1">
        <v>42006</v>
      </c>
      <c r="B878" s="3">
        <f t="shared" si="26"/>
        <v>2015</v>
      </c>
      <c r="C878" s="3">
        <f t="shared" si="27"/>
        <v>1</v>
      </c>
      <c r="D878" t="s">
        <v>1097</v>
      </c>
      <c r="E878" t="s">
        <v>876</v>
      </c>
      <c r="F878" t="s">
        <v>28</v>
      </c>
      <c r="G878" t="s">
        <v>29</v>
      </c>
      <c r="H878" t="s">
        <v>1100</v>
      </c>
      <c r="I878" s="2">
        <v>20.04</v>
      </c>
      <c r="J878" s="3">
        <v>3</v>
      </c>
      <c r="K878" s="2">
        <v>9.6199999999999992</v>
      </c>
    </row>
    <row r="879" spans="1:11" x14ac:dyDescent="0.35">
      <c r="A879" s="1">
        <v>42065</v>
      </c>
      <c r="B879" s="3">
        <f t="shared" si="26"/>
        <v>2015</v>
      </c>
      <c r="C879" s="3">
        <f t="shared" si="27"/>
        <v>3</v>
      </c>
      <c r="D879" t="s">
        <v>1101</v>
      </c>
      <c r="E879" t="s">
        <v>17</v>
      </c>
      <c r="F879" t="s">
        <v>18</v>
      </c>
      <c r="G879" t="s">
        <v>42</v>
      </c>
      <c r="H879" t="s">
        <v>329</v>
      </c>
      <c r="I879" s="2">
        <v>787.53</v>
      </c>
      <c r="J879" s="3">
        <v>3</v>
      </c>
      <c r="K879" s="2">
        <v>165.38</v>
      </c>
    </row>
    <row r="880" spans="1:11" x14ac:dyDescent="0.35">
      <c r="A880" s="1">
        <v>42065</v>
      </c>
      <c r="B880" s="3">
        <f t="shared" si="26"/>
        <v>2015</v>
      </c>
      <c r="C880" s="3">
        <f t="shared" si="27"/>
        <v>3</v>
      </c>
      <c r="D880" t="s">
        <v>1102</v>
      </c>
      <c r="E880" t="s">
        <v>575</v>
      </c>
      <c r="F880" t="s">
        <v>28</v>
      </c>
      <c r="G880" t="s">
        <v>64</v>
      </c>
      <c r="H880" t="s">
        <v>958</v>
      </c>
      <c r="I880" s="2">
        <v>10.16</v>
      </c>
      <c r="J880" s="3">
        <v>1</v>
      </c>
      <c r="K880" s="2">
        <v>2.64</v>
      </c>
    </row>
    <row r="881" spans="1:11" x14ac:dyDescent="0.35">
      <c r="A881" s="1">
        <v>42065</v>
      </c>
      <c r="B881" s="3">
        <f t="shared" si="26"/>
        <v>2015</v>
      </c>
      <c r="C881" s="3">
        <f t="shared" si="27"/>
        <v>3</v>
      </c>
      <c r="D881" t="s">
        <v>1102</v>
      </c>
      <c r="E881" t="s">
        <v>575</v>
      </c>
      <c r="F881" t="s">
        <v>28</v>
      </c>
      <c r="G881" t="s">
        <v>158</v>
      </c>
      <c r="H881" t="s">
        <v>1103</v>
      </c>
      <c r="I881" s="2">
        <v>101.88</v>
      </c>
      <c r="J881" s="3">
        <v>6</v>
      </c>
      <c r="K881" s="2">
        <v>50.94</v>
      </c>
    </row>
    <row r="882" spans="1:11" x14ac:dyDescent="0.35">
      <c r="A882" s="1">
        <v>42096</v>
      </c>
      <c r="B882" s="3">
        <f t="shared" si="26"/>
        <v>2015</v>
      </c>
      <c r="C882" s="3">
        <f t="shared" si="27"/>
        <v>4</v>
      </c>
      <c r="D882" t="s">
        <v>1104</v>
      </c>
      <c r="E882" t="s">
        <v>32</v>
      </c>
      <c r="F882" t="s">
        <v>28</v>
      </c>
      <c r="G882" t="s">
        <v>58</v>
      </c>
      <c r="H882" t="s">
        <v>1105</v>
      </c>
      <c r="I882" s="2">
        <v>32.19</v>
      </c>
      <c r="J882" s="3">
        <v>2</v>
      </c>
      <c r="K882" s="2">
        <v>-80.48</v>
      </c>
    </row>
    <row r="883" spans="1:11" x14ac:dyDescent="0.35">
      <c r="A883" s="1">
        <v>42096</v>
      </c>
      <c r="B883" s="3">
        <f t="shared" si="26"/>
        <v>2015</v>
      </c>
      <c r="C883" s="3">
        <f t="shared" si="27"/>
        <v>4</v>
      </c>
      <c r="D883" t="s">
        <v>1104</v>
      </c>
      <c r="E883" t="s">
        <v>32</v>
      </c>
      <c r="F883" t="s">
        <v>13</v>
      </c>
      <c r="G883" t="s">
        <v>14</v>
      </c>
      <c r="H883" t="s">
        <v>218</v>
      </c>
      <c r="I883" s="2">
        <v>50.12</v>
      </c>
      <c r="J883" s="3">
        <v>7</v>
      </c>
      <c r="K883" s="2">
        <v>-0.63</v>
      </c>
    </row>
    <row r="884" spans="1:11" x14ac:dyDescent="0.35">
      <c r="A884" s="1">
        <v>42096</v>
      </c>
      <c r="B884" s="3">
        <f t="shared" si="26"/>
        <v>2015</v>
      </c>
      <c r="C884" s="3">
        <f t="shared" si="27"/>
        <v>4</v>
      </c>
      <c r="D884" t="s">
        <v>1104</v>
      </c>
      <c r="E884" t="s">
        <v>32</v>
      </c>
      <c r="F884" t="s">
        <v>13</v>
      </c>
      <c r="G884" t="s">
        <v>14</v>
      </c>
      <c r="H884" t="s">
        <v>1106</v>
      </c>
      <c r="I884" s="2">
        <v>47.98</v>
      </c>
      <c r="J884" s="3">
        <v>3</v>
      </c>
      <c r="K884" s="2">
        <v>1.8</v>
      </c>
    </row>
    <row r="885" spans="1:11" x14ac:dyDescent="0.35">
      <c r="A885" s="1">
        <v>42096</v>
      </c>
      <c r="B885" s="3">
        <f t="shared" si="26"/>
        <v>2015</v>
      </c>
      <c r="C885" s="3">
        <f t="shared" si="27"/>
        <v>4</v>
      </c>
      <c r="D885" t="s">
        <v>1107</v>
      </c>
      <c r="E885" t="s">
        <v>32</v>
      </c>
      <c r="F885" t="s">
        <v>28</v>
      </c>
      <c r="G885" t="s">
        <v>48</v>
      </c>
      <c r="H885" t="s">
        <v>1108</v>
      </c>
      <c r="I885" s="2">
        <v>9.16</v>
      </c>
      <c r="J885" s="3">
        <v>3</v>
      </c>
      <c r="K885" s="2">
        <v>-13.73</v>
      </c>
    </row>
    <row r="886" spans="1:11" x14ac:dyDescent="0.35">
      <c r="A886" s="1">
        <v>42096</v>
      </c>
      <c r="B886" s="3">
        <f t="shared" si="26"/>
        <v>2015</v>
      </c>
      <c r="C886" s="3">
        <f t="shared" si="27"/>
        <v>4</v>
      </c>
      <c r="D886" t="s">
        <v>1109</v>
      </c>
      <c r="E886" t="s">
        <v>45</v>
      </c>
      <c r="F886" t="s">
        <v>13</v>
      </c>
      <c r="G886" t="s">
        <v>204</v>
      </c>
      <c r="H886" t="s">
        <v>1110</v>
      </c>
      <c r="I886" s="2">
        <v>71.98</v>
      </c>
      <c r="J886" s="3">
        <v>3</v>
      </c>
      <c r="K886" s="2">
        <v>24.29</v>
      </c>
    </row>
    <row r="887" spans="1:11" x14ac:dyDescent="0.35">
      <c r="A887" s="1">
        <v>42096</v>
      </c>
      <c r="B887" s="3">
        <f t="shared" si="26"/>
        <v>2015</v>
      </c>
      <c r="C887" s="3">
        <f t="shared" si="27"/>
        <v>4</v>
      </c>
      <c r="D887" t="s">
        <v>1111</v>
      </c>
      <c r="E887" t="s">
        <v>211</v>
      </c>
      <c r="F887" t="s">
        <v>13</v>
      </c>
      <c r="G887" t="s">
        <v>23</v>
      </c>
      <c r="H887" t="s">
        <v>738</v>
      </c>
      <c r="I887" s="2">
        <v>87.8</v>
      </c>
      <c r="J887" s="3">
        <v>5</v>
      </c>
      <c r="K887" s="2">
        <v>32.93</v>
      </c>
    </row>
    <row r="888" spans="1:11" x14ac:dyDescent="0.35">
      <c r="A888" s="1">
        <v>42126</v>
      </c>
      <c r="B888" s="3">
        <f t="shared" si="26"/>
        <v>2015</v>
      </c>
      <c r="C888" s="3">
        <f t="shared" si="27"/>
        <v>5</v>
      </c>
      <c r="D888" t="s">
        <v>1112</v>
      </c>
      <c r="E888" t="s">
        <v>32</v>
      </c>
      <c r="F888" t="s">
        <v>28</v>
      </c>
      <c r="G888" t="s">
        <v>46</v>
      </c>
      <c r="H888" t="s">
        <v>999</v>
      </c>
      <c r="I888" s="2">
        <v>8.86</v>
      </c>
      <c r="J888" s="3">
        <v>3</v>
      </c>
      <c r="K888" s="2">
        <v>2.99</v>
      </c>
    </row>
    <row r="889" spans="1:11" x14ac:dyDescent="0.35">
      <c r="A889" s="1">
        <v>42126</v>
      </c>
      <c r="B889" s="3">
        <f t="shared" si="26"/>
        <v>2015</v>
      </c>
      <c r="C889" s="3">
        <f t="shared" si="27"/>
        <v>5</v>
      </c>
      <c r="D889" t="s">
        <v>1112</v>
      </c>
      <c r="E889" t="s">
        <v>32</v>
      </c>
      <c r="F889" t="s">
        <v>13</v>
      </c>
      <c r="G889" t="s">
        <v>23</v>
      </c>
      <c r="H889" t="s">
        <v>234</v>
      </c>
      <c r="I889" s="2">
        <v>158.38</v>
      </c>
      <c r="J889" s="3">
        <v>3</v>
      </c>
      <c r="K889" s="2">
        <v>13.86</v>
      </c>
    </row>
    <row r="890" spans="1:11" x14ac:dyDescent="0.35">
      <c r="A890" s="1">
        <v>42187</v>
      </c>
      <c r="B890" s="3">
        <f t="shared" si="26"/>
        <v>2015</v>
      </c>
      <c r="C890" s="3">
        <f t="shared" si="27"/>
        <v>7</v>
      </c>
      <c r="D890" t="s">
        <v>853</v>
      </c>
      <c r="E890" t="s">
        <v>32</v>
      </c>
      <c r="F890" t="s">
        <v>28</v>
      </c>
      <c r="G890" t="s">
        <v>58</v>
      </c>
      <c r="H890" t="s">
        <v>654</v>
      </c>
      <c r="I890" s="2">
        <v>32.78</v>
      </c>
      <c r="J890" s="3">
        <v>4</v>
      </c>
      <c r="K890" s="2">
        <v>-85.24</v>
      </c>
    </row>
    <row r="891" spans="1:11" x14ac:dyDescent="0.35">
      <c r="A891" s="1">
        <v>42187</v>
      </c>
      <c r="B891" s="3">
        <f t="shared" si="26"/>
        <v>2015</v>
      </c>
      <c r="C891" s="3">
        <f t="shared" si="27"/>
        <v>7</v>
      </c>
      <c r="D891" t="s">
        <v>1113</v>
      </c>
      <c r="E891" t="s">
        <v>26</v>
      </c>
      <c r="F891" t="s">
        <v>18</v>
      </c>
      <c r="G891" t="s">
        <v>19</v>
      </c>
      <c r="H891" t="s">
        <v>1114</v>
      </c>
      <c r="I891" s="2">
        <v>408.42</v>
      </c>
      <c r="J891" s="3">
        <v>2</v>
      </c>
      <c r="K891" s="2">
        <v>-5.83</v>
      </c>
    </row>
    <row r="892" spans="1:11" x14ac:dyDescent="0.35">
      <c r="A892" s="1">
        <v>42187</v>
      </c>
      <c r="B892" s="3">
        <f t="shared" si="26"/>
        <v>2015</v>
      </c>
      <c r="C892" s="3">
        <f t="shared" si="27"/>
        <v>7</v>
      </c>
      <c r="D892" t="s">
        <v>1113</v>
      </c>
      <c r="E892" t="s">
        <v>26</v>
      </c>
      <c r="F892" t="s">
        <v>18</v>
      </c>
      <c r="G892" t="s">
        <v>19</v>
      </c>
      <c r="H892" t="s">
        <v>1115</v>
      </c>
      <c r="I892" s="2">
        <v>382.12</v>
      </c>
      <c r="J892" s="3">
        <v>6</v>
      </c>
      <c r="K892" s="2">
        <v>-92.8</v>
      </c>
    </row>
    <row r="893" spans="1:11" x14ac:dyDescent="0.35">
      <c r="A893" s="1">
        <v>42187</v>
      </c>
      <c r="B893" s="3">
        <f t="shared" si="26"/>
        <v>2015</v>
      </c>
      <c r="C893" s="3">
        <f t="shared" si="27"/>
        <v>7</v>
      </c>
      <c r="D893" t="s">
        <v>1113</v>
      </c>
      <c r="E893" t="s">
        <v>26</v>
      </c>
      <c r="F893" t="s">
        <v>28</v>
      </c>
      <c r="G893" t="s">
        <v>38</v>
      </c>
      <c r="H893" t="s">
        <v>1116</v>
      </c>
      <c r="I893" s="2">
        <v>68.599999999999994</v>
      </c>
      <c r="J893" s="3">
        <v>5</v>
      </c>
      <c r="K893" s="2">
        <v>6</v>
      </c>
    </row>
    <row r="894" spans="1:11" x14ac:dyDescent="0.35">
      <c r="A894" s="1">
        <v>42187</v>
      </c>
      <c r="B894" s="3">
        <f t="shared" si="26"/>
        <v>2015</v>
      </c>
      <c r="C894" s="3">
        <f t="shared" si="27"/>
        <v>7</v>
      </c>
      <c r="D894" t="s">
        <v>1113</v>
      </c>
      <c r="E894" t="s">
        <v>26</v>
      </c>
      <c r="F894" t="s">
        <v>28</v>
      </c>
      <c r="G894" t="s">
        <v>38</v>
      </c>
      <c r="H894" t="s">
        <v>231</v>
      </c>
      <c r="I894" s="2">
        <v>435.5</v>
      </c>
      <c r="J894" s="3">
        <v>3</v>
      </c>
      <c r="K894" s="2">
        <v>48.99</v>
      </c>
    </row>
    <row r="895" spans="1:11" x14ac:dyDescent="0.35">
      <c r="A895" s="1">
        <v>42187</v>
      </c>
      <c r="B895" s="3">
        <f t="shared" si="26"/>
        <v>2015</v>
      </c>
      <c r="C895" s="3">
        <f t="shared" si="27"/>
        <v>7</v>
      </c>
      <c r="D895" t="s">
        <v>1113</v>
      </c>
      <c r="E895" t="s">
        <v>26</v>
      </c>
      <c r="F895" t="s">
        <v>28</v>
      </c>
      <c r="G895" t="s">
        <v>29</v>
      </c>
      <c r="H895" t="s">
        <v>471</v>
      </c>
      <c r="I895" s="2">
        <v>11.17</v>
      </c>
      <c r="J895" s="3">
        <v>2</v>
      </c>
      <c r="K895" s="2">
        <v>3.77</v>
      </c>
    </row>
    <row r="896" spans="1:11" x14ac:dyDescent="0.35">
      <c r="A896" s="1">
        <v>42187</v>
      </c>
      <c r="B896" s="3">
        <f t="shared" si="26"/>
        <v>2015</v>
      </c>
      <c r="C896" s="3">
        <f t="shared" si="27"/>
        <v>7</v>
      </c>
      <c r="D896" t="s">
        <v>1117</v>
      </c>
      <c r="E896" t="s">
        <v>77</v>
      </c>
      <c r="F896" t="s">
        <v>28</v>
      </c>
      <c r="G896" t="s">
        <v>29</v>
      </c>
      <c r="H896" t="s">
        <v>123</v>
      </c>
      <c r="I896" s="2">
        <v>11.95</v>
      </c>
      <c r="J896" s="3">
        <v>3</v>
      </c>
      <c r="K896" s="2">
        <v>4.03</v>
      </c>
    </row>
    <row r="897" spans="1:11" x14ac:dyDescent="0.35">
      <c r="A897" s="1">
        <v>42187</v>
      </c>
      <c r="B897" s="3">
        <f t="shared" si="26"/>
        <v>2015</v>
      </c>
      <c r="C897" s="3">
        <f t="shared" si="27"/>
        <v>7</v>
      </c>
      <c r="D897" t="s">
        <v>1117</v>
      </c>
      <c r="E897" t="s">
        <v>77</v>
      </c>
      <c r="F897" t="s">
        <v>28</v>
      </c>
      <c r="G897" t="s">
        <v>29</v>
      </c>
      <c r="H897" t="s">
        <v>434</v>
      </c>
      <c r="I897" s="2">
        <v>15.55</v>
      </c>
      <c r="J897" s="3">
        <v>3</v>
      </c>
      <c r="K897" s="2">
        <v>5.64</v>
      </c>
    </row>
    <row r="898" spans="1:11" x14ac:dyDescent="0.35">
      <c r="A898" s="1">
        <v>42187</v>
      </c>
      <c r="B898" s="3">
        <f t="shared" ref="B898:B961" si="28">YEAR(A898)</f>
        <v>2015</v>
      </c>
      <c r="C898" s="3">
        <f t="shared" ref="C898:C961" si="29">MONTH(A898)</f>
        <v>7</v>
      </c>
      <c r="D898" t="s">
        <v>495</v>
      </c>
      <c r="E898" t="s">
        <v>22</v>
      </c>
      <c r="F898" t="s">
        <v>28</v>
      </c>
      <c r="G898" t="s">
        <v>29</v>
      </c>
      <c r="H898" t="s">
        <v>365</v>
      </c>
      <c r="I898" s="2">
        <v>19.440000000000001</v>
      </c>
      <c r="J898" s="3">
        <v>3</v>
      </c>
      <c r="K898" s="2">
        <v>9.33</v>
      </c>
    </row>
    <row r="899" spans="1:11" x14ac:dyDescent="0.35">
      <c r="A899" s="1">
        <v>42187</v>
      </c>
      <c r="B899" s="3">
        <f t="shared" si="28"/>
        <v>2015</v>
      </c>
      <c r="C899" s="3">
        <f t="shared" si="29"/>
        <v>7</v>
      </c>
      <c r="D899" t="s">
        <v>1118</v>
      </c>
      <c r="E899" t="s">
        <v>81</v>
      </c>
      <c r="F899" t="s">
        <v>13</v>
      </c>
      <c r="G899" t="s">
        <v>23</v>
      </c>
      <c r="H899" t="s">
        <v>955</v>
      </c>
      <c r="I899" s="2">
        <v>74.239999999999995</v>
      </c>
      <c r="J899" s="3">
        <v>1</v>
      </c>
      <c r="K899" s="2">
        <v>8.35</v>
      </c>
    </row>
    <row r="900" spans="1:11" x14ac:dyDescent="0.35">
      <c r="A900" s="1">
        <v>42187</v>
      </c>
      <c r="B900" s="3">
        <f t="shared" si="28"/>
        <v>2015</v>
      </c>
      <c r="C900" s="3">
        <f t="shared" si="29"/>
        <v>7</v>
      </c>
      <c r="D900" t="s">
        <v>1118</v>
      </c>
      <c r="E900" t="s">
        <v>81</v>
      </c>
      <c r="F900" t="s">
        <v>18</v>
      </c>
      <c r="G900" t="s">
        <v>36</v>
      </c>
      <c r="H900" t="s">
        <v>1119</v>
      </c>
      <c r="I900" s="2">
        <v>159.84</v>
      </c>
      <c r="J900" s="3">
        <v>10</v>
      </c>
      <c r="K900" s="2">
        <v>45.95</v>
      </c>
    </row>
    <row r="901" spans="1:11" x14ac:dyDescent="0.35">
      <c r="A901" s="1">
        <v>42187</v>
      </c>
      <c r="B901" s="3">
        <f t="shared" si="28"/>
        <v>2015</v>
      </c>
      <c r="C901" s="3">
        <f t="shared" si="29"/>
        <v>7</v>
      </c>
      <c r="D901" t="s">
        <v>1118</v>
      </c>
      <c r="E901" t="s">
        <v>81</v>
      </c>
      <c r="F901" t="s">
        <v>28</v>
      </c>
      <c r="G901" t="s">
        <v>48</v>
      </c>
      <c r="H901" t="s">
        <v>881</v>
      </c>
      <c r="I901" s="2">
        <v>2.89</v>
      </c>
      <c r="J901" s="3">
        <v>2</v>
      </c>
      <c r="K901" s="2">
        <v>-2.31</v>
      </c>
    </row>
    <row r="902" spans="1:11" x14ac:dyDescent="0.35">
      <c r="A902" s="1">
        <v>42187</v>
      </c>
      <c r="B902" s="3">
        <f t="shared" si="28"/>
        <v>2015</v>
      </c>
      <c r="C902" s="3">
        <f t="shared" si="29"/>
        <v>7</v>
      </c>
      <c r="D902" t="s">
        <v>1118</v>
      </c>
      <c r="E902" t="s">
        <v>81</v>
      </c>
      <c r="F902" t="s">
        <v>28</v>
      </c>
      <c r="G902" t="s">
        <v>29</v>
      </c>
      <c r="H902" t="s">
        <v>1120</v>
      </c>
      <c r="I902" s="2">
        <v>9.39</v>
      </c>
      <c r="J902" s="3">
        <v>2</v>
      </c>
      <c r="K902" s="2">
        <v>3.29</v>
      </c>
    </row>
    <row r="903" spans="1:11" x14ac:dyDescent="0.35">
      <c r="A903" s="1">
        <v>42218</v>
      </c>
      <c r="B903" s="3">
        <f t="shared" si="28"/>
        <v>2015</v>
      </c>
      <c r="C903" s="3">
        <f t="shared" si="29"/>
        <v>8</v>
      </c>
      <c r="D903" t="s">
        <v>1121</v>
      </c>
      <c r="E903" t="s">
        <v>17</v>
      </c>
      <c r="F903" t="s">
        <v>28</v>
      </c>
      <c r="G903" t="s">
        <v>48</v>
      </c>
      <c r="H903" t="s">
        <v>1122</v>
      </c>
      <c r="I903" s="2">
        <v>6.37</v>
      </c>
      <c r="J903" s="3">
        <v>2</v>
      </c>
      <c r="K903" s="2">
        <v>2.15</v>
      </c>
    </row>
    <row r="904" spans="1:11" x14ac:dyDescent="0.35">
      <c r="A904" s="1">
        <v>42218</v>
      </c>
      <c r="B904" s="3">
        <f t="shared" si="28"/>
        <v>2015</v>
      </c>
      <c r="C904" s="3">
        <f t="shared" si="29"/>
        <v>8</v>
      </c>
      <c r="D904" t="s">
        <v>1121</v>
      </c>
      <c r="E904" t="s">
        <v>17</v>
      </c>
      <c r="F904" t="s">
        <v>13</v>
      </c>
      <c r="G904" t="s">
        <v>204</v>
      </c>
      <c r="H904" t="s">
        <v>1123</v>
      </c>
      <c r="I904" s="2">
        <v>558.4</v>
      </c>
      <c r="J904" s="3">
        <v>2</v>
      </c>
      <c r="K904" s="2">
        <v>41.88</v>
      </c>
    </row>
    <row r="905" spans="1:11" x14ac:dyDescent="0.35">
      <c r="A905" s="1">
        <v>42218</v>
      </c>
      <c r="B905" s="3">
        <f t="shared" si="28"/>
        <v>2015</v>
      </c>
      <c r="C905" s="3">
        <f t="shared" si="29"/>
        <v>8</v>
      </c>
      <c r="D905" t="s">
        <v>1124</v>
      </c>
      <c r="E905" t="s">
        <v>1125</v>
      </c>
      <c r="F905" t="s">
        <v>13</v>
      </c>
      <c r="G905" t="s">
        <v>23</v>
      </c>
      <c r="H905" t="s">
        <v>1073</v>
      </c>
      <c r="I905" s="2">
        <v>128.85</v>
      </c>
      <c r="J905" s="3">
        <v>3</v>
      </c>
      <c r="K905" s="2">
        <v>3.87</v>
      </c>
    </row>
    <row r="906" spans="1:11" x14ac:dyDescent="0.35">
      <c r="A906" s="1">
        <v>42218</v>
      </c>
      <c r="B906" s="3">
        <f t="shared" si="28"/>
        <v>2015</v>
      </c>
      <c r="C906" s="3">
        <f t="shared" si="29"/>
        <v>8</v>
      </c>
      <c r="D906" t="s">
        <v>1124</v>
      </c>
      <c r="E906" t="s">
        <v>1125</v>
      </c>
      <c r="F906" t="s">
        <v>28</v>
      </c>
      <c r="G906" t="s">
        <v>29</v>
      </c>
      <c r="H906" t="s">
        <v>1126</v>
      </c>
      <c r="I906" s="2">
        <v>8.4</v>
      </c>
      <c r="J906" s="3">
        <v>2</v>
      </c>
      <c r="K906" s="2">
        <v>4.12</v>
      </c>
    </row>
    <row r="907" spans="1:11" x14ac:dyDescent="0.35">
      <c r="A907" s="1">
        <v>42218</v>
      </c>
      <c r="B907" s="3">
        <f t="shared" si="28"/>
        <v>2015</v>
      </c>
      <c r="C907" s="3">
        <f t="shared" si="29"/>
        <v>8</v>
      </c>
      <c r="D907" t="s">
        <v>1124</v>
      </c>
      <c r="E907" t="s">
        <v>1125</v>
      </c>
      <c r="F907" t="s">
        <v>13</v>
      </c>
      <c r="G907" t="s">
        <v>14</v>
      </c>
      <c r="H907" t="s">
        <v>568</v>
      </c>
      <c r="I907" s="2">
        <v>199.98</v>
      </c>
      <c r="J907" s="3">
        <v>2</v>
      </c>
      <c r="K907" s="2">
        <v>83.99</v>
      </c>
    </row>
    <row r="908" spans="1:11" x14ac:dyDescent="0.35">
      <c r="A908" s="1">
        <v>42218</v>
      </c>
      <c r="B908" s="3">
        <f t="shared" si="28"/>
        <v>2015</v>
      </c>
      <c r="C908" s="3">
        <f t="shared" si="29"/>
        <v>8</v>
      </c>
      <c r="D908" t="s">
        <v>1124</v>
      </c>
      <c r="E908" t="s">
        <v>1125</v>
      </c>
      <c r="F908" t="s">
        <v>18</v>
      </c>
      <c r="G908" t="s">
        <v>19</v>
      </c>
      <c r="H908" t="s">
        <v>1127</v>
      </c>
      <c r="I908" s="2">
        <v>110.98</v>
      </c>
      <c r="J908" s="3">
        <v>1</v>
      </c>
      <c r="K908" s="2">
        <v>15.54</v>
      </c>
    </row>
    <row r="909" spans="1:11" x14ac:dyDescent="0.35">
      <c r="A909" s="1">
        <v>42218</v>
      </c>
      <c r="B909" s="3">
        <f t="shared" si="28"/>
        <v>2015</v>
      </c>
      <c r="C909" s="3">
        <f t="shared" si="29"/>
        <v>8</v>
      </c>
      <c r="D909" t="s">
        <v>1128</v>
      </c>
      <c r="E909" t="s">
        <v>107</v>
      </c>
      <c r="F909" t="s">
        <v>18</v>
      </c>
      <c r="G909" t="s">
        <v>42</v>
      </c>
      <c r="H909" t="s">
        <v>616</v>
      </c>
      <c r="I909" s="2">
        <v>277.5</v>
      </c>
      <c r="J909" s="3">
        <v>4</v>
      </c>
      <c r="K909" s="2">
        <v>-188.7</v>
      </c>
    </row>
    <row r="910" spans="1:11" x14ac:dyDescent="0.35">
      <c r="A910" s="1">
        <v>42279</v>
      </c>
      <c r="B910" s="3">
        <f t="shared" si="28"/>
        <v>2015</v>
      </c>
      <c r="C910" s="3">
        <f t="shared" si="29"/>
        <v>10</v>
      </c>
      <c r="D910" t="s">
        <v>684</v>
      </c>
      <c r="E910" t="s">
        <v>45</v>
      </c>
      <c r="F910" t="s">
        <v>28</v>
      </c>
      <c r="G910" t="s">
        <v>48</v>
      </c>
      <c r="H910" t="s">
        <v>852</v>
      </c>
      <c r="I910" s="2">
        <v>57.5</v>
      </c>
      <c r="J910" s="3">
        <v>6</v>
      </c>
      <c r="K910" s="2">
        <v>20.13</v>
      </c>
    </row>
    <row r="911" spans="1:11" x14ac:dyDescent="0.35">
      <c r="A911" s="1">
        <v>42279</v>
      </c>
      <c r="B911" s="3">
        <f t="shared" si="28"/>
        <v>2015</v>
      </c>
      <c r="C911" s="3">
        <f t="shared" si="29"/>
        <v>10</v>
      </c>
      <c r="D911" t="s">
        <v>1129</v>
      </c>
      <c r="E911" t="s">
        <v>62</v>
      </c>
      <c r="F911" t="s">
        <v>28</v>
      </c>
      <c r="G911" t="s">
        <v>29</v>
      </c>
      <c r="H911" t="s">
        <v>1130</v>
      </c>
      <c r="I911" s="2">
        <v>94.85</v>
      </c>
      <c r="J911" s="3">
        <v>5</v>
      </c>
      <c r="K911" s="2">
        <v>45.53</v>
      </c>
    </row>
    <row r="912" spans="1:11" x14ac:dyDescent="0.35">
      <c r="A912" s="1">
        <v>42279</v>
      </c>
      <c r="B912" s="3">
        <f t="shared" si="28"/>
        <v>2015</v>
      </c>
      <c r="C912" s="3">
        <f t="shared" si="29"/>
        <v>10</v>
      </c>
      <c r="D912" t="s">
        <v>1129</v>
      </c>
      <c r="E912" t="s">
        <v>62</v>
      </c>
      <c r="F912" t="s">
        <v>28</v>
      </c>
      <c r="G912" t="s">
        <v>158</v>
      </c>
      <c r="H912" t="s">
        <v>697</v>
      </c>
      <c r="I912" s="2">
        <v>51.12</v>
      </c>
      <c r="J912" s="3">
        <v>4</v>
      </c>
      <c r="K912" s="2">
        <v>23</v>
      </c>
    </row>
    <row r="913" spans="1:11" x14ac:dyDescent="0.35">
      <c r="A913" s="1">
        <v>42279</v>
      </c>
      <c r="B913" s="3">
        <f t="shared" si="28"/>
        <v>2015</v>
      </c>
      <c r="C913" s="3">
        <f t="shared" si="29"/>
        <v>10</v>
      </c>
      <c r="D913" t="s">
        <v>1129</v>
      </c>
      <c r="E913" t="s">
        <v>62</v>
      </c>
      <c r="F913" t="s">
        <v>13</v>
      </c>
      <c r="G913" t="s">
        <v>14</v>
      </c>
      <c r="H913" t="s">
        <v>407</v>
      </c>
      <c r="I913" s="2">
        <v>90</v>
      </c>
      <c r="J913" s="3">
        <v>1</v>
      </c>
      <c r="K913" s="2">
        <v>32.4</v>
      </c>
    </row>
    <row r="914" spans="1:11" x14ac:dyDescent="0.35">
      <c r="A914" s="1">
        <v>42279</v>
      </c>
      <c r="B914" s="3">
        <f t="shared" si="28"/>
        <v>2015</v>
      </c>
      <c r="C914" s="3">
        <f t="shared" si="29"/>
        <v>10</v>
      </c>
      <c r="D914" t="s">
        <v>1131</v>
      </c>
      <c r="E914" t="s">
        <v>45</v>
      </c>
      <c r="F914" t="s">
        <v>28</v>
      </c>
      <c r="G914" t="s">
        <v>38</v>
      </c>
      <c r="H914" t="s">
        <v>1132</v>
      </c>
      <c r="I914" s="2">
        <v>270.33999999999997</v>
      </c>
      <c r="J914" s="3">
        <v>14</v>
      </c>
      <c r="K914" s="2">
        <v>75.7</v>
      </c>
    </row>
    <row r="915" spans="1:11" x14ac:dyDescent="0.35">
      <c r="A915" s="1">
        <v>42279</v>
      </c>
      <c r="B915" s="3">
        <f t="shared" si="28"/>
        <v>2015</v>
      </c>
      <c r="C915" s="3">
        <f t="shared" si="29"/>
        <v>10</v>
      </c>
      <c r="D915" t="s">
        <v>599</v>
      </c>
      <c r="E915" t="s">
        <v>81</v>
      </c>
      <c r="F915" t="s">
        <v>28</v>
      </c>
      <c r="G915" t="s">
        <v>48</v>
      </c>
      <c r="H915" t="s">
        <v>1133</v>
      </c>
      <c r="I915" s="2">
        <v>7.38</v>
      </c>
      <c r="J915" s="3">
        <v>5</v>
      </c>
      <c r="K915" s="2">
        <v>-5.41</v>
      </c>
    </row>
    <row r="916" spans="1:11" x14ac:dyDescent="0.35">
      <c r="A916" s="1">
        <v>42279</v>
      </c>
      <c r="B916" s="3">
        <f t="shared" si="28"/>
        <v>2015</v>
      </c>
      <c r="C916" s="3">
        <f t="shared" si="29"/>
        <v>10</v>
      </c>
      <c r="D916" t="s">
        <v>1134</v>
      </c>
      <c r="E916" t="s">
        <v>45</v>
      </c>
      <c r="F916" t="s">
        <v>28</v>
      </c>
      <c r="G916" t="s">
        <v>48</v>
      </c>
      <c r="H916" t="s">
        <v>1133</v>
      </c>
      <c r="I916" s="2">
        <v>11.81</v>
      </c>
      <c r="J916" s="3">
        <v>3</v>
      </c>
      <c r="K916" s="2">
        <v>4.13</v>
      </c>
    </row>
    <row r="917" spans="1:11" x14ac:dyDescent="0.35">
      <c r="A917" s="1">
        <v>42279</v>
      </c>
      <c r="B917" s="3">
        <f t="shared" si="28"/>
        <v>2015</v>
      </c>
      <c r="C917" s="3">
        <f t="shared" si="29"/>
        <v>10</v>
      </c>
      <c r="D917" t="s">
        <v>1134</v>
      </c>
      <c r="E917" t="s">
        <v>45</v>
      </c>
      <c r="F917" t="s">
        <v>28</v>
      </c>
      <c r="G917" t="s">
        <v>48</v>
      </c>
      <c r="H917" t="s">
        <v>280</v>
      </c>
      <c r="I917" s="2">
        <v>53.57</v>
      </c>
      <c r="J917" s="3">
        <v>4</v>
      </c>
      <c r="K917" s="2">
        <v>19.420000000000002</v>
      </c>
    </row>
    <row r="918" spans="1:11" x14ac:dyDescent="0.35">
      <c r="A918" s="1">
        <v>42279</v>
      </c>
      <c r="B918" s="3">
        <f t="shared" si="28"/>
        <v>2015</v>
      </c>
      <c r="C918" s="3">
        <f t="shared" si="29"/>
        <v>10</v>
      </c>
      <c r="D918" t="s">
        <v>1134</v>
      </c>
      <c r="E918" t="s">
        <v>45</v>
      </c>
      <c r="F918" t="s">
        <v>13</v>
      </c>
      <c r="G918" t="s">
        <v>23</v>
      </c>
      <c r="H918" t="s">
        <v>1135</v>
      </c>
      <c r="I918" s="2">
        <v>503.96</v>
      </c>
      <c r="J918" s="3">
        <v>5</v>
      </c>
      <c r="K918" s="2">
        <v>50.4</v>
      </c>
    </row>
    <row r="919" spans="1:11" x14ac:dyDescent="0.35">
      <c r="A919" s="1">
        <v>42279</v>
      </c>
      <c r="B919" s="3">
        <f t="shared" si="28"/>
        <v>2015</v>
      </c>
      <c r="C919" s="3">
        <f t="shared" si="29"/>
        <v>10</v>
      </c>
      <c r="D919" t="s">
        <v>1136</v>
      </c>
      <c r="E919" t="s">
        <v>323</v>
      </c>
      <c r="F919" t="s">
        <v>28</v>
      </c>
      <c r="G919" t="s">
        <v>48</v>
      </c>
      <c r="H919" t="s">
        <v>615</v>
      </c>
      <c r="I919" s="2">
        <v>26.9</v>
      </c>
      <c r="J919" s="3">
        <v>5</v>
      </c>
      <c r="K919" s="2">
        <v>13.18</v>
      </c>
    </row>
    <row r="920" spans="1:11" x14ac:dyDescent="0.35">
      <c r="A920" s="1">
        <v>42279</v>
      </c>
      <c r="B920" s="3">
        <f t="shared" si="28"/>
        <v>2015</v>
      </c>
      <c r="C920" s="3">
        <f t="shared" si="29"/>
        <v>10</v>
      </c>
      <c r="D920" t="s">
        <v>1137</v>
      </c>
      <c r="E920" t="s">
        <v>249</v>
      </c>
      <c r="F920" t="s">
        <v>28</v>
      </c>
      <c r="G920" t="s">
        <v>29</v>
      </c>
      <c r="H920" t="s">
        <v>1138</v>
      </c>
      <c r="I920" s="2">
        <v>19.440000000000001</v>
      </c>
      <c r="J920" s="3">
        <v>3</v>
      </c>
      <c r="K920" s="2">
        <v>9.33</v>
      </c>
    </row>
    <row r="921" spans="1:11" x14ac:dyDescent="0.35">
      <c r="A921" s="1">
        <v>42279</v>
      </c>
      <c r="B921" s="3">
        <f t="shared" si="28"/>
        <v>2015</v>
      </c>
      <c r="C921" s="3">
        <f t="shared" si="29"/>
        <v>10</v>
      </c>
      <c r="D921" t="s">
        <v>1137</v>
      </c>
      <c r="E921" t="s">
        <v>249</v>
      </c>
      <c r="F921" t="s">
        <v>28</v>
      </c>
      <c r="G921" t="s">
        <v>48</v>
      </c>
      <c r="H921" t="s">
        <v>1139</v>
      </c>
      <c r="I921" s="2">
        <v>7.38</v>
      </c>
      <c r="J921" s="3">
        <v>1</v>
      </c>
      <c r="K921" s="2">
        <v>3.62</v>
      </c>
    </row>
    <row r="922" spans="1:11" x14ac:dyDescent="0.35">
      <c r="A922" s="1">
        <v>42279</v>
      </c>
      <c r="B922" s="3">
        <f t="shared" si="28"/>
        <v>2015</v>
      </c>
      <c r="C922" s="3">
        <f t="shared" si="29"/>
        <v>10</v>
      </c>
      <c r="D922" t="s">
        <v>135</v>
      </c>
      <c r="E922" t="s">
        <v>103</v>
      </c>
      <c r="F922" t="s">
        <v>28</v>
      </c>
      <c r="G922" t="s">
        <v>215</v>
      </c>
      <c r="H922" t="s">
        <v>641</v>
      </c>
      <c r="I922" s="2">
        <v>10.94</v>
      </c>
      <c r="J922" s="3">
        <v>2</v>
      </c>
      <c r="K922" s="2">
        <v>0.96</v>
      </c>
    </row>
    <row r="923" spans="1:11" x14ac:dyDescent="0.35">
      <c r="A923" s="1">
        <v>42279</v>
      </c>
      <c r="B923" s="3">
        <f t="shared" si="28"/>
        <v>2015</v>
      </c>
      <c r="C923" s="3">
        <f t="shared" si="29"/>
        <v>10</v>
      </c>
      <c r="D923" t="s">
        <v>885</v>
      </c>
      <c r="E923" t="s">
        <v>107</v>
      </c>
      <c r="F923" t="s">
        <v>18</v>
      </c>
      <c r="G923" t="s">
        <v>36</v>
      </c>
      <c r="H923" t="s">
        <v>83</v>
      </c>
      <c r="I923" s="2">
        <v>11.03</v>
      </c>
      <c r="J923" s="3">
        <v>1</v>
      </c>
      <c r="K923" s="2">
        <v>3.03</v>
      </c>
    </row>
    <row r="924" spans="1:11" x14ac:dyDescent="0.35">
      <c r="A924" s="1">
        <v>42279</v>
      </c>
      <c r="B924" s="3">
        <f t="shared" si="28"/>
        <v>2015</v>
      </c>
      <c r="C924" s="3">
        <f t="shared" si="29"/>
        <v>10</v>
      </c>
      <c r="D924" t="s">
        <v>885</v>
      </c>
      <c r="E924" t="s">
        <v>107</v>
      </c>
      <c r="F924" t="s">
        <v>13</v>
      </c>
      <c r="G924" t="s">
        <v>14</v>
      </c>
      <c r="H924" t="s">
        <v>1069</v>
      </c>
      <c r="I924" s="2">
        <v>53.04</v>
      </c>
      <c r="J924" s="3">
        <v>3</v>
      </c>
      <c r="K924" s="2">
        <v>-4.6399999999999997</v>
      </c>
    </row>
    <row r="925" spans="1:11" x14ac:dyDescent="0.35">
      <c r="A925" s="1">
        <v>42310</v>
      </c>
      <c r="B925" s="3">
        <f t="shared" si="28"/>
        <v>2015</v>
      </c>
      <c r="C925" s="3">
        <f t="shared" si="29"/>
        <v>11</v>
      </c>
      <c r="D925" t="s">
        <v>1140</v>
      </c>
      <c r="E925" t="s">
        <v>45</v>
      </c>
      <c r="F925" t="s">
        <v>18</v>
      </c>
      <c r="G925" t="s">
        <v>42</v>
      </c>
      <c r="H925" t="s">
        <v>1141</v>
      </c>
      <c r="I925" s="2">
        <v>1038.8399999999999</v>
      </c>
      <c r="J925" s="3">
        <v>5</v>
      </c>
      <c r="K925" s="2">
        <v>51.94</v>
      </c>
    </row>
    <row r="926" spans="1:11" x14ac:dyDescent="0.35">
      <c r="A926" s="1">
        <v>42310</v>
      </c>
      <c r="B926" s="3">
        <f t="shared" si="28"/>
        <v>2015</v>
      </c>
      <c r="C926" s="3">
        <f t="shared" si="29"/>
        <v>11</v>
      </c>
      <c r="D926" t="s">
        <v>1142</v>
      </c>
      <c r="E926" t="s">
        <v>17</v>
      </c>
      <c r="F926" t="s">
        <v>13</v>
      </c>
      <c r="G926" t="s">
        <v>14</v>
      </c>
      <c r="H926" t="s">
        <v>1143</v>
      </c>
      <c r="I926" s="2">
        <v>447.93</v>
      </c>
      <c r="J926" s="3">
        <v>9</v>
      </c>
      <c r="K926" s="2">
        <v>49.27</v>
      </c>
    </row>
    <row r="927" spans="1:11" x14ac:dyDescent="0.35">
      <c r="A927" s="1">
        <v>42310</v>
      </c>
      <c r="B927" s="3">
        <f t="shared" si="28"/>
        <v>2015</v>
      </c>
      <c r="C927" s="3">
        <f t="shared" si="29"/>
        <v>11</v>
      </c>
      <c r="D927" t="s">
        <v>1144</v>
      </c>
      <c r="E927" t="s">
        <v>22</v>
      </c>
      <c r="F927" t="s">
        <v>18</v>
      </c>
      <c r="G927" t="s">
        <v>19</v>
      </c>
      <c r="H927" t="s">
        <v>1145</v>
      </c>
      <c r="I927" s="2">
        <v>109.76</v>
      </c>
      <c r="J927" s="3">
        <v>2</v>
      </c>
      <c r="K927" s="2">
        <v>8.5399999999999991</v>
      </c>
    </row>
    <row r="928" spans="1:11" x14ac:dyDescent="0.35">
      <c r="A928" s="1">
        <v>42310</v>
      </c>
      <c r="B928" s="3">
        <f t="shared" si="28"/>
        <v>2015</v>
      </c>
      <c r="C928" s="3">
        <f t="shared" si="29"/>
        <v>11</v>
      </c>
      <c r="D928" t="s">
        <v>66</v>
      </c>
      <c r="E928" t="s">
        <v>45</v>
      </c>
      <c r="F928" t="s">
        <v>18</v>
      </c>
      <c r="G928" t="s">
        <v>36</v>
      </c>
      <c r="H928" t="s">
        <v>1146</v>
      </c>
      <c r="I928" s="2">
        <v>96.96</v>
      </c>
      <c r="J928" s="3">
        <v>6</v>
      </c>
      <c r="K928" s="2">
        <v>33.94</v>
      </c>
    </row>
    <row r="929" spans="1:11" x14ac:dyDescent="0.35">
      <c r="A929" s="1">
        <v>42310</v>
      </c>
      <c r="B929" s="3">
        <f t="shared" si="28"/>
        <v>2015</v>
      </c>
      <c r="C929" s="3">
        <f t="shared" si="29"/>
        <v>11</v>
      </c>
      <c r="D929" t="s">
        <v>66</v>
      </c>
      <c r="E929" t="s">
        <v>45</v>
      </c>
      <c r="F929" t="s">
        <v>28</v>
      </c>
      <c r="G929" t="s">
        <v>48</v>
      </c>
      <c r="H929" t="s">
        <v>1147</v>
      </c>
      <c r="I929" s="2">
        <v>117.49</v>
      </c>
      <c r="J929" s="3">
        <v>7</v>
      </c>
      <c r="K929" s="2">
        <v>41.12</v>
      </c>
    </row>
    <row r="930" spans="1:11" x14ac:dyDescent="0.35">
      <c r="A930" s="1">
        <v>42310</v>
      </c>
      <c r="B930" s="3">
        <f t="shared" si="28"/>
        <v>2015</v>
      </c>
      <c r="C930" s="3">
        <f t="shared" si="29"/>
        <v>11</v>
      </c>
      <c r="D930" t="s">
        <v>66</v>
      </c>
      <c r="E930" t="s">
        <v>45</v>
      </c>
      <c r="F930" t="s">
        <v>28</v>
      </c>
      <c r="G930" t="s">
        <v>48</v>
      </c>
      <c r="H930" t="s">
        <v>75</v>
      </c>
      <c r="I930" s="2">
        <v>11.95</v>
      </c>
      <c r="J930" s="3">
        <v>3</v>
      </c>
      <c r="K930" s="2">
        <v>4.18</v>
      </c>
    </row>
    <row r="931" spans="1:11" x14ac:dyDescent="0.35">
      <c r="A931" s="1">
        <v>42310</v>
      </c>
      <c r="B931" s="3">
        <f t="shared" si="28"/>
        <v>2015</v>
      </c>
      <c r="C931" s="3">
        <f t="shared" si="29"/>
        <v>11</v>
      </c>
      <c r="D931" t="s">
        <v>66</v>
      </c>
      <c r="E931" t="s">
        <v>45</v>
      </c>
      <c r="F931" t="s">
        <v>18</v>
      </c>
      <c r="G931" t="s">
        <v>237</v>
      </c>
      <c r="H931" t="s">
        <v>1148</v>
      </c>
      <c r="I931" s="2">
        <v>512.5</v>
      </c>
      <c r="J931" s="3">
        <v>3</v>
      </c>
      <c r="K931" s="2">
        <v>-30.15</v>
      </c>
    </row>
    <row r="932" spans="1:11" x14ac:dyDescent="0.35">
      <c r="A932" s="1">
        <v>42310</v>
      </c>
      <c r="B932" s="3">
        <f t="shared" si="28"/>
        <v>2015</v>
      </c>
      <c r="C932" s="3">
        <f t="shared" si="29"/>
        <v>11</v>
      </c>
      <c r="D932" t="s">
        <v>782</v>
      </c>
      <c r="E932" t="s">
        <v>22</v>
      </c>
      <c r="F932" t="s">
        <v>18</v>
      </c>
      <c r="G932" t="s">
        <v>19</v>
      </c>
      <c r="H932" t="s">
        <v>1149</v>
      </c>
      <c r="I932" s="2">
        <v>2621.3200000000002</v>
      </c>
      <c r="J932" s="3">
        <v>11</v>
      </c>
      <c r="K932" s="2">
        <v>553.39</v>
      </c>
    </row>
    <row r="933" spans="1:11" x14ac:dyDescent="0.35">
      <c r="A933" s="1">
        <v>42310</v>
      </c>
      <c r="B933" s="3">
        <f t="shared" si="28"/>
        <v>2015</v>
      </c>
      <c r="C933" s="3">
        <f t="shared" si="29"/>
        <v>11</v>
      </c>
      <c r="D933" t="s">
        <v>1150</v>
      </c>
      <c r="E933" t="s">
        <v>32</v>
      </c>
      <c r="F933" t="s">
        <v>28</v>
      </c>
      <c r="G933" t="s">
        <v>48</v>
      </c>
      <c r="H933" t="s">
        <v>1147</v>
      </c>
      <c r="I933" s="2">
        <v>29.37</v>
      </c>
      <c r="J933" s="3">
        <v>7</v>
      </c>
      <c r="K933" s="2">
        <v>-47</v>
      </c>
    </row>
    <row r="934" spans="1:11" x14ac:dyDescent="0.35">
      <c r="A934" s="1">
        <v>42310</v>
      </c>
      <c r="B934" s="3">
        <f t="shared" si="28"/>
        <v>2015</v>
      </c>
      <c r="C934" s="3">
        <f t="shared" si="29"/>
        <v>11</v>
      </c>
      <c r="D934" t="s">
        <v>1150</v>
      </c>
      <c r="E934" t="s">
        <v>32</v>
      </c>
      <c r="F934" t="s">
        <v>13</v>
      </c>
      <c r="G934" t="s">
        <v>23</v>
      </c>
      <c r="H934" t="s">
        <v>1151</v>
      </c>
      <c r="I934" s="2">
        <v>344.7</v>
      </c>
      <c r="J934" s="3">
        <v>2</v>
      </c>
      <c r="K934" s="2">
        <v>38.78</v>
      </c>
    </row>
    <row r="935" spans="1:11" x14ac:dyDescent="0.35">
      <c r="A935" s="1">
        <v>42310</v>
      </c>
      <c r="B935" s="3">
        <f t="shared" si="28"/>
        <v>2015</v>
      </c>
      <c r="C935" s="3">
        <f t="shared" si="29"/>
        <v>11</v>
      </c>
      <c r="D935" t="s">
        <v>1152</v>
      </c>
      <c r="E935" t="s">
        <v>173</v>
      </c>
      <c r="F935" t="s">
        <v>28</v>
      </c>
      <c r="G935" t="s">
        <v>58</v>
      </c>
      <c r="H935" t="s">
        <v>1153</v>
      </c>
      <c r="I935" s="2">
        <v>197.72</v>
      </c>
      <c r="J935" s="3">
        <v>4</v>
      </c>
      <c r="K935" s="2">
        <v>55.36</v>
      </c>
    </row>
    <row r="936" spans="1:11" x14ac:dyDescent="0.35">
      <c r="A936" s="1">
        <v>42007</v>
      </c>
      <c r="B936" s="3">
        <f t="shared" si="28"/>
        <v>2015</v>
      </c>
      <c r="C936" s="3">
        <f t="shared" si="29"/>
        <v>1</v>
      </c>
      <c r="D936" t="s">
        <v>1154</v>
      </c>
      <c r="E936" t="s">
        <v>32</v>
      </c>
      <c r="F936" t="s">
        <v>28</v>
      </c>
      <c r="G936" t="s">
        <v>29</v>
      </c>
      <c r="H936" t="s">
        <v>781</v>
      </c>
      <c r="I936" s="2">
        <v>10.37</v>
      </c>
      <c r="J936" s="3">
        <v>2</v>
      </c>
      <c r="K936" s="2">
        <v>3.63</v>
      </c>
    </row>
    <row r="937" spans="1:11" x14ac:dyDescent="0.35">
      <c r="A937" s="1">
        <v>42007</v>
      </c>
      <c r="B937" s="3">
        <f t="shared" si="28"/>
        <v>2015</v>
      </c>
      <c r="C937" s="3">
        <f t="shared" si="29"/>
        <v>1</v>
      </c>
      <c r="D937" t="s">
        <v>1155</v>
      </c>
      <c r="E937" t="s">
        <v>32</v>
      </c>
      <c r="F937" t="s">
        <v>13</v>
      </c>
      <c r="G937" t="s">
        <v>14</v>
      </c>
      <c r="H937" t="s">
        <v>1156</v>
      </c>
      <c r="I937" s="2">
        <v>398.4</v>
      </c>
      <c r="J937" s="3">
        <v>5</v>
      </c>
      <c r="K937" s="2">
        <v>84.66</v>
      </c>
    </row>
    <row r="938" spans="1:11" x14ac:dyDescent="0.35">
      <c r="A938" s="1">
        <v>42007</v>
      </c>
      <c r="B938" s="3">
        <f t="shared" si="28"/>
        <v>2015</v>
      </c>
      <c r="C938" s="3">
        <f t="shared" si="29"/>
        <v>1</v>
      </c>
      <c r="D938" t="s">
        <v>1155</v>
      </c>
      <c r="E938" t="s">
        <v>32</v>
      </c>
      <c r="F938" t="s">
        <v>28</v>
      </c>
      <c r="G938" t="s">
        <v>64</v>
      </c>
      <c r="H938" t="s">
        <v>1157</v>
      </c>
      <c r="I938" s="2">
        <v>7.06</v>
      </c>
      <c r="J938" s="3">
        <v>3</v>
      </c>
      <c r="K938" s="2">
        <v>0.79</v>
      </c>
    </row>
    <row r="939" spans="1:11" x14ac:dyDescent="0.35">
      <c r="A939" s="1">
        <v>42007</v>
      </c>
      <c r="B939" s="3">
        <f t="shared" si="28"/>
        <v>2015</v>
      </c>
      <c r="C939" s="3">
        <f t="shared" si="29"/>
        <v>1</v>
      </c>
      <c r="D939" t="s">
        <v>1155</v>
      </c>
      <c r="E939" t="s">
        <v>32</v>
      </c>
      <c r="F939" t="s">
        <v>18</v>
      </c>
      <c r="G939" t="s">
        <v>237</v>
      </c>
      <c r="H939" t="s">
        <v>238</v>
      </c>
      <c r="I939" s="2">
        <v>1352.4</v>
      </c>
      <c r="J939" s="3">
        <v>9</v>
      </c>
      <c r="K939" s="2">
        <v>-437.54</v>
      </c>
    </row>
    <row r="940" spans="1:11" x14ac:dyDescent="0.35">
      <c r="A940" s="1">
        <v>42038</v>
      </c>
      <c r="B940" s="3">
        <f t="shared" si="28"/>
        <v>2015</v>
      </c>
      <c r="C940" s="3">
        <f t="shared" si="29"/>
        <v>2</v>
      </c>
      <c r="D940" t="s">
        <v>1158</v>
      </c>
      <c r="E940" t="s">
        <v>334</v>
      </c>
      <c r="F940" t="s">
        <v>18</v>
      </c>
      <c r="G940" t="s">
        <v>36</v>
      </c>
      <c r="H940" t="s">
        <v>1159</v>
      </c>
      <c r="I940" s="2">
        <v>28.4</v>
      </c>
      <c r="J940" s="3">
        <v>2</v>
      </c>
      <c r="K940" s="2">
        <v>11.08</v>
      </c>
    </row>
    <row r="941" spans="1:11" x14ac:dyDescent="0.35">
      <c r="A941" s="1">
        <v>42038</v>
      </c>
      <c r="B941" s="3">
        <f t="shared" si="28"/>
        <v>2015</v>
      </c>
      <c r="C941" s="3">
        <f t="shared" si="29"/>
        <v>2</v>
      </c>
      <c r="D941" t="s">
        <v>1158</v>
      </c>
      <c r="E941" t="s">
        <v>334</v>
      </c>
      <c r="F941" t="s">
        <v>13</v>
      </c>
      <c r="G941" t="s">
        <v>14</v>
      </c>
      <c r="H941" t="s">
        <v>1160</v>
      </c>
      <c r="I941" s="2">
        <v>149.97</v>
      </c>
      <c r="J941" s="3">
        <v>3</v>
      </c>
      <c r="K941" s="2">
        <v>50.99</v>
      </c>
    </row>
    <row r="942" spans="1:11" x14ac:dyDescent="0.35">
      <c r="A942" s="1">
        <v>42038</v>
      </c>
      <c r="B942" s="3">
        <f t="shared" si="28"/>
        <v>2015</v>
      </c>
      <c r="C942" s="3">
        <f t="shared" si="29"/>
        <v>2</v>
      </c>
      <c r="D942" t="s">
        <v>1161</v>
      </c>
      <c r="E942" t="s">
        <v>45</v>
      </c>
      <c r="F942" t="s">
        <v>18</v>
      </c>
      <c r="G942" t="s">
        <v>36</v>
      </c>
      <c r="H942" t="s">
        <v>1162</v>
      </c>
      <c r="I942" s="2">
        <v>136.91999999999999</v>
      </c>
      <c r="J942" s="3">
        <v>4</v>
      </c>
      <c r="K942" s="2">
        <v>41.08</v>
      </c>
    </row>
    <row r="943" spans="1:11" x14ac:dyDescent="0.35">
      <c r="A943" s="1">
        <v>42038</v>
      </c>
      <c r="B943" s="3">
        <f t="shared" si="28"/>
        <v>2015</v>
      </c>
      <c r="C943" s="3">
        <f t="shared" si="29"/>
        <v>2</v>
      </c>
      <c r="D943" t="s">
        <v>110</v>
      </c>
      <c r="E943" t="s">
        <v>180</v>
      </c>
      <c r="F943" t="s">
        <v>28</v>
      </c>
      <c r="G943" t="s">
        <v>48</v>
      </c>
      <c r="H943" t="s">
        <v>1163</v>
      </c>
      <c r="I943" s="2">
        <v>12.14</v>
      </c>
      <c r="J943" s="3">
        <v>3</v>
      </c>
      <c r="K943" s="2">
        <v>4.0999999999999996</v>
      </c>
    </row>
    <row r="944" spans="1:11" x14ac:dyDescent="0.35">
      <c r="A944" s="1">
        <v>42038</v>
      </c>
      <c r="B944" s="3">
        <f t="shared" si="28"/>
        <v>2015</v>
      </c>
      <c r="C944" s="3">
        <f t="shared" si="29"/>
        <v>2</v>
      </c>
      <c r="D944" t="s">
        <v>767</v>
      </c>
      <c r="E944" t="s">
        <v>165</v>
      </c>
      <c r="F944" t="s">
        <v>28</v>
      </c>
      <c r="G944" t="s">
        <v>158</v>
      </c>
      <c r="H944" t="s">
        <v>159</v>
      </c>
      <c r="I944" s="2">
        <v>74.52</v>
      </c>
      <c r="J944" s="3">
        <v>9</v>
      </c>
      <c r="K944" s="2">
        <v>35.020000000000003</v>
      </c>
    </row>
    <row r="945" spans="1:11" x14ac:dyDescent="0.35">
      <c r="A945" s="1">
        <v>42038</v>
      </c>
      <c r="B945" s="3">
        <f t="shared" si="28"/>
        <v>2015</v>
      </c>
      <c r="C945" s="3">
        <f t="shared" si="29"/>
        <v>2</v>
      </c>
      <c r="D945" t="s">
        <v>1164</v>
      </c>
      <c r="E945" t="s">
        <v>22</v>
      </c>
      <c r="F945" t="s">
        <v>18</v>
      </c>
      <c r="G945" t="s">
        <v>19</v>
      </c>
      <c r="H945" t="s">
        <v>1165</v>
      </c>
      <c r="I945" s="2">
        <v>90.88</v>
      </c>
      <c r="J945" s="3">
        <v>1</v>
      </c>
      <c r="K945" s="2">
        <v>15.15</v>
      </c>
    </row>
    <row r="946" spans="1:11" x14ac:dyDescent="0.35">
      <c r="A946" s="1">
        <v>42127</v>
      </c>
      <c r="B946" s="3">
        <f t="shared" si="28"/>
        <v>2015</v>
      </c>
      <c r="C946" s="3">
        <f t="shared" si="29"/>
        <v>5</v>
      </c>
      <c r="D946" t="s">
        <v>1166</v>
      </c>
      <c r="E946" t="s">
        <v>45</v>
      </c>
      <c r="F946" t="s">
        <v>18</v>
      </c>
      <c r="G946" t="s">
        <v>36</v>
      </c>
      <c r="H946" t="s">
        <v>882</v>
      </c>
      <c r="I946" s="2">
        <v>665.88</v>
      </c>
      <c r="J946" s="3">
        <v>6</v>
      </c>
      <c r="K946" s="2">
        <v>106.54</v>
      </c>
    </row>
    <row r="947" spans="1:11" x14ac:dyDescent="0.35">
      <c r="A947" s="1">
        <v>42127</v>
      </c>
      <c r="B947" s="3">
        <f t="shared" si="28"/>
        <v>2015</v>
      </c>
      <c r="C947" s="3">
        <f t="shared" si="29"/>
        <v>5</v>
      </c>
      <c r="D947" t="s">
        <v>182</v>
      </c>
      <c r="E947" t="s">
        <v>89</v>
      </c>
      <c r="F947" t="s">
        <v>28</v>
      </c>
      <c r="G947" t="s">
        <v>64</v>
      </c>
      <c r="H947" t="s">
        <v>1167</v>
      </c>
      <c r="I947" s="2">
        <v>59.9</v>
      </c>
      <c r="J947" s="3">
        <v>2</v>
      </c>
      <c r="K947" s="2">
        <v>14.23</v>
      </c>
    </row>
    <row r="948" spans="1:11" x14ac:dyDescent="0.35">
      <c r="A948" s="1">
        <v>42127</v>
      </c>
      <c r="B948" s="3">
        <f t="shared" si="28"/>
        <v>2015</v>
      </c>
      <c r="C948" s="3">
        <f t="shared" si="29"/>
        <v>5</v>
      </c>
      <c r="D948" t="s">
        <v>182</v>
      </c>
      <c r="E948" t="s">
        <v>89</v>
      </c>
      <c r="F948" t="s">
        <v>28</v>
      </c>
      <c r="G948" t="s">
        <v>58</v>
      </c>
      <c r="H948" t="s">
        <v>1168</v>
      </c>
      <c r="I948" s="2">
        <v>23.7</v>
      </c>
      <c r="J948" s="3">
        <v>2</v>
      </c>
      <c r="K948" s="2">
        <v>6.52</v>
      </c>
    </row>
    <row r="949" spans="1:11" x14ac:dyDescent="0.35">
      <c r="A949" s="1">
        <v>42127</v>
      </c>
      <c r="B949" s="3">
        <f t="shared" si="28"/>
        <v>2015</v>
      </c>
      <c r="C949" s="3">
        <f t="shared" si="29"/>
        <v>5</v>
      </c>
      <c r="D949" t="s">
        <v>182</v>
      </c>
      <c r="E949" t="s">
        <v>89</v>
      </c>
      <c r="F949" t="s">
        <v>28</v>
      </c>
      <c r="G949" t="s">
        <v>29</v>
      </c>
      <c r="H949" t="s">
        <v>1169</v>
      </c>
      <c r="I949" s="2">
        <v>7.97</v>
      </c>
      <c r="J949" s="3">
        <v>2</v>
      </c>
      <c r="K949" s="2">
        <v>2.89</v>
      </c>
    </row>
    <row r="950" spans="1:11" x14ac:dyDescent="0.35">
      <c r="A950" s="1">
        <v>42127</v>
      </c>
      <c r="B950" s="3">
        <f t="shared" si="28"/>
        <v>2015</v>
      </c>
      <c r="C950" s="3">
        <f t="shared" si="29"/>
        <v>5</v>
      </c>
      <c r="D950" t="s">
        <v>182</v>
      </c>
      <c r="E950" t="s">
        <v>89</v>
      </c>
      <c r="F950" t="s">
        <v>28</v>
      </c>
      <c r="G950" t="s">
        <v>58</v>
      </c>
      <c r="H950" t="s">
        <v>291</v>
      </c>
      <c r="I950" s="2">
        <v>18.2</v>
      </c>
      <c r="J950" s="3">
        <v>7</v>
      </c>
      <c r="K950" s="2">
        <v>2.0499999999999998</v>
      </c>
    </row>
    <row r="951" spans="1:11" x14ac:dyDescent="0.35">
      <c r="A951" s="1">
        <v>42127</v>
      </c>
      <c r="B951" s="3">
        <f t="shared" si="28"/>
        <v>2015</v>
      </c>
      <c r="C951" s="3">
        <f t="shared" si="29"/>
        <v>5</v>
      </c>
      <c r="D951" t="s">
        <v>182</v>
      </c>
      <c r="E951" t="s">
        <v>89</v>
      </c>
      <c r="F951" t="s">
        <v>13</v>
      </c>
      <c r="G951" t="s">
        <v>14</v>
      </c>
      <c r="H951" t="s">
        <v>1009</v>
      </c>
      <c r="I951" s="2">
        <v>27.55</v>
      </c>
      <c r="J951" s="3">
        <v>3</v>
      </c>
      <c r="K951" s="2">
        <v>-0.34</v>
      </c>
    </row>
    <row r="952" spans="1:11" x14ac:dyDescent="0.35">
      <c r="A952" s="1">
        <v>42127</v>
      </c>
      <c r="B952" s="3">
        <f t="shared" si="28"/>
        <v>2015</v>
      </c>
      <c r="C952" s="3">
        <f t="shared" si="29"/>
        <v>5</v>
      </c>
      <c r="D952" t="s">
        <v>182</v>
      </c>
      <c r="E952" t="s">
        <v>89</v>
      </c>
      <c r="F952" t="s">
        <v>18</v>
      </c>
      <c r="G952" t="s">
        <v>19</v>
      </c>
      <c r="H952" t="s">
        <v>1170</v>
      </c>
      <c r="I952" s="2">
        <v>844.12</v>
      </c>
      <c r="J952" s="3">
        <v>6</v>
      </c>
      <c r="K952" s="2">
        <v>-36.18</v>
      </c>
    </row>
    <row r="953" spans="1:11" x14ac:dyDescent="0.35">
      <c r="A953" s="1">
        <v>42127</v>
      </c>
      <c r="B953" s="3">
        <f t="shared" si="28"/>
        <v>2015</v>
      </c>
      <c r="C953" s="3">
        <f t="shared" si="29"/>
        <v>5</v>
      </c>
      <c r="D953" t="s">
        <v>182</v>
      </c>
      <c r="E953" t="s">
        <v>89</v>
      </c>
      <c r="F953" t="s">
        <v>28</v>
      </c>
      <c r="G953" t="s">
        <v>38</v>
      </c>
      <c r="H953" t="s">
        <v>462</v>
      </c>
      <c r="I953" s="2">
        <v>76.75</v>
      </c>
      <c r="J953" s="3">
        <v>3</v>
      </c>
      <c r="K953" s="2">
        <v>-9.59</v>
      </c>
    </row>
    <row r="954" spans="1:11" x14ac:dyDescent="0.35">
      <c r="A954" s="1">
        <v>42127</v>
      </c>
      <c r="B954" s="3">
        <f t="shared" si="28"/>
        <v>2015</v>
      </c>
      <c r="C954" s="3">
        <f t="shared" si="29"/>
        <v>5</v>
      </c>
      <c r="D954" t="s">
        <v>1171</v>
      </c>
      <c r="E954" t="s">
        <v>45</v>
      </c>
      <c r="F954" t="s">
        <v>28</v>
      </c>
      <c r="G954" t="s">
        <v>64</v>
      </c>
      <c r="H954" t="s">
        <v>1157</v>
      </c>
      <c r="I954" s="2">
        <v>8.82</v>
      </c>
      <c r="J954" s="3">
        <v>3</v>
      </c>
      <c r="K954" s="2">
        <v>2.56</v>
      </c>
    </row>
    <row r="955" spans="1:11" x14ac:dyDescent="0.35">
      <c r="A955" s="1">
        <v>42127</v>
      </c>
      <c r="B955" s="3">
        <f t="shared" si="28"/>
        <v>2015</v>
      </c>
      <c r="C955" s="3">
        <f t="shared" si="29"/>
        <v>5</v>
      </c>
      <c r="D955" t="s">
        <v>1171</v>
      </c>
      <c r="E955" t="s">
        <v>45</v>
      </c>
      <c r="F955" t="s">
        <v>28</v>
      </c>
      <c r="G955" t="s">
        <v>48</v>
      </c>
      <c r="H955" t="s">
        <v>1172</v>
      </c>
      <c r="I955" s="2">
        <v>62.5</v>
      </c>
      <c r="J955" s="3">
        <v>2</v>
      </c>
      <c r="K955" s="2">
        <v>21.87</v>
      </c>
    </row>
    <row r="956" spans="1:11" x14ac:dyDescent="0.35">
      <c r="A956" s="1">
        <v>42127</v>
      </c>
      <c r="B956" s="3">
        <f t="shared" si="28"/>
        <v>2015</v>
      </c>
      <c r="C956" s="3">
        <f t="shared" si="29"/>
        <v>5</v>
      </c>
      <c r="D956" t="s">
        <v>1171</v>
      </c>
      <c r="E956" t="s">
        <v>45</v>
      </c>
      <c r="F956" t="s">
        <v>13</v>
      </c>
      <c r="G956" t="s">
        <v>14</v>
      </c>
      <c r="H956" t="s">
        <v>209</v>
      </c>
      <c r="I956" s="2">
        <v>339.96</v>
      </c>
      <c r="J956" s="3">
        <v>4</v>
      </c>
      <c r="K956" s="2">
        <v>122.39</v>
      </c>
    </row>
    <row r="957" spans="1:11" x14ac:dyDescent="0.35">
      <c r="A957" s="1">
        <v>42127</v>
      </c>
      <c r="B957" s="3">
        <f t="shared" si="28"/>
        <v>2015</v>
      </c>
      <c r="C957" s="3">
        <f t="shared" si="29"/>
        <v>5</v>
      </c>
      <c r="D957" t="s">
        <v>1171</v>
      </c>
      <c r="E957" t="s">
        <v>45</v>
      </c>
      <c r="F957" t="s">
        <v>28</v>
      </c>
      <c r="G957" t="s">
        <v>48</v>
      </c>
      <c r="H957" t="s">
        <v>1173</v>
      </c>
      <c r="I957" s="2">
        <v>49.57</v>
      </c>
      <c r="J957" s="3">
        <v>2</v>
      </c>
      <c r="K957" s="2">
        <v>17.350000000000001</v>
      </c>
    </row>
    <row r="958" spans="1:11" x14ac:dyDescent="0.35">
      <c r="A958" s="1">
        <v>42127</v>
      </c>
      <c r="B958" s="3">
        <f t="shared" si="28"/>
        <v>2015</v>
      </c>
      <c r="C958" s="3">
        <f t="shared" si="29"/>
        <v>5</v>
      </c>
      <c r="D958" t="s">
        <v>804</v>
      </c>
      <c r="E958" t="s">
        <v>45</v>
      </c>
      <c r="F958" t="s">
        <v>28</v>
      </c>
      <c r="G958" t="s">
        <v>48</v>
      </c>
      <c r="H958" t="s">
        <v>1174</v>
      </c>
      <c r="I958" s="2">
        <v>13.85</v>
      </c>
      <c r="J958" s="3">
        <v>3</v>
      </c>
      <c r="K958" s="2">
        <v>5.19</v>
      </c>
    </row>
    <row r="959" spans="1:11" x14ac:dyDescent="0.35">
      <c r="A959" s="1">
        <v>42188</v>
      </c>
      <c r="B959" s="3">
        <f t="shared" si="28"/>
        <v>2015</v>
      </c>
      <c r="C959" s="3">
        <f t="shared" si="29"/>
        <v>7</v>
      </c>
      <c r="D959" t="s">
        <v>1175</v>
      </c>
      <c r="E959" t="s">
        <v>118</v>
      </c>
      <c r="F959" t="s">
        <v>18</v>
      </c>
      <c r="G959" t="s">
        <v>19</v>
      </c>
      <c r="H959" t="s">
        <v>1176</v>
      </c>
      <c r="I959" s="2">
        <v>70.98</v>
      </c>
      <c r="J959" s="3">
        <v>1</v>
      </c>
      <c r="K959" s="2">
        <v>4.97</v>
      </c>
    </row>
    <row r="960" spans="1:11" x14ac:dyDescent="0.35">
      <c r="A960" s="1">
        <v>42188</v>
      </c>
      <c r="B960" s="3">
        <f t="shared" si="28"/>
        <v>2015</v>
      </c>
      <c r="C960" s="3">
        <f t="shared" si="29"/>
        <v>7</v>
      </c>
      <c r="D960" t="s">
        <v>1175</v>
      </c>
      <c r="E960" t="s">
        <v>118</v>
      </c>
      <c r="F960" t="s">
        <v>28</v>
      </c>
      <c r="G960" t="s">
        <v>46</v>
      </c>
      <c r="H960" t="s">
        <v>840</v>
      </c>
      <c r="I960" s="2">
        <v>294.93</v>
      </c>
      <c r="J960" s="3">
        <v>3</v>
      </c>
      <c r="K960" s="2">
        <v>144.52000000000001</v>
      </c>
    </row>
    <row r="961" spans="1:11" x14ac:dyDescent="0.35">
      <c r="A961" s="1">
        <v>42188</v>
      </c>
      <c r="B961" s="3">
        <f t="shared" si="28"/>
        <v>2015</v>
      </c>
      <c r="C961" s="3">
        <f t="shared" si="29"/>
        <v>7</v>
      </c>
      <c r="D961" t="s">
        <v>128</v>
      </c>
      <c r="E961" t="s">
        <v>89</v>
      </c>
      <c r="F961" t="s">
        <v>18</v>
      </c>
      <c r="G961" t="s">
        <v>36</v>
      </c>
      <c r="H961" t="s">
        <v>1177</v>
      </c>
      <c r="I961" s="2">
        <v>168.46</v>
      </c>
      <c r="J961" s="3">
        <v>2</v>
      </c>
      <c r="K961" s="2">
        <v>-29.48</v>
      </c>
    </row>
    <row r="962" spans="1:11" x14ac:dyDescent="0.35">
      <c r="A962" s="1">
        <v>42188</v>
      </c>
      <c r="B962" s="3">
        <f t="shared" ref="B962:B1025" si="30">YEAR(A962)</f>
        <v>2015</v>
      </c>
      <c r="C962" s="3">
        <f t="shared" ref="C962:C1025" si="31">MONTH(A962)</f>
        <v>7</v>
      </c>
      <c r="D962" t="s">
        <v>128</v>
      </c>
      <c r="E962" t="s">
        <v>89</v>
      </c>
      <c r="F962" t="s">
        <v>28</v>
      </c>
      <c r="G962" t="s">
        <v>29</v>
      </c>
      <c r="H962" t="s">
        <v>1126</v>
      </c>
      <c r="I962" s="2">
        <v>6.72</v>
      </c>
      <c r="J962" s="3">
        <v>2</v>
      </c>
      <c r="K962" s="2">
        <v>2.44</v>
      </c>
    </row>
    <row r="963" spans="1:11" x14ac:dyDescent="0.35">
      <c r="A963" s="1">
        <v>42188</v>
      </c>
      <c r="B963" s="3">
        <f t="shared" si="30"/>
        <v>2015</v>
      </c>
      <c r="C963" s="3">
        <f t="shared" si="31"/>
        <v>7</v>
      </c>
      <c r="D963" t="s">
        <v>128</v>
      </c>
      <c r="E963" t="s">
        <v>89</v>
      </c>
      <c r="F963" t="s">
        <v>18</v>
      </c>
      <c r="G963" t="s">
        <v>36</v>
      </c>
      <c r="H963" t="s">
        <v>1178</v>
      </c>
      <c r="I963" s="2">
        <v>282.89</v>
      </c>
      <c r="J963" s="3">
        <v>9</v>
      </c>
      <c r="K963" s="2">
        <v>56.58</v>
      </c>
    </row>
    <row r="964" spans="1:11" x14ac:dyDescent="0.35">
      <c r="A964" s="1">
        <v>42250</v>
      </c>
      <c r="B964" s="3">
        <f t="shared" si="30"/>
        <v>2015</v>
      </c>
      <c r="C964" s="3">
        <f t="shared" si="31"/>
        <v>9</v>
      </c>
      <c r="D964" t="s">
        <v>1179</v>
      </c>
      <c r="E964" t="s">
        <v>81</v>
      </c>
      <c r="F964" t="s">
        <v>28</v>
      </c>
      <c r="G964" t="s">
        <v>158</v>
      </c>
      <c r="H964" t="s">
        <v>1180</v>
      </c>
      <c r="I964" s="2">
        <v>200.98</v>
      </c>
      <c r="J964" s="3">
        <v>7</v>
      </c>
      <c r="K964" s="2">
        <v>62.81</v>
      </c>
    </row>
    <row r="965" spans="1:11" x14ac:dyDescent="0.35">
      <c r="A965" s="1">
        <v>42250</v>
      </c>
      <c r="B965" s="3">
        <f t="shared" si="30"/>
        <v>2015</v>
      </c>
      <c r="C965" s="3">
        <f t="shared" si="31"/>
        <v>9</v>
      </c>
      <c r="D965" t="s">
        <v>1181</v>
      </c>
      <c r="E965" t="s">
        <v>89</v>
      </c>
      <c r="F965" t="s">
        <v>28</v>
      </c>
      <c r="G965" t="s">
        <v>38</v>
      </c>
      <c r="H965" t="s">
        <v>1182</v>
      </c>
      <c r="I965" s="2">
        <v>36.340000000000003</v>
      </c>
      <c r="J965" s="3">
        <v>3</v>
      </c>
      <c r="K965" s="2">
        <v>-7.27</v>
      </c>
    </row>
    <row r="966" spans="1:11" x14ac:dyDescent="0.35">
      <c r="A966" s="1">
        <v>42250</v>
      </c>
      <c r="B966" s="3">
        <f t="shared" si="30"/>
        <v>2015</v>
      </c>
      <c r="C966" s="3">
        <f t="shared" si="31"/>
        <v>9</v>
      </c>
      <c r="D966" t="s">
        <v>1181</v>
      </c>
      <c r="E966" t="s">
        <v>89</v>
      </c>
      <c r="F966" t="s">
        <v>28</v>
      </c>
      <c r="G966" t="s">
        <v>215</v>
      </c>
      <c r="H966" t="s">
        <v>436</v>
      </c>
      <c r="I966" s="2">
        <v>666.25</v>
      </c>
      <c r="J966" s="3">
        <v>1</v>
      </c>
      <c r="K966" s="2">
        <v>-149.91</v>
      </c>
    </row>
    <row r="967" spans="1:11" x14ac:dyDescent="0.35">
      <c r="A967" s="1">
        <v>42250</v>
      </c>
      <c r="B967" s="3">
        <f t="shared" si="30"/>
        <v>2015</v>
      </c>
      <c r="C967" s="3">
        <f t="shared" si="31"/>
        <v>9</v>
      </c>
      <c r="D967" t="s">
        <v>1181</v>
      </c>
      <c r="E967" t="s">
        <v>89</v>
      </c>
      <c r="F967" t="s">
        <v>28</v>
      </c>
      <c r="G967" t="s">
        <v>158</v>
      </c>
      <c r="H967" t="s">
        <v>1183</v>
      </c>
      <c r="I967" s="2">
        <v>52.51</v>
      </c>
      <c r="J967" s="3">
        <v>6</v>
      </c>
      <c r="K967" s="2">
        <v>19.690000000000001</v>
      </c>
    </row>
    <row r="968" spans="1:11" x14ac:dyDescent="0.35">
      <c r="A968" s="1">
        <v>42250</v>
      </c>
      <c r="B968" s="3">
        <f t="shared" si="30"/>
        <v>2015</v>
      </c>
      <c r="C968" s="3">
        <f t="shared" si="31"/>
        <v>9</v>
      </c>
      <c r="D968" t="s">
        <v>1049</v>
      </c>
      <c r="E968" t="s">
        <v>45</v>
      </c>
      <c r="F968" t="s">
        <v>28</v>
      </c>
      <c r="G968" t="s">
        <v>38</v>
      </c>
      <c r="H968" t="s">
        <v>1184</v>
      </c>
      <c r="I968" s="2">
        <v>31.44</v>
      </c>
      <c r="J968" s="3">
        <v>3</v>
      </c>
      <c r="K968" s="2">
        <v>8.49</v>
      </c>
    </row>
    <row r="969" spans="1:11" x14ac:dyDescent="0.35">
      <c r="A969" s="1">
        <v>42250</v>
      </c>
      <c r="B969" s="3">
        <f t="shared" si="30"/>
        <v>2015</v>
      </c>
      <c r="C969" s="3">
        <f t="shared" si="31"/>
        <v>9</v>
      </c>
      <c r="D969" t="s">
        <v>1049</v>
      </c>
      <c r="E969" t="s">
        <v>45</v>
      </c>
      <c r="F969" t="s">
        <v>13</v>
      </c>
      <c r="G969" t="s">
        <v>14</v>
      </c>
      <c r="H969" t="s">
        <v>218</v>
      </c>
      <c r="I969" s="2">
        <v>17.899999999999999</v>
      </c>
      <c r="J969" s="3">
        <v>2</v>
      </c>
      <c r="K969" s="2">
        <v>3.4</v>
      </c>
    </row>
    <row r="970" spans="1:11" x14ac:dyDescent="0.35">
      <c r="A970" s="1">
        <v>42250</v>
      </c>
      <c r="B970" s="3">
        <f t="shared" si="30"/>
        <v>2015</v>
      </c>
      <c r="C970" s="3">
        <f t="shared" si="31"/>
        <v>9</v>
      </c>
      <c r="D970" t="s">
        <v>1049</v>
      </c>
      <c r="E970" t="s">
        <v>45</v>
      </c>
      <c r="F970" t="s">
        <v>13</v>
      </c>
      <c r="G970" t="s">
        <v>14</v>
      </c>
      <c r="H970" t="s">
        <v>1185</v>
      </c>
      <c r="I970" s="2">
        <v>129.44999999999999</v>
      </c>
      <c r="J970" s="3">
        <v>5</v>
      </c>
      <c r="K970" s="2">
        <v>46.6</v>
      </c>
    </row>
    <row r="971" spans="1:11" x14ac:dyDescent="0.35">
      <c r="A971" s="1">
        <v>42250</v>
      </c>
      <c r="B971" s="3">
        <f t="shared" si="30"/>
        <v>2015</v>
      </c>
      <c r="C971" s="3">
        <f t="shared" si="31"/>
        <v>9</v>
      </c>
      <c r="D971" t="s">
        <v>1047</v>
      </c>
      <c r="E971" t="s">
        <v>323</v>
      </c>
      <c r="F971" t="s">
        <v>28</v>
      </c>
      <c r="G971" t="s">
        <v>58</v>
      </c>
      <c r="H971" t="s">
        <v>1186</v>
      </c>
      <c r="I971" s="2">
        <v>137.62</v>
      </c>
      <c r="J971" s="3">
        <v>2</v>
      </c>
      <c r="K971" s="2">
        <v>60.55</v>
      </c>
    </row>
    <row r="972" spans="1:11" x14ac:dyDescent="0.35">
      <c r="A972" s="1">
        <v>42250</v>
      </c>
      <c r="B972" s="3">
        <f t="shared" si="30"/>
        <v>2015</v>
      </c>
      <c r="C972" s="3">
        <f t="shared" si="31"/>
        <v>9</v>
      </c>
      <c r="D972" t="s">
        <v>1047</v>
      </c>
      <c r="E972" t="s">
        <v>323</v>
      </c>
      <c r="F972" t="s">
        <v>13</v>
      </c>
      <c r="G972" t="s">
        <v>23</v>
      </c>
      <c r="H972" t="s">
        <v>956</v>
      </c>
      <c r="I972" s="2">
        <v>100.49</v>
      </c>
      <c r="J972" s="3">
        <v>1</v>
      </c>
      <c r="K972" s="2">
        <v>25.12</v>
      </c>
    </row>
    <row r="973" spans="1:11" x14ac:dyDescent="0.35">
      <c r="A973" s="1">
        <v>42250</v>
      </c>
      <c r="B973" s="3">
        <f t="shared" si="30"/>
        <v>2015</v>
      </c>
      <c r="C973" s="3">
        <f t="shared" si="31"/>
        <v>9</v>
      </c>
      <c r="D973" t="s">
        <v>1047</v>
      </c>
      <c r="E973" t="s">
        <v>22</v>
      </c>
      <c r="F973" t="s">
        <v>28</v>
      </c>
      <c r="G973" t="s">
        <v>38</v>
      </c>
      <c r="H973" t="s">
        <v>1187</v>
      </c>
      <c r="I973" s="2">
        <v>120.33</v>
      </c>
      <c r="J973" s="3">
        <v>1</v>
      </c>
      <c r="K973" s="2">
        <v>31.29</v>
      </c>
    </row>
    <row r="974" spans="1:11" x14ac:dyDescent="0.35">
      <c r="A974" s="1">
        <v>42250</v>
      </c>
      <c r="B974" s="3">
        <f t="shared" si="30"/>
        <v>2015</v>
      </c>
      <c r="C974" s="3">
        <f t="shared" si="31"/>
        <v>9</v>
      </c>
      <c r="D974" t="s">
        <v>88</v>
      </c>
      <c r="E974" t="s">
        <v>45</v>
      </c>
      <c r="F974" t="s">
        <v>18</v>
      </c>
      <c r="G974" t="s">
        <v>19</v>
      </c>
      <c r="H974" t="s">
        <v>1188</v>
      </c>
      <c r="I974" s="2">
        <v>129.57</v>
      </c>
      <c r="J974" s="3">
        <v>2</v>
      </c>
      <c r="K974" s="2">
        <v>-12.96</v>
      </c>
    </row>
    <row r="975" spans="1:11" x14ac:dyDescent="0.35">
      <c r="A975" s="1">
        <v>42250</v>
      </c>
      <c r="B975" s="3">
        <f t="shared" si="30"/>
        <v>2015</v>
      </c>
      <c r="C975" s="3">
        <f t="shared" si="31"/>
        <v>9</v>
      </c>
      <c r="D975" t="s">
        <v>88</v>
      </c>
      <c r="E975" t="s">
        <v>45</v>
      </c>
      <c r="F975" t="s">
        <v>28</v>
      </c>
      <c r="G975" t="s">
        <v>48</v>
      </c>
      <c r="H975" t="s">
        <v>1189</v>
      </c>
      <c r="I975" s="2">
        <v>6.37</v>
      </c>
      <c r="J975" s="3">
        <v>2</v>
      </c>
      <c r="K975" s="2">
        <v>2.15</v>
      </c>
    </row>
    <row r="976" spans="1:11" x14ac:dyDescent="0.35">
      <c r="A976" s="1">
        <v>42250</v>
      </c>
      <c r="B976" s="3">
        <f t="shared" si="30"/>
        <v>2015</v>
      </c>
      <c r="C976" s="3">
        <f t="shared" si="31"/>
        <v>9</v>
      </c>
      <c r="D976" t="s">
        <v>421</v>
      </c>
      <c r="E976" t="s">
        <v>211</v>
      </c>
      <c r="F976" t="s">
        <v>18</v>
      </c>
      <c r="G976" t="s">
        <v>36</v>
      </c>
      <c r="H976" t="s">
        <v>1190</v>
      </c>
      <c r="I976" s="2">
        <v>238.15</v>
      </c>
      <c r="J976" s="3">
        <v>3</v>
      </c>
      <c r="K976" s="2">
        <v>89.31</v>
      </c>
    </row>
    <row r="977" spans="1:11" x14ac:dyDescent="0.35">
      <c r="A977" s="1">
        <v>42250</v>
      </c>
      <c r="B977" s="3">
        <f t="shared" si="30"/>
        <v>2015</v>
      </c>
      <c r="C977" s="3">
        <f t="shared" si="31"/>
        <v>9</v>
      </c>
      <c r="D977" t="s">
        <v>1191</v>
      </c>
      <c r="E977" t="s">
        <v>71</v>
      </c>
      <c r="F977" t="s">
        <v>28</v>
      </c>
      <c r="G977" t="s">
        <v>46</v>
      </c>
      <c r="H977" t="s">
        <v>1192</v>
      </c>
      <c r="I977" s="2">
        <v>7.5</v>
      </c>
      <c r="J977" s="3">
        <v>2</v>
      </c>
      <c r="K977" s="2">
        <v>3.6</v>
      </c>
    </row>
    <row r="978" spans="1:11" x14ac:dyDescent="0.35">
      <c r="A978" s="1">
        <v>42280</v>
      </c>
      <c r="B978" s="3">
        <f t="shared" si="30"/>
        <v>2015</v>
      </c>
      <c r="C978" s="3">
        <f t="shared" si="31"/>
        <v>10</v>
      </c>
      <c r="D978" t="s">
        <v>208</v>
      </c>
      <c r="E978" t="s">
        <v>131</v>
      </c>
      <c r="F978" t="s">
        <v>28</v>
      </c>
      <c r="G978" t="s">
        <v>48</v>
      </c>
      <c r="H978" t="s">
        <v>226</v>
      </c>
      <c r="I978" s="2">
        <v>32.07</v>
      </c>
      <c r="J978" s="3">
        <v>5</v>
      </c>
      <c r="K978" s="2">
        <v>-22.45</v>
      </c>
    </row>
    <row r="979" spans="1:11" x14ac:dyDescent="0.35">
      <c r="A979" s="1">
        <v>42280</v>
      </c>
      <c r="B979" s="3">
        <f t="shared" si="30"/>
        <v>2015</v>
      </c>
      <c r="C979" s="3">
        <f t="shared" si="31"/>
        <v>10</v>
      </c>
      <c r="D979" t="s">
        <v>208</v>
      </c>
      <c r="E979" t="s">
        <v>131</v>
      </c>
      <c r="F979" t="s">
        <v>13</v>
      </c>
      <c r="G979" t="s">
        <v>14</v>
      </c>
      <c r="H979" t="s">
        <v>1193</v>
      </c>
      <c r="I979" s="2">
        <v>24</v>
      </c>
      <c r="J979" s="3">
        <v>2</v>
      </c>
      <c r="K979" s="2">
        <v>-2.7</v>
      </c>
    </row>
    <row r="980" spans="1:11" x14ac:dyDescent="0.35">
      <c r="A980" s="1">
        <v>42280</v>
      </c>
      <c r="B980" s="3">
        <f t="shared" si="30"/>
        <v>2015</v>
      </c>
      <c r="C980" s="3">
        <f t="shared" si="31"/>
        <v>10</v>
      </c>
      <c r="D980" t="s">
        <v>208</v>
      </c>
      <c r="E980" t="s">
        <v>131</v>
      </c>
      <c r="F980" t="s">
        <v>18</v>
      </c>
      <c r="G980" t="s">
        <v>237</v>
      </c>
      <c r="H980" t="s">
        <v>1194</v>
      </c>
      <c r="I980" s="2">
        <v>35.49</v>
      </c>
      <c r="J980" s="3">
        <v>1</v>
      </c>
      <c r="K980" s="2">
        <v>-15.62</v>
      </c>
    </row>
    <row r="981" spans="1:11" x14ac:dyDescent="0.35">
      <c r="A981" s="1">
        <v>42280</v>
      </c>
      <c r="B981" s="3">
        <f t="shared" si="30"/>
        <v>2015</v>
      </c>
      <c r="C981" s="3">
        <f t="shared" si="31"/>
        <v>10</v>
      </c>
      <c r="D981" t="s">
        <v>208</v>
      </c>
      <c r="E981" t="s">
        <v>131</v>
      </c>
      <c r="F981" t="s">
        <v>13</v>
      </c>
      <c r="G981" t="s">
        <v>14</v>
      </c>
      <c r="H981" t="s">
        <v>1195</v>
      </c>
      <c r="I981" s="2">
        <v>47.98</v>
      </c>
      <c r="J981" s="3">
        <v>2</v>
      </c>
      <c r="K981" s="2">
        <v>0.6</v>
      </c>
    </row>
    <row r="982" spans="1:11" x14ac:dyDescent="0.35">
      <c r="A982" s="1">
        <v>42280</v>
      </c>
      <c r="B982" s="3">
        <f t="shared" si="30"/>
        <v>2015</v>
      </c>
      <c r="C982" s="3">
        <f t="shared" si="31"/>
        <v>10</v>
      </c>
      <c r="D982" t="s">
        <v>359</v>
      </c>
      <c r="E982" t="s">
        <v>89</v>
      </c>
      <c r="F982" t="s">
        <v>28</v>
      </c>
      <c r="G982" t="s">
        <v>38</v>
      </c>
      <c r="H982" t="s">
        <v>295</v>
      </c>
      <c r="I982" s="2">
        <v>15.01</v>
      </c>
      <c r="J982" s="3">
        <v>2</v>
      </c>
      <c r="K982" s="2">
        <v>1.5</v>
      </c>
    </row>
    <row r="983" spans="1:11" x14ac:dyDescent="0.35">
      <c r="A983" s="1">
        <v>42280</v>
      </c>
      <c r="B983" s="3">
        <f t="shared" si="30"/>
        <v>2015</v>
      </c>
      <c r="C983" s="3">
        <f t="shared" si="31"/>
        <v>10</v>
      </c>
      <c r="D983" t="s">
        <v>289</v>
      </c>
      <c r="E983" t="s">
        <v>45</v>
      </c>
      <c r="F983" t="s">
        <v>18</v>
      </c>
      <c r="G983" t="s">
        <v>237</v>
      </c>
      <c r="H983" t="s">
        <v>1194</v>
      </c>
      <c r="I983" s="2">
        <v>120.67</v>
      </c>
      <c r="J983" s="3">
        <v>2</v>
      </c>
      <c r="K983" s="2">
        <v>18.45</v>
      </c>
    </row>
    <row r="984" spans="1:11" x14ac:dyDescent="0.35">
      <c r="A984" s="1">
        <v>42311</v>
      </c>
      <c r="B984" s="3">
        <f t="shared" si="30"/>
        <v>2015</v>
      </c>
      <c r="C984" s="3">
        <f t="shared" si="31"/>
        <v>11</v>
      </c>
      <c r="D984" t="s">
        <v>1196</v>
      </c>
      <c r="E984" t="s">
        <v>45</v>
      </c>
      <c r="F984" t="s">
        <v>13</v>
      </c>
      <c r="G984" t="s">
        <v>23</v>
      </c>
      <c r="H984" t="s">
        <v>1197</v>
      </c>
      <c r="I984" s="2">
        <v>1212.8499999999999</v>
      </c>
      <c r="J984" s="3">
        <v>7</v>
      </c>
      <c r="K984" s="2">
        <v>106.12</v>
      </c>
    </row>
    <row r="985" spans="1:11" x14ac:dyDescent="0.35">
      <c r="A985" s="1">
        <v>42311</v>
      </c>
      <c r="B985" s="3">
        <f t="shared" si="30"/>
        <v>2015</v>
      </c>
      <c r="C985" s="3">
        <f t="shared" si="31"/>
        <v>11</v>
      </c>
      <c r="D985" t="s">
        <v>1196</v>
      </c>
      <c r="E985" t="s">
        <v>45</v>
      </c>
      <c r="F985" t="s">
        <v>13</v>
      </c>
      <c r="G985" t="s">
        <v>14</v>
      </c>
      <c r="H985" t="s">
        <v>1198</v>
      </c>
      <c r="I985" s="2">
        <v>89.97</v>
      </c>
      <c r="J985" s="3">
        <v>3</v>
      </c>
      <c r="K985" s="2">
        <v>37.79</v>
      </c>
    </row>
    <row r="986" spans="1:11" x14ac:dyDescent="0.35">
      <c r="A986" s="1">
        <v>42311</v>
      </c>
      <c r="B986" s="3">
        <f t="shared" si="30"/>
        <v>2015</v>
      </c>
      <c r="C986" s="3">
        <f t="shared" si="31"/>
        <v>11</v>
      </c>
      <c r="D986" t="s">
        <v>1196</v>
      </c>
      <c r="E986" t="s">
        <v>45</v>
      </c>
      <c r="F986" t="s">
        <v>18</v>
      </c>
      <c r="G986" t="s">
        <v>36</v>
      </c>
      <c r="H986" t="s">
        <v>1159</v>
      </c>
      <c r="I986" s="2">
        <v>42.6</v>
      </c>
      <c r="J986" s="3">
        <v>3</v>
      </c>
      <c r="K986" s="2">
        <v>16.61</v>
      </c>
    </row>
    <row r="987" spans="1:11" x14ac:dyDescent="0.35">
      <c r="A987" s="1">
        <v>42311</v>
      </c>
      <c r="B987" s="3">
        <f t="shared" si="30"/>
        <v>2015</v>
      </c>
      <c r="C987" s="3">
        <f t="shared" si="31"/>
        <v>11</v>
      </c>
      <c r="D987" t="s">
        <v>594</v>
      </c>
      <c r="E987" t="s">
        <v>32</v>
      </c>
      <c r="F987" t="s">
        <v>28</v>
      </c>
      <c r="G987" t="s">
        <v>158</v>
      </c>
      <c r="H987" t="s">
        <v>1199</v>
      </c>
      <c r="I987" s="2">
        <v>6.61</v>
      </c>
      <c r="J987" s="3">
        <v>2</v>
      </c>
      <c r="K987" s="2">
        <v>2.15</v>
      </c>
    </row>
    <row r="988" spans="1:11" x14ac:dyDescent="0.35">
      <c r="A988" s="1">
        <v>42311</v>
      </c>
      <c r="B988" s="3">
        <f t="shared" si="30"/>
        <v>2015</v>
      </c>
      <c r="C988" s="3">
        <f t="shared" si="31"/>
        <v>11</v>
      </c>
      <c r="D988" t="s">
        <v>1200</v>
      </c>
      <c r="E988" t="s">
        <v>22</v>
      </c>
      <c r="F988" t="s">
        <v>18</v>
      </c>
      <c r="G988" t="s">
        <v>19</v>
      </c>
      <c r="H988" t="s">
        <v>1201</v>
      </c>
      <c r="I988" s="2">
        <v>1448.82</v>
      </c>
      <c r="J988" s="3">
        <v>10</v>
      </c>
      <c r="K988" s="2">
        <v>209.27</v>
      </c>
    </row>
    <row r="989" spans="1:11" x14ac:dyDescent="0.35">
      <c r="A989" s="1">
        <v>42341</v>
      </c>
      <c r="B989" s="3">
        <f t="shared" si="30"/>
        <v>2015</v>
      </c>
      <c r="C989" s="3">
        <f t="shared" si="31"/>
        <v>12</v>
      </c>
      <c r="D989" t="s">
        <v>1202</v>
      </c>
      <c r="E989" t="s">
        <v>89</v>
      </c>
      <c r="F989" t="s">
        <v>13</v>
      </c>
      <c r="G989" t="s">
        <v>204</v>
      </c>
      <c r="H989" t="s">
        <v>1203</v>
      </c>
      <c r="I989" s="2">
        <v>482.34</v>
      </c>
      <c r="J989" s="3">
        <v>4</v>
      </c>
      <c r="K989" s="2">
        <v>-337.64</v>
      </c>
    </row>
    <row r="990" spans="1:11" x14ac:dyDescent="0.35">
      <c r="A990" s="1">
        <v>42341</v>
      </c>
      <c r="B990" s="3">
        <f t="shared" si="30"/>
        <v>2015</v>
      </c>
      <c r="C990" s="3">
        <f t="shared" si="31"/>
        <v>12</v>
      </c>
      <c r="D990" t="s">
        <v>1202</v>
      </c>
      <c r="E990" t="s">
        <v>89</v>
      </c>
      <c r="F990" t="s">
        <v>18</v>
      </c>
      <c r="G990" t="s">
        <v>36</v>
      </c>
      <c r="H990" t="s">
        <v>68</v>
      </c>
      <c r="I990" s="2">
        <v>2.96</v>
      </c>
      <c r="J990" s="3">
        <v>1</v>
      </c>
      <c r="K990" s="2">
        <v>0.78</v>
      </c>
    </row>
    <row r="991" spans="1:11" x14ac:dyDescent="0.35">
      <c r="A991" s="1">
        <v>42341</v>
      </c>
      <c r="B991" s="3">
        <f t="shared" si="30"/>
        <v>2015</v>
      </c>
      <c r="C991" s="3">
        <f t="shared" si="31"/>
        <v>12</v>
      </c>
      <c r="D991" t="s">
        <v>377</v>
      </c>
      <c r="E991" t="s">
        <v>22</v>
      </c>
      <c r="F991" t="s">
        <v>28</v>
      </c>
      <c r="G991" t="s">
        <v>48</v>
      </c>
      <c r="H991" t="s">
        <v>1204</v>
      </c>
      <c r="I991" s="2">
        <v>10.75</v>
      </c>
      <c r="J991" s="3">
        <v>4</v>
      </c>
      <c r="K991" s="2">
        <v>3.36</v>
      </c>
    </row>
    <row r="992" spans="1:11" x14ac:dyDescent="0.35">
      <c r="A992" s="1">
        <v>42341</v>
      </c>
      <c r="B992" s="3">
        <f t="shared" si="30"/>
        <v>2015</v>
      </c>
      <c r="C992" s="3">
        <f t="shared" si="31"/>
        <v>12</v>
      </c>
      <c r="D992" t="s">
        <v>1205</v>
      </c>
      <c r="E992" t="s">
        <v>89</v>
      </c>
      <c r="F992" t="s">
        <v>28</v>
      </c>
      <c r="G992" t="s">
        <v>29</v>
      </c>
      <c r="H992" t="s">
        <v>258</v>
      </c>
      <c r="I992" s="2">
        <v>16.45</v>
      </c>
      <c r="J992" s="3">
        <v>2</v>
      </c>
      <c r="K992" s="2">
        <v>5.55</v>
      </c>
    </row>
    <row r="993" spans="1:11" x14ac:dyDescent="0.35">
      <c r="A993" s="1">
        <v>42341</v>
      </c>
      <c r="B993" s="3">
        <f t="shared" si="30"/>
        <v>2015</v>
      </c>
      <c r="C993" s="3">
        <f t="shared" si="31"/>
        <v>12</v>
      </c>
      <c r="D993" t="s">
        <v>1205</v>
      </c>
      <c r="E993" t="s">
        <v>89</v>
      </c>
      <c r="F993" t="s">
        <v>13</v>
      </c>
      <c r="G993" t="s">
        <v>14</v>
      </c>
      <c r="H993" t="s">
        <v>1206</v>
      </c>
      <c r="I993" s="2">
        <v>36.78</v>
      </c>
      <c r="J993" s="3">
        <v>2</v>
      </c>
      <c r="K993" s="2">
        <v>10.58</v>
      </c>
    </row>
    <row r="994" spans="1:11" x14ac:dyDescent="0.35">
      <c r="A994" s="1">
        <v>42341</v>
      </c>
      <c r="B994" s="3">
        <f t="shared" si="30"/>
        <v>2015</v>
      </c>
      <c r="C994" s="3">
        <f t="shared" si="31"/>
        <v>12</v>
      </c>
      <c r="D994" t="s">
        <v>1207</v>
      </c>
      <c r="E994" t="s">
        <v>22</v>
      </c>
      <c r="F994" t="s">
        <v>28</v>
      </c>
      <c r="G994" t="s">
        <v>48</v>
      </c>
      <c r="H994" t="s">
        <v>1208</v>
      </c>
      <c r="I994" s="2">
        <v>590.35</v>
      </c>
      <c r="J994" s="3">
        <v>6</v>
      </c>
      <c r="K994" s="2">
        <v>206.62</v>
      </c>
    </row>
    <row r="995" spans="1:11" x14ac:dyDescent="0.35">
      <c r="A995" s="1">
        <v>42341</v>
      </c>
      <c r="B995" s="3">
        <f t="shared" si="30"/>
        <v>2015</v>
      </c>
      <c r="C995" s="3">
        <f t="shared" si="31"/>
        <v>12</v>
      </c>
      <c r="D995" t="s">
        <v>1209</v>
      </c>
      <c r="E995" t="s">
        <v>45</v>
      </c>
      <c r="F995" t="s">
        <v>18</v>
      </c>
      <c r="G995" t="s">
        <v>237</v>
      </c>
      <c r="H995" t="s">
        <v>1210</v>
      </c>
      <c r="I995" s="2">
        <v>359.5</v>
      </c>
      <c r="J995" s="3">
        <v>3</v>
      </c>
      <c r="K995" s="2">
        <v>-29.61</v>
      </c>
    </row>
    <row r="996" spans="1:11" x14ac:dyDescent="0.35">
      <c r="A996" s="1">
        <v>42341</v>
      </c>
      <c r="B996" s="3">
        <f t="shared" si="30"/>
        <v>2015</v>
      </c>
      <c r="C996" s="3">
        <f t="shared" si="31"/>
        <v>12</v>
      </c>
      <c r="D996" t="s">
        <v>729</v>
      </c>
      <c r="E996" t="s">
        <v>81</v>
      </c>
      <c r="F996" t="s">
        <v>18</v>
      </c>
      <c r="G996" t="s">
        <v>36</v>
      </c>
      <c r="H996" t="s">
        <v>646</v>
      </c>
      <c r="I996" s="2">
        <v>77.95</v>
      </c>
      <c r="J996" s="3">
        <v>3</v>
      </c>
      <c r="K996" s="2">
        <v>12.67</v>
      </c>
    </row>
    <row r="997" spans="1:11" x14ac:dyDescent="0.35">
      <c r="A997" s="1">
        <v>42341</v>
      </c>
      <c r="B997" s="3">
        <f t="shared" si="30"/>
        <v>2015</v>
      </c>
      <c r="C997" s="3">
        <f t="shared" si="31"/>
        <v>12</v>
      </c>
      <c r="D997" t="s">
        <v>729</v>
      </c>
      <c r="E997" t="s">
        <v>81</v>
      </c>
      <c r="F997" t="s">
        <v>28</v>
      </c>
      <c r="G997" t="s">
        <v>48</v>
      </c>
      <c r="H997" t="s">
        <v>1211</v>
      </c>
      <c r="I997" s="2">
        <v>95.97</v>
      </c>
      <c r="J997" s="3">
        <v>5</v>
      </c>
      <c r="K997" s="2">
        <v>-73.58</v>
      </c>
    </row>
    <row r="998" spans="1:11" x14ac:dyDescent="0.35">
      <c r="A998" s="1">
        <v>42341</v>
      </c>
      <c r="B998" s="3">
        <f t="shared" si="30"/>
        <v>2015</v>
      </c>
      <c r="C998" s="3">
        <f t="shared" si="31"/>
        <v>12</v>
      </c>
      <c r="D998" t="s">
        <v>729</v>
      </c>
      <c r="E998" t="s">
        <v>81</v>
      </c>
      <c r="F998" t="s">
        <v>13</v>
      </c>
      <c r="G998" t="s">
        <v>23</v>
      </c>
      <c r="H998" t="s">
        <v>1212</v>
      </c>
      <c r="I998" s="2">
        <v>105.58</v>
      </c>
      <c r="J998" s="3">
        <v>2</v>
      </c>
      <c r="K998" s="2">
        <v>9.24</v>
      </c>
    </row>
    <row r="999" spans="1:11" x14ac:dyDescent="0.35">
      <c r="A999" s="1">
        <v>42341</v>
      </c>
      <c r="B999" s="3">
        <f t="shared" si="30"/>
        <v>2015</v>
      </c>
      <c r="C999" s="3">
        <f t="shared" si="31"/>
        <v>12</v>
      </c>
      <c r="D999" t="s">
        <v>729</v>
      </c>
      <c r="E999" t="s">
        <v>81</v>
      </c>
      <c r="F999" t="s">
        <v>28</v>
      </c>
      <c r="G999" t="s">
        <v>64</v>
      </c>
      <c r="H999" t="s">
        <v>748</v>
      </c>
      <c r="I999" s="2">
        <v>9.34</v>
      </c>
      <c r="J999" s="3">
        <v>2</v>
      </c>
      <c r="K999" s="2">
        <v>1.17</v>
      </c>
    </row>
    <row r="1000" spans="1:11" x14ac:dyDescent="0.35">
      <c r="A1000" s="1">
        <v>42341</v>
      </c>
      <c r="B1000" s="3">
        <f t="shared" si="30"/>
        <v>2015</v>
      </c>
      <c r="C1000" s="3">
        <f t="shared" si="31"/>
        <v>12</v>
      </c>
      <c r="D1000" t="s">
        <v>548</v>
      </c>
      <c r="E1000" t="s">
        <v>1213</v>
      </c>
      <c r="F1000" t="s">
        <v>28</v>
      </c>
      <c r="G1000" t="s">
        <v>29</v>
      </c>
      <c r="H1000" t="s">
        <v>1214</v>
      </c>
      <c r="I1000" s="2">
        <v>184.66</v>
      </c>
      <c r="J1000" s="3">
        <v>7</v>
      </c>
      <c r="K1000" s="2">
        <v>84.94</v>
      </c>
    </row>
    <row r="1001" spans="1:11" x14ac:dyDescent="0.35">
      <c r="A1001" s="1">
        <v>42008</v>
      </c>
      <c r="B1001" s="3">
        <f t="shared" si="30"/>
        <v>2015</v>
      </c>
      <c r="C1001" s="3">
        <f t="shared" si="31"/>
        <v>1</v>
      </c>
      <c r="D1001" t="s">
        <v>594</v>
      </c>
      <c r="E1001" t="s">
        <v>55</v>
      </c>
      <c r="F1001" t="s">
        <v>28</v>
      </c>
      <c r="G1001" t="s">
        <v>48</v>
      </c>
      <c r="H1001" t="s">
        <v>350</v>
      </c>
      <c r="I1001" s="2">
        <v>32.340000000000003</v>
      </c>
      <c r="J1001" s="3">
        <v>3</v>
      </c>
      <c r="K1001" s="2">
        <v>15.52</v>
      </c>
    </row>
    <row r="1002" spans="1:11" x14ac:dyDescent="0.35">
      <c r="A1002" s="1">
        <v>42008</v>
      </c>
      <c r="B1002" s="3">
        <f t="shared" si="30"/>
        <v>2015</v>
      </c>
      <c r="C1002" s="3">
        <f t="shared" si="31"/>
        <v>1</v>
      </c>
      <c r="D1002" t="s">
        <v>594</v>
      </c>
      <c r="E1002" t="s">
        <v>55</v>
      </c>
      <c r="F1002" t="s">
        <v>28</v>
      </c>
      <c r="G1002" t="s">
        <v>29</v>
      </c>
      <c r="H1002" t="s">
        <v>57</v>
      </c>
      <c r="I1002" s="2">
        <v>39.9</v>
      </c>
      <c r="J1002" s="3">
        <v>5</v>
      </c>
      <c r="K1002" s="2">
        <v>19.95</v>
      </c>
    </row>
    <row r="1003" spans="1:11" x14ac:dyDescent="0.35">
      <c r="A1003" s="1">
        <v>42008</v>
      </c>
      <c r="B1003" s="3">
        <f t="shared" si="30"/>
        <v>2015</v>
      </c>
      <c r="C1003" s="3">
        <f t="shared" si="31"/>
        <v>1</v>
      </c>
      <c r="D1003" t="s">
        <v>1215</v>
      </c>
      <c r="E1003" t="s">
        <v>173</v>
      </c>
      <c r="F1003" t="s">
        <v>18</v>
      </c>
      <c r="G1003" t="s">
        <v>36</v>
      </c>
      <c r="H1003" t="s">
        <v>370</v>
      </c>
      <c r="I1003" s="2">
        <v>192.22</v>
      </c>
      <c r="J1003" s="3">
        <v>14</v>
      </c>
      <c r="K1003" s="2">
        <v>69.2</v>
      </c>
    </row>
    <row r="1004" spans="1:11" x14ac:dyDescent="0.35">
      <c r="A1004" s="1">
        <v>42098</v>
      </c>
      <c r="B1004" s="3">
        <f t="shared" si="30"/>
        <v>2015</v>
      </c>
      <c r="C1004" s="3">
        <f t="shared" si="31"/>
        <v>4</v>
      </c>
      <c r="D1004" t="s">
        <v>804</v>
      </c>
      <c r="E1004" t="s">
        <v>22</v>
      </c>
      <c r="F1004" t="s">
        <v>28</v>
      </c>
      <c r="G1004" t="s">
        <v>64</v>
      </c>
      <c r="H1004" t="s">
        <v>188</v>
      </c>
      <c r="I1004" s="2">
        <v>11.16</v>
      </c>
      <c r="J1004" s="3">
        <v>2</v>
      </c>
      <c r="K1004" s="2">
        <v>4.3499999999999996</v>
      </c>
    </row>
    <row r="1005" spans="1:11" x14ac:dyDescent="0.35">
      <c r="A1005" s="1">
        <v>42098</v>
      </c>
      <c r="B1005" s="3">
        <f t="shared" si="30"/>
        <v>2015</v>
      </c>
      <c r="C1005" s="3">
        <f t="shared" si="31"/>
        <v>4</v>
      </c>
      <c r="D1005" t="s">
        <v>804</v>
      </c>
      <c r="E1005" t="s">
        <v>22</v>
      </c>
      <c r="F1005" t="s">
        <v>18</v>
      </c>
      <c r="G1005" t="s">
        <v>36</v>
      </c>
      <c r="H1005" t="s">
        <v>1216</v>
      </c>
      <c r="I1005" s="2">
        <v>108.4</v>
      </c>
      <c r="J1005" s="3">
        <v>2</v>
      </c>
      <c r="K1005" s="2">
        <v>22.76</v>
      </c>
    </row>
    <row r="1006" spans="1:11" x14ac:dyDescent="0.35">
      <c r="A1006" s="1">
        <v>42098</v>
      </c>
      <c r="B1006" s="3">
        <f t="shared" si="30"/>
        <v>2015</v>
      </c>
      <c r="C1006" s="3">
        <f t="shared" si="31"/>
        <v>4</v>
      </c>
      <c r="D1006" t="s">
        <v>804</v>
      </c>
      <c r="E1006" t="s">
        <v>22</v>
      </c>
      <c r="F1006" t="s">
        <v>28</v>
      </c>
      <c r="G1006" t="s">
        <v>48</v>
      </c>
      <c r="H1006" t="s">
        <v>1217</v>
      </c>
      <c r="I1006" s="2">
        <v>82.34</v>
      </c>
      <c r="J1006" s="3">
        <v>3</v>
      </c>
      <c r="K1006" s="2">
        <v>27.79</v>
      </c>
    </row>
    <row r="1007" spans="1:11" x14ac:dyDescent="0.35">
      <c r="A1007" s="1">
        <v>42098</v>
      </c>
      <c r="B1007" s="3">
        <f t="shared" si="30"/>
        <v>2015</v>
      </c>
      <c r="C1007" s="3">
        <f t="shared" si="31"/>
        <v>4</v>
      </c>
      <c r="D1007" t="s">
        <v>804</v>
      </c>
      <c r="E1007" t="s">
        <v>22</v>
      </c>
      <c r="F1007" t="s">
        <v>28</v>
      </c>
      <c r="G1007" t="s">
        <v>48</v>
      </c>
      <c r="H1007" t="s">
        <v>1218</v>
      </c>
      <c r="I1007" s="2">
        <v>9.09</v>
      </c>
      <c r="J1007" s="3">
        <v>4</v>
      </c>
      <c r="K1007" s="2">
        <v>3.29</v>
      </c>
    </row>
    <row r="1008" spans="1:11" x14ac:dyDescent="0.35">
      <c r="A1008" s="1">
        <v>42098</v>
      </c>
      <c r="B1008" s="3">
        <f t="shared" si="30"/>
        <v>2015</v>
      </c>
      <c r="C1008" s="3">
        <f t="shared" si="31"/>
        <v>4</v>
      </c>
      <c r="D1008" t="s">
        <v>371</v>
      </c>
      <c r="E1008" t="s">
        <v>71</v>
      </c>
      <c r="F1008" t="s">
        <v>28</v>
      </c>
      <c r="G1008" t="s">
        <v>58</v>
      </c>
      <c r="H1008" t="s">
        <v>1219</v>
      </c>
      <c r="I1008" s="2">
        <v>644.08000000000004</v>
      </c>
      <c r="J1008" s="3">
        <v>2</v>
      </c>
      <c r="K1008" s="2">
        <v>107.35</v>
      </c>
    </row>
    <row r="1009" spans="1:11" x14ac:dyDescent="0.35">
      <c r="A1009" s="1">
        <v>42098</v>
      </c>
      <c r="B1009" s="3">
        <f t="shared" si="30"/>
        <v>2015</v>
      </c>
      <c r="C1009" s="3">
        <f t="shared" si="31"/>
        <v>4</v>
      </c>
      <c r="D1009" t="s">
        <v>371</v>
      </c>
      <c r="E1009" t="s">
        <v>71</v>
      </c>
      <c r="F1009" t="s">
        <v>28</v>
      </c>
      <c r="G1009" t="s">
        <v>33</v>
      </c>
      <c r="H1009" t="s">
        <v>111</v>
      </c>
      <c r="I1009" s="2">
        <v>5.84</v>
      </c>
      <c r="J1009" s="3">
        <v>2</v>
      </c>
      <c r="K1009" s="2">
        <v>2.63</v>
      </c>
    </row>
    <row r="1010" spans="1:11" x14ac:dyDescent="0.35">
      <c r="A1010" s="1">
        <v>42098</v>
      </c>
      <c r="B1010" s="3">
        <f t="shared" si="30"/>
        <v>2015</v>
      </c>
      <c r="C1010" s="3">
        <f t="shared" si="31"/>
        <v>4</v>
      </c>
      <c r="D1010" t="s">
        <v>371</v>
      </c>
      <c r="E1010" t="s">
        <v>71</v>
      </c>
      <c r="F1010" t="s">
        <v>28</v>
      </c>
      <c r="G1010" t="s">
        <v>48</v>
      </c>
      <c r="H1010" t="s">
        <v>1220</v>
      </c>
      <c r="I1010" s="2">
        <v>12.76</v>
      </c>
      <c r="J1010" s="3">
        <v>2</v>
      </c>
      <c r="K1010" s="2">
        <v>5.87</v>
      </c>
    </row>
    <row r="1011" spans="1:11" x14ac:dyDescent="0.35">
      <c r="A1011" s="1">
        <v>42098</v>
      </c>
      <c r="B1011" s="3">
        <f t="shared" si="30"/>
        <v>2015</v>
      </c>
      <c r="C1011" s="3">
        <f t="shared" si="31"/>
        <v>4</v>
      </c>
      <c r="D1011" t="s">
        <v>371</v>
      </c>
      <c r="E1011" t="s">
        <v>71</v>
      </c>
      <c r="F1011" t="s">
        <v>13</v>
      </c>
      <c r="G1011" t="s">
        <v>23</v>
      </c>
      <c r="H1011" t="s">
        <v>582</v>
      </c>
      <c r="I1011" s="2">
        <v>10.95</v>
      </c>
      <c r="J1011" s="3">
        <v>1</v>
      </c>
      <c r="K1011" s="2">
        <v>0.44</v>
      </c>
    </row>
    <row r="1012" spans="1:11" x14ac:dyDescent="0.35">
      <c r="A1012" s="1">
        <v>42098</v>
      </c>
      <c r="B1012" s="3">
        <f t="shared" si="30"/>
        <v>2015</v>
      </c>
      <c r="C1012" s="3">
        <f t="shared" si="31"/>
        <v>4</v>
      </c>
      <c r="D1012" t="s">
        <v>371</v>
      </c>
      <c r="E1012" t="s">
        <v>71</v>
      </c>
      <c r="F1012" t="s">
        <v>13</v>
      </c>
      <c r="G1012" t="s">
        <v>143</v>
      </c>
      <c r="H1012" t="s">
        <v>178</v>
      </c>
      <c r="I1012" s="2">
        <v>599.98</v>
      </c>
      <c r="J1012" s="3">
        <v>2</v>
      </c>
      <c r="K1012" s="2">
        <v>209.99</v>
      </c>
    </row>
    <row r="1013" spans="1:11" x14ac:dyDescent="0.35">
      <c r="A1013" s="1">
        <v>42128</v>
      </c>
      <c r="B1013" s="3">
        <f t="shared" si="30"/>
        <v>2015</v>
      </c>
      <c r="C1013" s="3">
        <f t="shared" si="31"/>
        <v>5</v>
      </c>
      <c r="D1013" t="s">
        <v>1221</v>
      </c>
      <c r="E1013" t="s">
        <v>22</v>
      </c>
      <c r="F1013" t="s">
        <v>18</v>
      </c>
      <c r="G1013" t="s">
        <v>36</v>
      </c>
      <c r="H1013" t="s">
        <v>1222</v>
      </c>
      <c r="I1013" s="2">
        <v>26.8</v>
      </c>
      <c r="J1013" s="3">
        <v>2</v>
      </c>
      <c r="K1013" s="2">
        <v>12.86</v>
      </c>
    </row>
    <row r="1014" spans="1:11" x14ac:dyDescent="0.35">
      <c r="A1014" s="1">
        <v>42128</v>
      </c>
      <c r="B1014" s="3">
        <f t="shared" si="30"/>
        <v>2015</v>
      </c>
      <c r="C1014" s="3">
        <f t="shared" si="31"/>
        <v>5</v>
      </c>
      <c r="D1014" t="s">
        <v>915</v>
      </c>
      <c r="E1014" t="s">
        <v>26</v>
      </c>
      <c r="F1014" t="s">
        <v>18</v>
      </c>
      <c r="G1014" t="s">
        <v>36</v>
      </c>
      <c r="H1014" t="s">
        <v>1223</v>
      </c>
      <c r="I1014" s="2">
        <v>22.29</v>
      </c>
      <c r="J1014" s="3">
        <v>7</v>
      </c>
      <c r="K1014" s="2">
        <v>-8.92</v>
      </c>
    </row>
    <row r="1015" spans="1:11" x14ac:dyDescent="0.35">
      <c r="A1015" s="1">
        <v>42128</v>
      </c>
      <c r="B1015" s="3">
        <f t="shared" si="30"/>
        <v>2015</v>
      </c>
      <c r="C1015" s="3">
        <f t="shared" si="31"/>
        <v>5</v>
      </c>
      <c r="D1015" t="s">
        <v>172</v>
      </c>
      <c r="E1015" t="s">
        <v>32</v>
      </c>
      <c r="F1015" t="s">
        <v>13</v>
      </c>
      <c r="G1015" t="s">
        <v>23</v>
      </c>
      <c r="H1015" t="s">
        <v>1224</v>
      </c>
      <c r="I1015" s="2">
        <v>946.34</v>
      </c>
      <c r="J1015" s="3">
        <v>7</v>
      </c>
      <c r="K1015" s="2">
        <v>118.29</v>
      </c>
    </row>
    <row r="1016" spans="1:11" x14ac:dyDescent="0.35">
      <c r="A1016" s="1">
        <v>42128</v>
      </c>
      <c r="B1016" s="3">
        <f t="shared" si="30"/>
        <v>2015</v>
      </c>
      <c r="C1016" s="3">
        <f t="shared" si="31"/>
        <v>5</v>
      </c>
      <c r="D1016" t="s">
        <v>1225</v>
      </c>
      <c r="E1016" t="s">
        <v>575</v>
      </c>
      <c r="F1016" t="s">
        <v>28</v>
      </c>
      <c r="G1016" t="s">
        <v>64</v>
      </c>
      <c r="H1016" t="s">
        <v>104</v>
      </c>
      <c r="I1016" s="2">
        <v>125.93</v>
      </c>
      <c r="J1016" s="3">
        <v>7</v>
      </c>
      <c r="K1016" s="2">
        <v>35.26</v>
      </c>
    </row>
    <row r="1017" spans="1:11" x14ac:dyDescent="0.35">
      <c r="A1017" s="1">
        <v>42159</v>
      </c>
      <c r="B1017" s="3">
        <f t="shared" si="30"/>
        <v>2015</v>
      </c>
      <c r="C1017" s="3">
        <f t="shared" si="31"/>
        <v>6</v>
      </c>
      <c r="D1017" t="s">
        <v>1000</v>
      </c>
      <c r="E1017" t="s">
        <v>17</v>
      </c>
      <c r="F1017" t="s">
        <v>28</v>
      </c>
      <c r="G1017" t="s">
        <v>46</v>
      </c>
      <c r="H1017" t="s">
        <v>999</v>
      </c>
      <c r="I1017" s="2">
        <v>7.38</v>
      </c>
      <c r="J1017" s="3">
        <v>2</v>
      </c>
      <c r="K1017" s="2">
        <v>3.47</v>
      </c>
    </row>
    <row r="1018" spans="1:11" x14ac:dyDescent="0.35">
      <c r="A1018" s="1">
        <v>42159</v>
      </c>
      <c r="B1018" s="3">
        <f t="shared" si="30"/>
        <v>2015</v>
      </c>
      <c r="C1018" s="3">
        <f t="shared" si="31"/>
        <v>6</v>
      </c>
      <c r="D1018" t="s">
        <v>1000</v>
      </c>
      <c r="E1018" t="s">
        <v>17</v>
      </c>
      <c r="F1018" t="s">
        <v>28</v>
      </c>
      <c r="G1018" t="s">
        <v>64</v>
      </c>
      <c r="H1018" t="s">
        <v>443</v>
      </c>
      <c r="I1018" s="2">
        <v>9.26</v>
      </c>
      <c r="J1018" s="3">
        <v>2</v>
      </c>
      <c r="K1018" s="2">
        <v>3.06</v>
      </c>
    </row>
    <row r="1019" spans="1:11" x14ac:dyDescent="0.35">
      <c r="A1019" s="1">
        <v>42159</v>
      </c>
      <c r="B1019" s="3">
        <f t="shared" si="30"/>
        <v>2015</v>
      </c>
      <c r="C1019" s="3">
        <f t="shared" si="31"/>
        <v>6</v>
      </c>
      <c r="D1019" t="s">
        <v>336</v>
      </c>
      <c r="E1019" t="s">
        <v>22</v>
      </c>
      <c r="F1019" t="s">
        <v>28</v>
      </c>
      <c r="G1019" t="s">
        <v>29</v>
      </c>
      <c r="H1019" t="s">
        <v>1226</v>
      </c>
      <c r="I1019" s="2">
        <v>30.44</v>
      </c>
      <c r="J1019" s="3">
        <v>4</v>
      </c>
      <c r="K1019" s="2">
        <v>14.31</v>
      </c>
    </row>
    <row r="1020" spans="1:11" x14ac:dyDescent="0.35">
      <c r="A1020" s="1">
        <v>42159</v>
      </c>
      <c r="B1020" s="3">
        <f t="shared" si="30"/>
        <v>2015</v>
      </c>
      <c r="C1020" s="3">
        <f t="shared" si="31"/>
        <v>6</v>
      </c>
      <c r="D1020" t="s">
        <v>336</v>
      </c>
      <c r="E1020" t="s">
        <v>22</v>
      </c>
      <c r="F1020" t="s">
        <v>18</v>
      </c>
      <c r="G1020" t="s">
        <v>36</v>
      </c>
      <c r="H1020" t="s">
        <v>1227</v>
      </c>
      <c r="I1020" s="2">
        <v>35.28</v>
      </c>
      <c r="J1020" s="3">
        <v>3</v>
      </c>
      <c r="K1020" s="2">
        <v>12</v>
      </c>
    </row>
    <row r="1021" spans="1:11" x14ac:dyDescent="0.35">
      <c r="A1021" s="1">
        <v>42159</v>
      </c>
      <c r="B1021" s="3">
        <f t="shared" si="30"/>
        <v>2015</v>
      </c>
      <c r="C1021" s="3">
        <f t="shared" si="31"/>
        <v>6</v>
      </c>
      <c r="D1021" t="s">
        <v>1228</v>
      </c>
      <c r="E1021" t="s">
        <v>45</v>
      </c>
      <c r="F1021" t="s">
        <v>13</v>
      </c>
      <c r="G1021" t="s">
        <v>14</v>
      </c>
      <c r="H1021" t="s">
        <v>896</v>
      </c>
      <c r="I1021" s="2">
        <v>119.98</v>
      </c>
      <c r="J1021" s="3">
        <v>2</v>
      </c>
      <c r="K1021" s="2">
        <v>35.99</v>
      </c>
    </row>
    <row r="1022" spans="1:11" x14ac:dyDescent="0.35">
      <c r="A1022" s="1">
        <v>42159</v>
      </c>
      <c r="B1022" s="3">
        <f t="shared" si="30"/>
        <v>2015</v>
      </c>
      <c r="C1022" s="3">
        <f t="shared" si="31"/>
        <v>6</v>
      </c>
      <c r="D1022" t="s">
        <v>1228</v>
      </c>
      <c r="E1022" t="s">
        <v>45</v>
      </c>
      <c r="F1022" t="s">
        <v>13</v>
      </c>
      <c r="G1022" t="s">
        <v>14</v>
      </c>
      <c r="H1022" t="s">
        <v>1229</v>
      </c>
      <c r="I1022" s="2">
        <v>989.97</v>
      </c>
      <c r="J1022" s="3">
        <v>3</v>
      </c>
      <c r="K1022" s="2">
        <v>395.99</v>
      </c>
    </row>
    <row r="1023" spans="1:11" x14ac:dyDescent="0.35">
      <c r="A1023" s="1">
        <v>42189</v>
      </c>
      <c r="B1023" s="3">
        <f t="shared" si="30"/>
        <v>2015</v>
      </c>
      <c r="C1023" s="3">
        <f t="shared" si="31"/>
        <v>7</v>
      </c>
      <c r="D1023" t="s">
        <v>1230</v>
      </c>
      <c r="E1023" t="s">
        <v>12</v>
      </c>
      <c r="F1023" t="s">
        <v>13</v>
      </c>
      <c r="G1023" t="s">
        <v>23</v>
      </c>
      <c r="H1023" t="s">
        <v>1231</v>
      </c>
      <c r="I1023" s="2">
        <v>1099.96</v>
      </c>
      <c r="J1023" s="3">
        <v>4</v>
      </c>
      <c r="K1023" s="2">
        <v>285.99</v>
      </c>
    </row>
    <row r="1024" spans="1:11" x14ac:dyDescent="0.35">
      <c r="A1024" s="1">
        <v>42189</v>
      </c>
      <c r="B1024" s="3">
        <f t="shared" si="30"/>
        <v>2015</v>
      </c>
      <c r="C1024" s="3">
        <f t="shared" si="31"/>
        <v>7</v>
      </c>
      <c r="D1024" t="s">
        <v>1232</v>
      </c>
      <c r="E1024" t="s">
        <v>22</v>
      </c>
      <c r="F1024" t="s">
        <v>28</v>
      </c>
      <c r="G1024" t="s">
        <v>64</v>
      </c>
      <c r="H1024" t="s">
        <v>1233</v>
      </c>
      <c r="I1024" s="2">
        <v>15.48</v>
      </c>
      <c r="J1024" s="3">
        <v>3</v>
      </c>
      <c r="K1024" s="2">
        <v>4.49</v>
      </c>
    </row>
    <row r="1025" spans="1:11" x14ac:dyDescent="0.35">
      <c r="A1025" s="1">
        <v>42189</v>
      </c>
      <c r="B1025" s="3">
        <f t="shared" si="30"/>
        <v>2015</v>
      </c>
      <c r="C1025" s="3">
        <f t="shared" si="31"/>
        <v>7</v>
      </c>
      <c r="D1025" t="s">
        <v>1234</v>
      </c>
      <c r="E1025" t="s">
        <v>45</v>
      </c>
      <c r="F1025" t="s">
        <v>28</v>
      </c>
      <c r="G1025" t="s">
        <v>48</v>
      </c>
      <c r="H1025" t="s">
        <v>1235</v>
      </c>
      <c r="I1025" s="2">
        <v>22.85</v>
      </c>
      <c r="J1025" s="3">
        <v>2</v>
      </c>
      <c r="K1025" s="2">
        <v>7.43</v>
      </c>
    </row>
    <row r="1026" spans="1:11" x14ac:dyDescent="0.35">
      <c r="A1026" s="1">
        <v>42251</v>
      </c>
      <c r="B1026" s="3">
        <f t="shared" ref="B1026:B1089" si="32">YEAR(A1026)</f>
        <v>2015</v>
      </c>
      <c r="C1026" s="3">
        <f t="shared" ref="C1026:C1089" si="33">MONTH(A1026)</f>
        <v>9</v>
      </c>
      <c r="D1026" t="s">
        <v>1236</v>
      </c>
      <c r="E1026" t="s">
        <v>165</v>
      </c>
      <c r="F1026" t="s">
        <v>28</v>
      </c>
      <c r="G1026" t="s">
        <v>29</v>
      </c>
      <c r="H1026" t="s">
        <v>1237</v>
      </c>
      <c r="I1026" s="2">
        <v>279.89999999999998</v>
      </c>
      <c r="J1026" s="3">
        <v>5</v>
      </c>
      <c r="K1026" s="2">
        <v>137.15</v>
      </c>
    </row>
    <row r="1027" spans="1:11" x14ac:dyDescent="0.35">
      <c r="A1027" s="1">
        <v>42251</v>
      </c>
      <c r="B1027" s="3">
        <f t="shared" si="32"/>
        <v>2015</v>
      </c>
      <c r="C1027" s="3">
        <f t="shared" si="33"/>
        <v>9</v>
      </c>
      <c r="D1027" t="s">
        <v>1236</v>
      </c>
      <c r="E1027" t="s">
        <v>165</v>
      </c>
      <c r="F1027" t="s">
        <v>13</v>
      </c>
      <c r="G1027" t="s">
        <v>14</v>
      </c>
      <c r="H1027" t="s">
        <v>1238</v>
      </c>
      <c r="I1027" s="2">
        <v>619.95000000000005</v>
      </c>
      <c r="J1027" s="3">
        <v>5</v>
      </c>
      <c r="K1027" s="2">
        <v>111.59</v>
      </c>
    </row>
    <row r="1028" spans="1:11" x14ac:dyDescent="0.35">
      <c r="A1028" s="1">
        <v>42251</v>
      </c>
      <c r="B1028" s="3">
        <f t="shared" si="32"/>
        <v>2015</v>
      </c>
      <c r="C1028" s="3">
        <f t="shared" si="33"/>
        <v>9</v>
      </c>
      <c r="D1028" t="s">
        <v>1236</v>
      </c>
      <c r="E1028" t="s">
        <v>165</v>
      </c>
      <c r="F1028" t="s">
        <v>28</v>
      </c>
      <c r="G1028" t="s">
        <v>29</v>
      </c>
      <c r="H1028" t="s">
        <v>327</v>
      </c>
      <c r="I1028" s="2">
        <v>4.3600000000000003</v>
      </c>
      <c r="J1028" s="3">
        <v>2</v>
      </c>
      <c r="K1028" s="2">
        <v>2.0499999999999998</v>
      </c>
    </row>
    <row r="1029" spans="1:11" x14ac:dyDescent="0.35">
      <c r="A1029" s="1">
        <v>42251</v>
      </c>
      <c r="B1029" s="3">
        <f t="shared" si="32"/>
        <v>2015</v>
      </c>
      <c r="C1029" s="3">
        <f t="shared" si="33"/>
        <v>9</v>
      </c>
      <c r="D1029" t="s">
        <v>1236</v>
      </c>
      <c r="E1029" t="s">
        <v>165</v>
      </c>
      <c r="F1029" t="s">
        <v>28</v>
      </c>
      <c r="G1029" t="s">
        <v>158</v>
      </c>
      <c r="H1029" t="s">
        <v>285</v>
      </c>
      <c r="I1029" s="2">
        <v>15.28</v>
      </c>
      <c r="J1029" s="3">
        <v>2</v>
      </c>
      <c r="K1029" s="2">
        <v>7.49</v>
      </c>
    </row>
    <row r="1030" spans="1:11" x14ac:dyDescent="0.35">
      <c r="A1030" s="1">
        <v>42251</v>
      </c>
      <c r="B1030" s="3">
        <f t="shared" si="32"/>
        <v>2015</v>
      </c>
      <c r="C1030" s="3">
        <f t="shared" si="33"/>
        <v>9</v>
      </c>
      <c r="D1030" t="s">
        <v>361</v>
      </c>
      <c r="E1030" t="s">
        <v>107</v>
      </c>
      <c r="F1030" t="s">
        <v>28</v>
      </c>
      <c r="G1030" t="s">
        <v>48</v>
      </c>
      <c r="H1030" t="s">
        <v>419</v>
      </c>
      <c r="I1030" s="2">
        <v>9.76</v>
      </c>
      <c r="J1030" s="3">
        <v>2</v>
      </c>
      <c r="K1030" s="2">
        <v>-6.83</v>
      </c>
    </row>
    <row r="1031" spans="1:11" x14ac:dyDescent="0.35">
      <c r="A1031" s="1">
        <v>42251</v>
      </c>
      <c r="B1031" s="3">
        <f t="shared" si="32"/>
        <v>2015</v>
      </c>
      <c r="C1031" s="3">
        <f t="shared" si="33"/>
        <v>9</v>
      </c>
      <c r="D1031" t="s">
        <v>1239</v>
      </c>
      <c r="E1031" t="s">
        <v>32</v>
      </c>
      <c r="F1031" t="s">
        <v>13</v>
      </c>
      <c r="G1031" t="s">
        <v>14</v>
      </c>
      <c r="H1031" t="s">
        <v>751</v>
      </c>
      <c r="I1031" s="2">
        <v>134.38</v>
      </c>
      <c r="J1031" s="3">
        <v>3</v>
      </c>
      <c r="K1031" s="2">
        <v>6.72</v>
      </c>
    </row>
    <row r="1032" spans="1:11" x14ac:dyDescent="0.35">
      <c r="A1032" s="1">
        <v>42251</v>
      </c>
      <c r="B1032" s="3">
        <f t="shared" si="32"/>
        <v>2015</v>
      </c>
      <c r="C1032" s="3">
        <f t="shared" si="33"/>
        <v>9</v>
      </c>
      <c r="D1032" t="s">
        <v>1063</v>
      </c>
      <c r="E1032" t="s">
        <v>89</v>
      </c>
      <c r="F1032" t="s">
        <v>28</v>
      </c>
      <c r="G1032" t="s">
        <v>48</v>
      </c>
      <c r="H1032" t="s">
        <v>645</v>
      </c>
      <c r="I1032" s="2">
        <v>7.66</v>
      </c>
      <c r="J1032" s="3">
        <v>4</v>
      </c>
      <c r="K1032" s="2">
        <v>-6.12</v>
      </c>
    </row>
    <row r="1033" spans="1:11" x14ac:dyDescent="0.35">
      <c r="A1033" s="1">
        <v>42281</v>
      </c>
      <c r="B1033" s="3">
        <f t="shared" si="32"/>
        <v>2015</v>
      </c>
      <c r="C1033" s="3">
        <f t="shared" si="33"/>
        <v>10</v>
      </c>
      <c r="D1033" t="s">
        <v>745</v>
      </c>
      <c r="E1033" t="s">
        <v>165</v>
      </c>
      <c r="F1033" t="s">
        <v>18</v>
      </c>
      <c r="G1033" t="s">
        <v>19</v>
      </c>
      <c r="H1033" t="s">
        <v>1240</v>
      </c>
      <c r="I1033" s="2">
        <v>392.94</v>
      </c>
      <c r="J1033" s="3">
        <v>3</v>
      </c>
      <c r="K1033" s="2">
        <v>43.22</v>
      </c>
    </row>
    <row r="1034" spans="1:11" x14ac:dyDescent="0.35">
      <c r="A1034" s="1">
        <v>42281</v>
      </c>
      <c r="B1034" s="3">
        <f t="shared" si="32"/>
        <v>2015</v>
      </c>
      <c r="C1034" s="3">
        <f t="shared" si="33"/>
        <v>10</v>
      </c>
      <c r="D1034" t="s">
        <v>1241</v>
      </c>
      <c r="E1034" t="s">
        <v>45</v>
      </c>
      <c r="F1034" t="s">
        <v>28</v>
      </c>
      <c r="G1034" t="s">
        <v>38</v>
      </c>
      <c r="H1034" t="s">
        <v>1242</v>
      </c>
      <c r="I1034" s="2">
        <v>26.96</v>
      </c>
      <c r="J1034" s="3">
        <v>2</v>
      </c>
      <c r="K1034" s="2">
        <v>7.01</v>
      </c>
    </row>
    <row r="1035" spans="1:11" x14ac:dyDescent="0.35">
      <c r="A1035" s="1">
        <v>42281</v>
      </c>
      <c r="B1035" s="3">
        <f t="shared" si="32"/>
        <v>2015</v>
      </c>
      <c r="C1035" s="3">
        <f t="shared" si="33"/>
        <v>10</v>
      </c>
      <c r="D1035" t="s">
        <v>227</v>
      </c>
      <c r="E1035" t="s">
        <v>89</v>
      </c>
      <c r="F1035" t="s">
        <v>18</v>
      </c>
      <c r="G1035" t="s">
        <v>36</v>
      </c>
      <c r="H1035" t="s">
        <v>1243</v>
      </c>
      <c r="I1035" s="2">
        <v>64.94</v>
      </c>
      <c r="J1035" s="3">
        <v>3</v>
      </c>
      <c r="K1035" s="2">
        <v>6.49</v>
      </c>
    </row>
    <row r="1036" spans="1:11" x14ac:dyDescent="0.35">
      <c r="A1036" s="1">
        <v>42281</v>
      </c>
      <c r="B1036" s="3">
        <f t="shared" si="32"/>
        <v>2015</v>
      </c>
      <c r="C1036" s="3">
        <f t="shared" si="33"/>
        <v>10</v>
      </c>
      <c r="D1036" t="s">
        <v>227</v>
      </c>
      <c r="E1036" t="s">
        <v>89</v>
      </c>
      <c r="F1036" t="s">
        <v>28</v>
      </c>
      <c r="G1036" t="s">
        <v>29</v>
      </c>
      <c r="H1036" t="s">
        <v>1244</v>
      </c>
      <c r="I1036" s="2">
        <v>20.74</v>
      </c>
      <c r="J1036" s="3">
        <v>4</v>
      </c>
      <c r="K1036" s="2">
        <v>7.26</v>
      </c>
    </row>
    <row r="1037" spans="1:11" x14ac:dyDescent="0.35">
      <c r="A1037" s="1">
        <v>42342</v>
      </c>
      <c r="B1037" s="3">
        <f t="shared" si="32"/>
        <v>2015</v>
      </c>
      <c r="C1037" s="3">
        <f t="shared" si="33"/>
        <v>12</v>
      </c>
      <c r="D1037" t="s">
        <v>1245</v>
      </c>
      <c r="E1037" t="s">
        <v>77</v>
      </c>
      <c r="F1037" t="s">
        <v>28</v>
      </c>
      <c r="G1037" t="s">
        <v>48</v>
      </c>
      <c r="H1037" t="s">
        <v>1246</v>
      </c>
      <c r="I1037" s="2">
        <v>8.23</v>
      </c>
      <c r="J1037" s="3">
        <v>3</v>
      </c>
      <c r="K1037" s="2">
        <v>-6.03</v>
      </c>
    </row>
    <row r="1038" spans="1:11" x14ac:dyDescent="0.35">
      <c r="A1038" s="1">
        <v>42342</v>
      </c>
      <c r="B1038" s="3">
        <f t="shared" si="32"/>
        <v>2015</v>
      </c>
      <c r="C1038" s="3">
        <f t="shared" si="33"/>
        <v>12</v>
      </c>
      <c r="D1038" t="s">
        <v>1247</v>
      </c>
      <c r="E1038" t="s">
        <v>22</v>
      </c>
      <c r="F1038" t="s">
        <v>18</v>
      </c>
      <c r="G1038" t="s">
        <v>36</v>
      </c>
      <c r="H1038" t="s">
        <v>1248</v>
      </c>
      <c r="I1038" s="2">
        <v>28.44</v>
      </c>
      <c r="J1038" s="3">
        <v>3</v>
      </c>
      <c r="K1038" s="2">
        <v>11.38</v>
      </c>
    </row>
    <row r="1039" spans="1:11" x14ac:dyDescent="0.35">
      <c r="A1039" s="1">
        <v>42342</v>
      </c>
      <c r="B1039" s="3">
        <f t="shared" si="32"/>
        <v>2015</v>
      </c>
      <c r="C1039" s="3">
        <f t="shared" si="33"/>
        <v>12</v>
      </c>
      <c r="D1039" t="s">
        <v>1247</v>
      </c>
      <c r="E1039" t="s">
        <v>22</v>
      </c>
      <c r="F1039" t="s">
        <v>18</v>
      </c>
      <c r="G1039" t="s">
        <v>19</v>
      </c>
      <c r="H1039" t="s">
        <v>1188</v>
      </c>
      <c r="I1039" s="2">
        <v>364.41</v>
      </c>
      <c r="J1039" s="3">
        <v>5</v>
      </c>
      <c r="K1039" s="2">
        <v>8.1</v>
      </c>
    </row>
    <row r="1040" spans="1:11" x14ac:dyDescent="0.35">
      <c r="A1040" s="1">
        <v>42342</v>
      </c>
      <c r="B1040" s="3">
        <f t="shared" si="32"/>
        <v>2015</v>
      </c>
      <c r="C1040" s="3">
        <f t="shared" si="33"/>
        <v>12</v>
      </c>
      <c r="D1040" t="s">
        <v>1247</v>
      </c>
      <c r="E1040" t="s">
        <v>22</v>
      </c>
      <c r="F1040" t="s">
        <v>13</v>
      </c>
      <c r="G1040" t="s">
        <v>23</v>
      </c>
      <c r="H1040" t="s">
        <v>761</v>
      </c>
      <c r="I1040" s="2">
        <v>39.96</v>
      </c>
      <c r="J1040" s="3">
        <v>4</v>
      </c>
      <c r="K1040" s="2">
        <v>10.39</v>
      </c>
    </row>
    <row r="1041" spans="1:11" x14ac:dyDescent="0.35">
      <c r="A1041" s="1">
        <v>42342</v>
      </c>
      <c r="B1041" s="3">
        <f t="shared" si="32"/>
        <v>2015</v>
      </c>
      <c r="C1041" s="3">
        <f t="shared" si="33"/>
        <v>12</v>
      </c>
      <c r="D1041" t="s">
        <v>1247</v>
      </c>
      <c r="E1041" t="s">
        <v>22</v>
      </c>
      <c r="F1041" t="s">
        <v>18</v>
      </c>
      <c r="G1041" t="s">
        <v>19</v>
      </c>
      <c r="H1041" t="s">
        <v>1170</v>
      </c>
      <c r="I1041" s="2">
        <v>361.76</v>
      </c>
      <c r="J1041" s="3">
        <v>2</v>
      </c>
      <c r="K1041" s="2">
        <v>68.33</v>
      </c>
    </row>
    <row r="1042" spans="1:11" x14ac:dyDescent="0.35">
      <c r="A1042" s="1">
        <v>42342</v>
      </c>
      <c r="B1042" s="3">
        <f t="shared" si="32"/>
        <v>2015</v>
      </c>
      <c r="C1042" s="3">
        <f t="shared" si="33"/>
        <v>12</v>
      </c>
      <c r="D1042" t="s">
        <v>653</v>
      </c>
      <c r="E1042" t="s">
        <v>22</v>
      </c>
      <c r="F1042" t="s">
        <v>28</v>
      </c>
      <c r="G1042" t="s">
        <v>158</v>
      </c>
      <c r="H1042" t="s">
        <v>1249</v>
      </c>
      <c r="I1042" s="2">
        <v>17.940000000000001</v>
      </c>
      <c r="J1042" s="3">
        <v>3</v>
      </c>
      <c r="K1042" s="2">
        <v>8.7899999999999991</v>
      </c>
    </row>
    <row r="1043" spans="1:11" x14ac:dyDescent="0.35">
      <c r="A1043" s="1">
        <v>42342</v>
      </c>
      <c r="B1043" s="3">
        <f t="shared" si="32"/>
        <v>2015</v>
      </c>
      <c r="C1043" s="3">
        <f t="shared" si="33"/>
        <v>12</v>
      </c>
      <c r="D1043" t="s">
        <v>653</v>
      </c>
      <c r="E1043" t="s">
        <v>22</v>
      </c>
      <c r="F1043" t="s">
        <v>18</v>
      </c>
      <c r="G1043" t="s">
        <v>19</v>
      </c>
      <c r="H1043" t="s">
        <v>1145</v>
      </c>
      <c r="I1043" s="2">
        <v>384.17</v>
      </c>
      <c r="J1043" s="3">
        <v>7</v>
      </c>
      <c r="K1043" s="2">
        <v>29.88</v>
      </c>
    </row>
    <row r="1044" spans="1:11" x14ac:dyDescent="0.35">
      <c r="A1044" s="1">
        <v>42342</v>
      </c>
      <c r="B1044" s="3">
        <f t="shared" si="32"/>
        <v>2015</v>
      </c>
      <c r="C1044" s="3">
        <f t="shared" si="33"/>
        <v>12</v>
      </c>
      <c r="D1044" t="s">
        <v>653</v>
      </c>
      <c r="E1044" t="s">
        <v>22</v>
      </c>
      <c r="F1044" t="s">
        <v>13</v>
      </c>
      <c r="G1044" t="s">
        <v>23</v>
      </c>
      <c r="H1044" t="s">
        <v>78</v>
      </c>
      <c r="I1044" s="2">
        <v>1799.75</v>
      </c>
      <c r="J1044" s="3">
        <v>5</v>
      </c>
      <c r="K1044" s="2">
        <v>539.92999999999995</v>
      </c>
    </row>
    <row r="1045" spans="1:11" x14ac:dyDescent="0.35">
      <c r="A1045" s="1">
        <v>42342</v>
      </c>
      <c r="B1045" s="3">
        <f t="shared" si="32"/>
        <v>2015</v>
      </c>
      <c r="C1045" s="3">
        <f t="shared" si="33"/>
        <v>12</v>
      </c>
      <c r="D1045" t="s">
        <v>1250</v>
      </c>
      <c r="E1045" t="s">
        <v>190</v>
      </c>
      <c r="F1045" t="s">
        <v>28</v>
      </c>
      <c r="G1045" t="s">
        <v>29</v>
      </c>
      <c r="H1045" t="s">
        <v>922</v>
      </c>
      <c r="I1045" s="2">
        <v>85.96</v>
      </c>
      <c r="J1045" s="3">
        <v>7</v>
      </c>
      <c r="K1045" s="2">
        <v>40.4</v>
      </c>
    </row>
    <row r="1046" spans="1:11" x14ac:dyDescent="0.35">
      <c r="A1046" s="1">
        <v>42342</v>
      </c>
      <c r="B1046" s="3">
        <f t="shared" si="32"/>
        <v>2015</v>
      </c>
      <c r="C1046" s="3">
        <f t="shared" si="33"/>
        <v>12</v>
      </c>
      <c r="D1046" t="s">
        <v>1251</v>
      </c>
      <c r="E1046" t="s">
        <v>326</v>
      </c>
      <c r="F1046" t="s">
        <v>28</v>
      </c>
      <c r="G1046" t="s">
        <v>48</v>
      </c>
      <c r="H1046" t="s">
        <v>1252</v>
      </c>
      <c r="I1046" s="2">
        <v>1598.06</v>
      </c>
      <c r="J1046" s="3">
        <v>7</v>
      </c>
      <c r="K1046" s="2">
        <v>-1065.3699999999999</v>
      </c>
    </row>
    <row r="1047" spans="1:11" x14ac:dyDescent="0.35">
      <c r="A1047" s="1">
        <v>42342</v>
      </c>
      <c r="B1047" s="3">
        <f t="shared" si="32"/>
        <v>2015</v>
      </c>
      <c r="C1047" s="3">
        <f t="shared" si="33"/>
        <v>12</v>
      </c>
      <c r="D1047" t="s">
        <v>1251</v>
      </c>
      <c r="E1047" t="s">
        <v>326</v>
      </c>
      <c r="F1047" t="s">
        <v>28</v>
      </c>
      <c r="G1047" t="s">
        <v>64</v>
      </c>
      <c r="H1047" t="s">
        <v>766</v>
      </c>
      <c r="I1047" s="2">
        <v>36.96</v>
      </c>
      <c r="J1047" s="3">
        <v>4</v>
      </c>
      <c r="K1047" s="2">
        <v>12.01</v>
      </c>
    </row>
    <row r="1048" spans="1:11" x14ac:dyDescent="0.35">
      <c r="A1048" s="1">
        <v>42342</v>
      </c>
      <c r="B1048" s="3">
        <f t="shared" si="32"/>
        <v>2015</v>
      </c>
      <c r="C1048" s="3">
        <f t="shared" si="33"/>
        <v>12</v>
      </c>
      <c r="D1048" t="s">
        <v>1253</v>
      </c>
      <c r="E1048" t="s">
        <v>45</v>
      </c>
      <c r="F1048" t="s">
        <v>28</v>
      </c>
      <c r="G1048" t="s">
        <v>158</v>
      </c>
      <c r="H1048" t="s">
        <v>1254</v>
      </c>
      <c r="I1048" s="2">
        <v>271.44</v>
      </c>
      <c r="J1048" s="3">
        <v>3</v>
      </c>
      <c r="K1048" s="2">
        <v>122.15</v>
      </c>
    </row>
    <row r="1049" spans="1:11" x14ac:dyDescent="0.35">
      <c r="A1049" s="1">
        <v>42342</v>
      </c>
      <c r="B1049" s="3">
        <f t="shared" si="32"/>
        <v>2015</v>
      </c>
      <c r="C1049" s="3">
        <f t="shared" si="33"/>
        <v>12</v>
      </c>
      <c r="D1049" t="s">
        <v>1253</v>
      </c>
      <c r="E1049" t="s">
        <v>45</v>
      </c>
      <c r="F1049" t="s">
        <v>13</v>
      </c>
      <c r="G1049" t="s">
        <v>23</v>
      </c>
      <c r="H1049" t="s">
        <v>1255</v>
      </c>
      <c r="I1049" s="2">
        <v>110.35</v>
      </c>
      <c r="J1049" s="3">
        <v>3</v>
      </c>
      <c r="K1049" s="2">
        <v>8.2799999999999994</v>
      </c>
    </row>
    <row r="1050" spans="1:11" x14ac:dyDescent="0.35">
      <c r="A1050" s="1">
        <v>42342</v>
      </c>
      <c r="B1050" s="3">
        <f t="shared" si="32"/>
        <v>2015</v>
      </c>
      <c r="C1050" s="3">
        <f t="shared" si="33"/>
        <v>12</v>
      </c>
      <c r="D1050" t="s">
        <v>1253</v>
      </c>
      <c r="E1050" t="s">
        <v>45</v>
      </c>
      <c r="F1050" t="s">
        <v>18</v>
      </c>
      <c r="G1050" t="s">
        <v>36</v>
      </c>
      <c r="H1050" t="s">
        <v>666</v>
      </c>
      <c r="I1050" s="2">
        <v>36.4</v>
      </c>
      <c r="J1050" s="3">
        <v>5</v>
      </c>
      <c r="K1050" s="2">
        <v>13.83</v>
      </c>
    </row>
    <row r="1051" spans="1:11" x14ac:dyDescent="0.35">
      <c r="A1051" s="1">
        <v>42342</v>
      </c>
      <c r="B1051" s="3">
        <f t="shared" si="32"/>
        <v>2015</v>
      </c>
      <c r="C1051" s="3">
        <f t="shared" si="33"/>
        <v>12</v>
      </c>
      <c r="D1051" t="s">
        <v>947</v>
      </c>
      <c r="E1051" t="s">
        <v>45</v>
      </c>
      <c r="F1051" t="s">
        <v>28</v>
      </c>
      <c r="G1051" t="s">
        <v>64</v>
      </c>
      <c r="H1051" t="s">
        <v>1256</v>
      </c>
      <c r="I1051" s="2">
        <v>16.899999999999999</v>
      </c>
      <c r="J1051" s="3">
        <v>5</v>
      </c>
      <c r="K1051" s="2">
        <v>6.25</v>
      </c>
    </row>
    <row r="1052" spans="1:11" x14ac:dyDescent="0.35">
      <c r="A1052" s="1">
        <v>42342</v>
      </c>
      <c r="B1052" s="3">
        <f t="shared" si="32"/>
        <v>2015</v>
      </c>
      <c r="C1052" s="3">
        <f t="shared" si="33"/>
        <v>12</v>
      </c>
      <c r="D1052" t="s">
        <v>947</v>
      </c>
      <c r="E1052" t="s">
        <v>45</v>
      </c>
      <c r="F1052" t="s">
        <v>18</v>
      </c>
      <c r="G1052" t="s">
        <v>36</v>
      </c>
      <c r="H1052" t="s">
        <v>1034</v>
      </c>
      <c r="I1052" s="2">
        <v>25.08</v>
      </c>
      <c r="J1052" s="3">
        <v>6</v>
      </c>
      <c r="K1052" s="2">
        <v>9.0299999999999994</v>
      </c>
    </row>
    <row r="1053" spans="1:11" x14ac:dyDescent="0.35">
      <c r="A1053" s="1">
        <v>42009</v>
      </c>
      <c r="B1053" s="3">
        <f t="shared" si="32"/>
        <v>2015</v>
      </c>
      <c r="C1053" s="3">
        <f t="shared" si="33"/>
        <v>1</v>
      </c>
      <c r="D1053" t="s">
        <v>495</v>
      </c>
      <c r="E1053" t="s">
        <v>17</v>
      </c>
      <c r="F1053" t="s">
        <v>18</v>
      </c>
      <c r="G1053" t="s">
        <v>19</v>
      </c>
      <c r="H1053" t="s">
        <v>1041</v>
      </c>
      <c r="I1053" s="2">
        <v>61.58</v>
      </c>
      <c r="J1053" s="3">
        <v>1</v>
      </c>
      <c r="K1053" s="2">
        <v>-6.93</v>
      </c>
    </row>
    <row r="1054" spans="1:11" x14ac:dyDescent="0.35">
      <c r="A1054" s="1">
        <v>42009</v>
      </c>
      <c r="B1054" s="3">
        <f t="shared" si="32"/>
        <v>2015</v>
      </c>
      <c r="C1054" s="3">
        <f t="shared" si="33"/>
        <v>1</v>
      </c>
      <c r="D1054" t="s">
        <v>911</v>
      </c>
      <c r="E1054" t="s">
        <v>22</v>
      </c>
      <c r="F1054" t="s">
        <v>28</v>
      </c>
      <c r="G1054" t="s">
        <v>64</v>
      </c>
      <c r="H1054" t="s">
        <v>1257</v>
      </c>
      <c r="I1054" s="2">
        <v>59.52</v>
      </c>
      <c r="J1054" s="3">
        <v>3</v>
      </c>
      <c r="K1054" s="2">
        <v>15.48</v>
      </c>
    </row>
    <row r="1055" spans="1:11" x14ac:dyDescent="0.35">
      <c r="A1055" s="1">
        <v>42009</v>
      </c>
      <c r="B1055" s="3">
        <f t="shared" si="32"/>
        <v>2015</v>
      </c>
      <c r="C1055" s="3">
        <f t="shared" si="33"/>
        <v>1</v>
      </c>
      <c r="D1055" t="s">
        <v>911</v>
      </c>
      <c r="E1055" t="s">
        <v>22</v>
      </c>
      <c r="F1055" t="s">
        <v>28</v>
      </c>
      <c r="G1055" t="s">
        <v>158</v>
      </c>
      <c r="H1055" t="s">
        <v>557</v>
      </c>
      <c r="I1055" s="2">
        <v>17.48</v>
      </c>
      <c r="J1055" s="3">
        <v>2</v>
      </c>
      <c r="K1055" s="2">
        <v>8.2200000000000006</v>
      </c>
    </row>
    <row r="1056" spans="1:11" x14ac:dyDescent="0.35">
      <c r="A1056" s="1">
        <v>42009</v>
      </c>
      <c r="B1056" s="3">
        <f t="shared" si="32"/>
        <v>2015</v>
      </c>
      <c r="C1056" s="3">
        <f t="shared" si="33"/>
        <v>1</v>
      </c>
      <c r="D1056" t="s">
        <v>911</v>
      </c>
      <c r="E1056" t="s">
        <v>22</v>
      </c>
      <c r="F1056" t="s">
        <v>28</v>
      </c>
      <c r="G1056" t="s">
        <v>48</v>
      </c>
      <c r="H1056" t="s">
        <v>87</v>
      </c>
      <c r="I1056" s="2">
        <v>13.17</v>
      </c>
      <c r="J1056" s="3">
        <v>2</v>
      </c>
      <c r="K1056" s="2">
        <v>4.6100000000000003</v>
      </c>
    </row>
    <row r="1057" spans="1:11" x14ac:dyDescent="0.35">
      <c r="A1057" s="1">
        <v>42009</v>
      </c>
      <c r="B1057" s="3">
        <f t="shared" si="32"/>
        <v>2015</v>
      </c>
      <c r="C1057" s="3">
        <f t="shared" si="33"/>
        <v>1</v>
      </c>
      <c r="D1057" t="s">
        <v>1258</v>
      </c>
      <c r="E1057" t="s">
        <v>45</v>
      </c>
      <c r="F1057" t="s">
        <v>28</v>
      </c>
      <c r="G1057" t="s">
        <v>58</v>
      </c>
      <c r="H1057" t="s">
        <v>73</v>
      </c>
      <c r="I1057" s="2">
        <v>87.36</v>
      </c>
      <c r="J1057" s="3">
        <v>6</v>
      </c>
      <c r="K1057" s="2">
        <v>23.59</v>
      </c>
    </row>
    <row r="1058" spans="1:11" x14ac:dyDescent="0.35">
      <c r="A1058" s="1">
        <v>42009</v>
      </c>
      <c r="B1058" s="3">
        <f t="shared" si="32"/>
        <v>2015</v>
      </c>
      <c r="C1058" s="3">
        <f t="shared" si="33"/>
        <v>1</v>
      </c>
      <c r="D1058" t="s">
        <v>1258</v>
      </c>
      <c r="E1058" t="s">
        <v>45</v>
      </c>
      <c r="F1058" t="s">
        <v>28</v>
      </c>
      <c r="G1058" t="s">
        <v>48</v>
      </c>
      <c r="H1058" t="s">
        <v>368</v>
      </c>
      <c r="I1058" s="2">
        <v>56.16</v>
      </c>
      <c r="J1058" s="3">
        <v>6</v>
      </c>
      <c r="K1058" s="2">
        <v>17.55</v>
      </c>
    </row>
    <row r="1059" spans="1:11" x14ac:dyDescent="0.35">
      <c r="A1059" s="1">
        <v>42068</v>
      </c>
      <c r="B1059" s="3">
        <f t="shared" si="32"/>
        <v>2015</v>
      </c>
      <c r="C1059" s="3">
        <f t="shared" si="33"/>
        <v>3</v>
      </c>
      <c r="D1059" t="s">
        <v>578</v>
      </c>
      <c r="E1059" t="s">
        <v>22</v>
      </c>
      <c r="F1059" t="s">
        <v>28</v>
      </c>
      <c r="G1059" t="s">
        <v>158</v>
      </c>
      <c r="H1059" t="s">
        <v>159</v>
      </c>
      <c r="I1059" s="2">
        <v>29.34</v>
      </c>
      <c r="J1059" s="3">
        <v>3</v>
      </c>
      <c r="K1059" s="2">
        <v>14.67</v>
      </c>
    </row>
    <row r="1060" spans="1:11" x14ac:dyDescent="0.35">
      <c r="A1060" s="1">
        <v>42068</v>
      </c>
      <c r="B1060" s="3">
        <f t="shared" si="32"/>
        <v>2015</v>
      </c>
      <c r="C1060" s="3">
        <f t="shared" si="33"/>
        <v>3</v>
      </c>
      <c r="D1060" t="s">
        <v>578</v>
      </c>
      <c r="E1060" t="s">
        <v>22</v>
      </c>
      <c r="F1060" t="s">
        <v>18</v>
      </c>
      <c r="G1060" t="s">
        <v>19</v>
      </c>
      <c r="H1060" t="s">
        <v>451</v>
      </c>
      <c r="I1060" s="2">
        <v>383.61</v>
      </c>
      <c r="J1060" s="3">
        <v>7</v>
      </c>
      <c r="K1060" s="2">
        <v>63.93</v>
      </c>
    </row>
    <row r="1061" spans="1:11" x14ac:dyDescent="0.35">
      <c r="A1061" s="1">
        <v>42068</v>
      </c>
      <c r="B1061" s="3">
        <f t="shared" si="32"/>
        <v>2015</v>
      </c>
      <c r="C1061" s="3">
        <f t="shared" si="33"/>
        <v>3</v>
      </c>
      <c r="D1061" t="s">
        <v>578</v>
      </c>
      <c r="E1061" t="s">
        <v>22</v>
      </c>
      <c r="F1061" t="s">
        <v>28</v>
      </c>
      <c r="G1061" t="s">
        <v>38</v>
      </c>
      <c r="H1061" t="s">
        <v>1259</v>
      </c>
      <c r="I1061" s="2">
        <v>563.4</v>
      </c>
      <c r="J1061" s="3">
        <v>4</v>
      </c>
      <c r="K1061" s="2">
        <v>67.61</v>
      </c>
    </row>
    <row r="1062" spans="1:11" x14ac:dyDescent="0.35">
      <c r="A1062" s="1">
        <v>42068</v>
      </c>
      <c r="B1062" s="3">
        <f t="shared" si="32"/>
        <v>2015</v>
      </c>
      <c r="C1062" s="3">
        <f t="shared" si="33"/>
        <v>3</v>
      </c>
      <c r="D1062" t="s">
        <v>1260</v>
      </c>
      <c r="E1062" t="s">
        <v>575</v>
      </c>
      <c r="F1062" t="s">
        <v>13</v>
      </c>
      <c r="G1062" t="s">
        <v>23</v>
      </c>
      <c r="H1062" t="s">
        <v>225</v>
      </c>
      <c r="I1062" s="2">
        <v>23.92</v>
      </c>
      <c r="J1062" s="3">
        <v>2</v>
      </c>
      <c r="K1062" s="2">
        <v>6.7</v>
      </c>
    </row>
    <row r="1063" spans="1:11" x14ac:dyDescent="0.35">
      <c r="A1063" s="1">
        <v>42068</v>
      </c>
      <c r="B1063" s="3">
        <f t="shared" si="32"/>
        <v>2015</v>
      </c>
      <c r="C1063" s="3">
        <f t="shared" si="33"/>
        <v>3</v>
      </c>
      <c r="D1063" t="s">
        <v>1260</v>
      </c>
      <c r="E1063" t="s">
        <v>575</v>
      </c>
      <c r="F1063" t="s">
        <v>28</v>
      </c>
      <c r="G1063" t="s">
        <v>58</v>
      </c>
      <c r="H1063" t="s">
        <v>247</v>
      </c>
      <c r="I1063" s="2">
        <v>60.69</v>
      </c>
      <c r="J1063" s="3">
        <v>7</v>
      </c>
      <c r="K1063" s="2">
        <v>16.39</v>
      </c>
    </row>
    <row r="1064" spans="1:11" x14ac:dyDescent="0.35">
      <c r="A1064" s="1">
        <v>42068</v>
      </c>
      <c r="B1064" s="3">
        <f t="shared" si="32"/>
        <v>2015</v>
      </c>
      <c r="C1064" s="3">
        <f t="shared" si="33"/>
        <v>3</v>
      </c>
      <c r="D1064" t="s">
        <v>244</v>
      </c>
      <c r="E1064" t="s">
        <v>89</v>
      </c>
      <c r="F1064" t="s">
        <v>13</v>
      </c>
      <c r="G1064" t="s">
        <v>23</v>
      </c>
      <c r="H1064" t="s">
        <v>1261</v>
      </c>
      <c r="I1064" s="2">
        <v>466.16</v>
      </c>
      <c r="J1064" s="3">
        <v>7</v>
      </c>
      <c r="K1064" s="2">
        <v>-93.23</v>
      </c>
    </row>
    <row r="1065" spans="1:11" x14ac:dyDescent="0.35">
      <c r="A1065" s="1">
        <v>42068</v>
      </c>
      <c r="B1065" s="3">
        <f t="shared" si="32"/>
        <v>2015</v>
      </c>
      <c r="C1065" s="3">
        <f t="shared" si="33"/>
        <v>3</v>
      </c>
      <c r="D1065" t="s">
        <v>244</v>
      </c>
      <c r="E1065" t="s">
        <v>89</v>
      </c>
      <c r="F1065" t="s">
        <v>13</v>
      </c>
      <c r="G1065" t="s">
        <v>14</v>
      </c>
      <c r="H1065" t="s">
        <v>500</v>
      </c>
      <c r="I1065" s="2">
        <v>10.31</v>
      </c>
      <c r="J1065" s="3">
        <v>1</v>
      </c>
      <c r="K1065" s="2">
        <v>-1.29</v>
      </c>
    </row>
    <row r="1066" spans="1:11" x14ac:dyDescent="0.35">
      <c r="A1066" s="1">
        <v>42068</v>
      </c>
      <c r="B1066" s="3">
        <f t="shared" si="32"/>
        <v>2015</v>
      </c>
      <c r="C1066" s="3">
        <f t="shared" si="33"/>
        <v>3</v>
      </c>
      <c r="D1066" t="s">
        <v>244</v>
      </c>
      <c r="E1066" t="s">
        <v>89</v>
      </c>
      <c r="F1066" t="s">
        <v>28</v>
      </c>
      <c r="G1066" t="s">
        <v>48</v>
      </c>
      <c r="H1066" t="s">
        <v>1218</v>
      </c>
      <c r="I1066" s="2">
        <v>2.56</v>
      </c>
      <c r="J1066" s="3">
        <v>3</v>
      </c>
      <c r="K1066" s="2">
        <v>-1.79</v>
      </c>
    </row>
    <row r="1067" spans="1:11" x14ac:dyDescent="0.35">
      <c r="A1067" s="1">
        <v>42068</v>
      </c>
      <c r="B1067" s="3">
        <f t="shared" si="32"/>
        <v>2015</v>
      </c>
      <c r="C1067" s="3">
        <f t="shared" si="33"/>
        <v>3</v>
      </c>
      <c r="D1067" t="s">
        <v>1262</v>
      </c>
      <c r="E1067" t="s">
        <v>89</v>
      </c>
      <c r="F1067" t="s">
        <v>18</v>
      </c>
      <c r="G1067" t="s">
        <v>19</v>
      </c>
      <c r="H1067" t="s">
        <v>679</v>
      </c>
      <c r="I1067" s="2">
        <v>99.37</v>
      </c>
      <c r="J1067" s="3">
        <v>2</v>
      </c>
      <c r="K1067" s="2">
        <v>-7.1</v>
      </c>
    </row>
    <row r="1068" spans="1:11" x14ac:dyDescent="0.35">
      <c r="A1068" s="1">
        <v>42068</v>
      </c>
      <c r="B1068" s="3">
        <f t="shared" si="32"/>
        <v>2015</v>
      </c>
      <c r="C1068" s="3">
        <f t="shared" si="33"/>
        <v>3</v>
      </c>
      <c r="D1068" t="s">
        <v>1262</v>
      </c>
      <c r="E1068" t="s">
        <v>89</v>
      </c>
      <c r="F1068" t="s">
        <v>18</v>
      </c>
      <c r="G1068" t="s">
        <v>36</v>
      </c>
      <c r="H1068" t="s">
        <v>1263</v>
      </c>
      <c r="I1068" s="2">
        <v>33.57</v>
      </c>
      <c r="J1068" s="3">
        <v>2</v>
      </c>
      <c r="K1068" s="2">
        <v>-5.45</v>
      </c>
    </row>
    <row r="1069" spans="1:11" x14ac:dyDescent="0.35">
      <c r="A1069" s="1">
        <v>42068</v>
      </c>
      <c r="B1069" s="3">
        <f t="shared" si="32"/>
        <v>2015</v>
      </c>
      <c r="C1069" s="3">
        <f t="shared" si="33"/>
        <v>3</v>
      </c>
      <c r="D1069" t="s">
        <v>1264</v>
      </c>
      <c r="E1069" t="s">
        <v>32</v>
      </c>
      <c r="F1069" t="s">
        <v>13</v>
      </c>
      <c r="G1069" t="s">
        <v>23</v>
      </c>
      <c r="H1069" t="s">
        <v>1265</v>
      </c>
      <c r="I1069" s="2">
        <v>31.92</v>
      </c>
      <c r="J1069" s="3">
        <v>2</v>
      </c>
      <c r="K1069" s="2">
        <v>2.39</v>
      </c>
    </row>
    <row r="1070" spans="1:11" x14ac:dyDescent="0.35">
      <c r="A1070" s="1">
        <v>42068</v>
      </c>
      <c r="B1070" s="3">
        <f t="shared" si="32"/>
        <v>2015</v>
      </c>
      <c r="C1070" s="3">
        <f t="shared" si="33"/>
        <v>3</v>
      </c>
      <c r="D1070" t="s">
        <v>1266</v>
      </c>
      <c r="E1070" t="s">
        <v>26</v>
      </c>
      <c r="F1070" t="s">
        <v>28</v>
      </c>
      <c r="G1070" t="s">
        <v>33</v>
      </c>
      <c r="H1070" t="s">
        <v>658</v>
      </c>
      <c r="I1070" s="2">
        <v>7.1</v>
      </c>
      <c r="J1070" s="3">
        <v>6</v>
      </c>
      <c r="K1070" s="2">
        <v>2.4900000000000002</v>
      </c>
    </row>
    <row r="1071" spans="1:11" x14ac:dyDescent="0.35">
      <c r="A1071" s="1">
        <v>42068</v>
      </c>
      <c r="B1071" s="3">
        <f t="shared" si="32"/>
        <v>2015</v>
      </c>
      <c r="C1071" s="3">
        <f t="shared" si="33"/>
        <v>3</v>
      </c>
      <c r="D1071" t="s">
        <v>653</v>
      </c>
      <c r="E1071" t="s">
        <v>26</v>
      </c>
      <c r="F1071" t="s">
        <v>28</v>
      </c>
      <c r="G1071" t="s">
        <v>48</v>
      </c>
      <c r="H1071" t="s">
        <v>992</v>
      </c>
      <c r="I1071" s="2">
        <v>11.21</v>
      </c>
      <c r="J1071" s="3">
        <v>2</v>
      </c>
      <c r="K1071" s="2">
        <v>-16.82</v>
      </c>
    </row>
    <row r="1072" spans="1:11" x14ac:dyDescent="0.35">
      <c r="A1072" s="1">
        <v>42068</v>
      </c>
      <c r="B1072" s="3">
        <f t="shared" si="32"/>
        <v>2015</v>
      </c>
      <c r="C1072" s="3">
        <f t="shared" si="33"/>
        <v>3</v>
      </c>
      <c r="D1072" t="s">
        <v>653</v>
      </c>
      <c r="E1072" t="s">
        <v>26</v>
      </c>
      <c r="F1072" t="s">
        <v>18</v>
      </c>
      <c r="G1072" t="s">
        <v>36</v>
      </c>
      <c r="H1072" t="s">
        <v>886</v>
      </c>
      <c r="I1072" s="2">
        <v>4.71</v>
      </c>
      <c r="J1072" s="3">
        <v>2</v>
      </c>
      <c r="K1072" s="2">
        <v>-1.88</v>
      </c>
    </row>
    <row r="1073" spans="1:11" x14ac:dyDescent="0.35">
      <c r="A1073" s="1">
        <v>42068</v>
      </c>
      <c r="B1073" s="3">
        <f t="shared" si="32"/>
        <v>2015</v>
      </c>
      <c r="C1073" s="3">
        <f t="shared" si="33"/>
        <v>3</v>
      </c>
      <c r="D1073" t="s">
        <v>653</v>
      </c>
      <c r="E1073" t="s">
        <v>26</v>
      </c>
      <c r="F1073" t="s">
        <v>28</v>
      </c>
      <c r="G1073" t="s">
        <v>58</v>
      </c>
      <c r="H1073" t="s">
        <v>1267</v>
      </c>
      <c r="I1073" s="2">
        <v>180.98</v>
      </c>
      <c r="J1073" s="3">
        <v>5</v>
      </c>
      <c r="K1073" s="2">
        <v>-470.55</v>
      </c>
    </row>
    <row r="1074" spans="1:11" x14ac:dyDescent="0.35">
      <c r="A1074" s="1">
        <v>42068</v>
      </c>
      <c r="B1074" s="3">
        <f t="shared" si="32"/>
        <v>2015</v>
      </c>
      <c r="C1074" s="3">
        <f t="shared" si="33"/>
        <v>3</v>
      </c>
      <c r="D1074" t="s">
        <v>653</v>
      </c>
      <c r="E1074" t="s">
        <v>26</v>
      </c>
      <c r="F1074" t="s">
        <v>28</v>
      </c>
      <c r="G1074" t="s">
        <v>38</v>
      </c>
      <c r="H1074" t="s">
        <v>735</v>
      </c>
      <c r="I1074" s="2">
        <v>60.42</v>
      </c>
      <c r="J1074" s="3">
        <v>2</v>
      </c>
      <c r="K1074" s="2">
        <v>6.04</v>
      </c>
    </row>
    <row r="1075" spans="1:11" x14ac:dyDescent="0.35">
      <c r="A1075" s="1">
        <v>42099</v>
      </c>
      <c r="B1075" s="3">
        <f t="shared" si="32"/>
        <v>2015</v>
      </c>
      <c r="C1075" s="3">
        <f t="shared" si="33"/>
        <v>4</v>
      </c>
      <c r="D1075" t="s">
        <v>1268</v>
      </c>
      <c r="E1075" t="s">
        <v>326</v>
      </c>
      <c r="F1075" t="s">
        <v>28</v>
      </c>
      <c r="G1075" t="s">
        <v>48</v>
      </c>
      <c r="H1075" t="s">
        <v>1032</v>
      </c>
      <c r="I1075" s="2">
        <v>157.79</v>
      </c>
      <c r="J1075" s="3">
        <v>1</v>
      </c>
      <c r="K1075" s="2">
        <v>-115.72</v>
      </c>
    </row>
    <row r="1076" spans="1:11" x14ac:dyDescent="0.35">
      <c r="A1076" s="1">
        <v>42099</v>
      </c>
      <c r="B1076" s="3">
        <f t="shared" si="32"/>
        <v>2015</v>
      </c>
      <c r="C1076" s="3">
        <f t="shared" si="33"/>
        <v>4</v>
      </c>
      <c r="D1076" t="s">
        <v>558</v>
      </c>
      <c r="E1076" t="s">
        <v>89</v>
      </c>
      <c r="F1076" t="s">
        <v>28</v>
      </c>
      <c r="G1076" t="s">
        <v>58</v>
      </c>
      <c r="H1076" t="s">
        <v>581</v>
      </c>
      <c r="I1076" s="2">
        <v>98.11</v>
      </c>
      <c r="J1076" s="3">
        <v>7</v>
      </c>
      <c r="K1076" s="2">
        <v>18.399999999999999</v>
      </c>
    </row>
    <row r="1077" spans="1:11" x14ac:dyDescent="0.35">
      <c r="A1077" s="1">
        <v>42099</v>
      </c>
      <c r="B1077" s="3">
        <f t="shared" si="32"/>
        <v>2015</v>
      </c>
      <c r="C1077" s="3">
        <f t="shared" si="33"/>
        <v>4</v>
      </c>
      <c r="D1077" t="s">
        <v>558</v>
      </c>
      <c r="E1077" t="s">
        <v>89</v>
      </c>
      <c r="F1077" t="s">
        <v>28</v>
      </c>
      <c r="G1077" t="s">
        <v>38</v>
      </c>
      <c r="H1077" t="s">
        <v>934</v>
      </c>
      <c r="I1077" s="2">
        <v>563.80999999999995</v>
      </c>
      <c r="J1077" s="3">
        <v>4</v>
      </c>
      <c r="K1077" s="2">
        <v>21.14</v>
      </c>
    </row>
    <row r="1078" spans="1:11" x14ac:dyDescent="0.35">
      <c r="A1078" s="1">
        <v>42099</v>
      </c>
      <c r="B1078" s="3">
        <f t="shared" si="32"/>
        <v>2015</v>
      </c>
      <c r="C1078" s="3">
        <f t="shared" si="33"/>
        <v>4</v>
      </c>
      <c r="D1078" t="s">
        <v>558</v>
      </c>
      <c r="E1078" t="s">
        <v>89</v>
      </c>
      <c r="F1078" t="s">
        <v>28</v>
      </c>
      <c r="G1078" t="s">
        <v>48</v>
      </c>
      <c r="H1078" t="s">
        <v>1269</v>
      </c>
      <c r="I1078" s="2">
        <v>10.43</v>
      </c>
      <c r="J1078" s="3">
        <v>4</v>
      </c>
      <c r="K1078" s="2">
        <v>-6.95</v>
      </c>
    </row>
    <row r="1079" spans="1:11" x14ac:dyDescent="0.35">
      <c r="A1079" s="1">
        <v>42099</v>
      </c>
      <c r="B1079" s="3">
        <f t="shared" si="32"/>
        <v>2015</v>
      </c>
      <c r="C1079" s="3">
        <f t="shared" si="33"/>
        <v>4</v>
      </c>
      <c r="D1079" t="s">
        <v>558</v>
      </c>
      <c r="E1079" t="s">
        <v>89</v>
      </c>
      <c r="F1079" t="s">
        <v>18</v>
      </c>
      <c r="G1079" t="s">
        <v>36</v>
      </c>
      <c r="H1079" t="s">
        <v>331</v>
      </c>
      <c r="I1079" s="2">
        <v>547.14</v>
      </c>
      <c r="J1079" s="3">
        <v>4</v>
      </c>
      <c r="K1079" s="2">
        <v>-68.39</v>
      </c>
    </row>
    <row r="1080" spans="1:11" x14ac:dyDescent="0.35">
      <c r="A1080" s="1">
        <v>42099</v>
      </c>
      <c r="B1080" s="3">
        <f t="shared" si="32"/>
        <v>2015</v>
      </c>
      <c r="C1080" s="3">
        <f t="shared" si="33"/>
        <v>4</v>
      </c>
      <c r="D1080" t="s">
        <v>558</v>
      </c>
      <c r="E1080" t="s">
        <v>89</v>
      </c>
      <c r="F1080" t="s">
        <v>13</v>
      </c>
      <c r="G1080" t="s">
        <v>23</v>
      </c>
      <c r="H1080" t="s">
        <v>1071</v>
      </c>
      <c r="I1080" s="2">
        <v>14.85</v>
      </c>
      <c r="J1080" s="3">
        <v>5</v>
      </c>
      <c r="K1080" s="2">
        <v>-3.22</v>
      </c>
    </row>
    <row r="1081" spans="1:11" x14ac:dyDescent="0.35">
      <c r="A1081" s="1">
        <v>42099</v>
      </c>
      <c r="B1081" s="3">
        <f t="shared" si="32"/>
        <v>2015</v>
      </c>
      <c r="C1081" s="3">
        <f t="shared" si="33"/>
        <v>4</v>
      </c>
      <c r="D1081" t="s">
        <v>558</v>
      </c>
      <c r="E1081" t="s">
        <v>89</v>
      </c>
      <c r="F1081" t="s">
        <v>13</v>
      </c>
      <c r="G1081" t="s">
        <v>23</v>
      </c>
      <c r="H1081" t="s">
        <v>1095</v>
      </c>
      <c r="I1081" s="2">
        <v>41.99</v>
      </c>
      <c r="J1081" s="3">
        <v>2</v>
      </c>
      <c r="K1081" s="2">
        <v>-9.8000000000000007</v>
      </c>
    </row>
    <row r="1082" spans="1:11" x14ac:dyDescent="0.35">
      <c r="A1082" s="1">
        <v>42099</v>
      </c>
      <c r="B1082" s="3">
        <f t="shared" si="32"/>
        <v>2015</v>
      </c>
      <c r="C1082" s="3">
        <f t="shared" si="33"/>
        <v>4</v>
      </c>
      <c r="D1082" t="s">
        <v>558</v>
      </c>
      <c r="E1082" t="s">
        <v>89</v>
      </c>
      <c r="F1082" t="s">
        <v>18</v>
      </c>
      <c r="G1082" t="s">
        <v>36</v>
      </c>
      <c r="H1082" t="s">
        <v>1270</v>
      </c>
      <c r="I1082" s="2">
        <v>7.58</v>
      </c>
      <c r="J1082" s="3">
        <v>1</v>
      </c>
      <c r="K1082" s="2">
        <v>2.37</v>
      </c>
    </row>
    <row r="1083" spans="1:11" x14ac:dyDescent="0.35">
      <c r="A1083" s="1">
        <v>42099</v>
      </c>
      <c r="B1083" s="3">
        <f t="shared" si="32"/>
        <v>2015</v>
      </c>
      <c r="C1083" s="3">
        <f t="shared" si="33"/>
        <v>4</v>
      </c>
      <c r="D1083" t="s">
        <v>558</v>
      </c>
      <c r="E1083" t="s">
        <v>89</v>
      </c>
      <c r="F1083" t="s">
        <v>18</v>
      </c>
      <c r="G1083" t="s">
        <v>237</v>
      </c>
      <c r="H1083" t="s">
        <v>778</v>
      </c>
      <c r="I1083" s="2">
        <v>352.45</v>
      </c>
      <c r="J1083" s="3">
        <v>5</v>
      </c>
      <c r="K1083" s="2">
        <v>-211.47</v>
      </c>
    </row>
    <row r="1084" spans="1:11" x14ac:dyDescent="0.35">
      <c r="A1084" s="1">
        <v>42099</v>
      </c>
      <c r="B1084" s="3">
        <f t="shared" si="32"/>
        <v>2015</v>
      </c>
      <c r="C1084" s="3">
        <f t="shared" si="33"/>
        <v>4</v>
      </c>
      <c r="D1084" t="s">
        <v>713</v>
      </c>
      <c r="E1084" t="s">
        <v>89</v>
      </c>
      <c r="F1084" t="s">
        <v>28</v>
      </c>
      <c r="G1084" t="s">
        <v>46</v>
      </c>
      <c r="H1084" t="s">
        <v>220</v>
      </c>
      <c r="I1084" s="2">
        <v>23.9</v>
      </c>
      <c r="J1084" s="3">
        <v>6</v>
      </c>
      <c r="K1084" s="2">
        <v>7.77</v>
      </c>
    </row>
    <row r="1085" spans="1:11" x14ac:dyDescent="0.35">
      <c r="A1085" s="1">
        <v>42099</v>
      </c>
      <c r="B1085" s="3">
        <f t="shared" si="32"/>
        <v>2015</v>
      </c>
      <c r="C1085" s="3">
        <f t="shared" si="33"/>
        <v>4</v>
      </c>
      <c r="D1085" t="s">
        <v>1271</v>
      </c>
      <c r="E1085" t="s">
        <v>45</v>
      </c>
      <c r="F1085" t="s">
        <v>18</v>
      </c>
      <c r="G1085" t="s">
        <v>19</v>
      </c>
      <c r="H1085" t="s">
        <v>844</v>
      </c>
      <c r="I1085" s="2">
        <v>892.22</v>
      </c>
      <c r="J1085" s="3">
        <v>3</v>
      </c>
      <c r="K1085" s="2">
        <v>89.22</v>
      </c>
    </row>
    <row r="1086" spans="1:11" x14ac:dyDescent="0.35">
      <c r="A1086" s="1">
        <v>42099</v>
      </c>
      <c r="B1086" s="3">
        <f t="shared" si="32"/>
        <v>2015</v>
      </c>
      <c r="C1086" s="3">
        <f t="shared" si="33"/>
        <v>4</v>
      </c>
      <c r="D1086" t="s">
        <v>1272</v>
      </c>
      <c r="E1086" t="s">
        <v>17</v>
      </c>
      <c r="F1086" t="s">
        <v>13</v>
      </c>
      <c r="G1086" t="s">
        <v>14</v>
      </c>
      <c r="H1086" t="s">
        <v>693</v>
      </c>
      <c r="I1086" s="2">
        <v>239.94</v>
      </c>
      <c r="J1086" s="3">
        <v>6</v>
      </c>
      <c r="K1086" s="2">
        <v>26.39</v>
      </c>
    </row>
    <row r="1087" spans="1:11" x14ac:dyDescent="0.35">
      <c r="A1087" s="1">
        <v>42099</v>
      </c>
      <c r="B1087" s="3">
        <f t="shared" si="32"/>
        <v>2015</v>
      </c>
      <c r="C1087" s="3">
        <f t="shared" si="33"/>
        <v>4</v>
      </c>
      <c r="D1087" t="s">
        <v>1272</v>
      </c>
      <c r="E1087" t="s">
        <v>17</v>
      </c>
      <c r="F1087" t="s">
        <v>28</v>
      </c>
      <c r="G1087" t="s">
        <v>64</v>
      </c>
      <c r="H1087" t="s">
        <v>1273</v>
      </c>
      <c r="I1087" s="2">
        <v>23.84</v>
      </c>
      <c r="J1087" s="3">
        <v>8</v>
      </c>
      <c r="K1087" s="2">
        <v>6.44</v>
      </c>
    </row>
    <row r="1088" spans="1:11" x14ac:dyDescent="0.35">
      <c r="A1088" s="1">
        <v>42160</v>
      </c>
      <c r="B1088" s="3">
        <f t="shared" si="32"/>
        <v>2015</v>
      </c>
      <c r="C1088" s="3">
        <f t="shared" si="33"/>
        <v>6</v>
      </c>
      <c r="D1088" t="s">
        <v>1274</v>
      </c>
      <c r="E1088" t="s">
        <v>22</v>
      </c>
      <c r="F1088" t="s">
        <v>18</v>
      </c>
      <c r="G1088" t="s">
        <v>19</v>
      </c>
      <c r="H1088" t="s">
        <v>866</v>
      </c>
      <c r="I1088" s="2">
        <v>1522.64</v>
      </c>
      <c r="J1088" s="3">
        <v>9</v>
      </c>
      <c r="K1088" s="2">
        <v>169.18</v>
      </c>
    </row>
    <row r="1089" spans="1:11" x14ac:dyDescent="0.35">
      <c r="A1089" s="1">
        <v>42160</v>
      </c>
      <c r="B1089" s="3">
        <f t="shared" si="32"/>
        <v>2015</v>
      </c>
      <c r="C1089" s="3">
        <f t="shared" si="33"/>
        <v>6</v>
      </c>
      <c r="D1089" t="s">
        <v>1275</v>
      </c>
      <c r="E1089" t="s">
        <v>190</v>
      </c>
      <c r="F1089" t="s">
        <v>28</v>
      </c>
      <c r="G1089" t="s">
        <v>29</v>
      </c>
      <c r="H1089" t="s">
        <v>1276</v>
      </c>
      <c r="I1089" s="2">
        <v>10.56</v>
      </c>
      <c r="J1089" s="3">
        <v>2</v>
      </c>
      <c r="K1089" s="2">
        <v>4.75</v>
      </c>
    </row>
    <row r="1090" spans="1:11" x14ac:dyDescent="0.35">
      <c r="A1090" s="1">
        <v>42190</v>
      </c>
      <c r="B1090" s="3">
        <f t="shared" ref="B1090:B1153" si="34">YEAR(A1090)</f>
        <v>2015</v>
      </c>
      <c r="C1090" s="3">
        <f t="shared" ref="C1090:C1153" si="35">MONTH(A1090)</f>
        <v>7</v>
      </c>
      <c r="D1090" t="s">
        <v>80</v>
      </c>
      <c r="E1090" t="s">
        <v>81</v>
      </c>
      <c r="F1090" t="s">
        <v>18</v>
      </c>
      <c r="G1090" t="s">
        <v>36</v>
      </c>
      <c r="H1090" t="s">
        <v>1277</v>
      </c>
      <c r="I1090" s="2">
        <v>4.93</v>
      </c>
      <c r="J1090" s="3">
        <v>2</v>
      </c>
      <c r="K1090" s="2">
        <v>0.74</v>
      </c>
    </row>
    <row r="1091" spans="1:11" x14ac:dyDescent="0.35">
      <c r="A1091" s="1">
        <v>42190</v>
      </c>
      <c r="B1091" s="3">
        <f t="shared" si="34"/>
        <v>2015</v>
      </c>
      <c r="C1091" s="3">
        <f t="shared" si="35"/>
        <v>7</v>
      </c>
      <c r="D1091" t="s">
        <v>80</v>
      </c>
      <c r="E1091" t="s">
        <v>81</v>
      </c>
      <c r="F1091" t="s">
        <v>28</v>
      </c>
      <c r="G1091" t="s">
        <v>48</v>
      </c>
      <c r="H1091" t="s">
        <v>881</v>
      </c>
      <c r="I1091" s="2">
        <v>7.23</v>
      </c>
      <c r="J1091" s="3">
        <v>5</v>
      </c>
      <c r="K1091" s="2">
        <v>-5.78</v>
      </c>
    </row>
    <row r="1092" spans="1:11" x14ac:dyDescent="0.35">
      <c r="A1092" s="1">
        <v>42190</v>
      </c>
      <c r="B1092" s="3">
        <f t="shared" si="34"/>
        <v>2015</v>
      </c>
      <c r="C1092" s="3">
        <f t="shared" si="35"/>
        <v>7</v>
      </c>
      <c r="D1092" t="s">
        <v>1278</v>
      </c>
      <c r="E1092" t="s">
        <v>71</v>
      </c>
      <c r="F1092" t="s">
        <v>28</v>
      </c>
      <c r="G1092" t="s">
        <v>48</v>
      </c>
      <c r="H1092" t="s">
        <v>1279</v>
      </c>
      <c r="I1092" s="2">
        <v>19</v>
      </c>
      <c r="J1092" s="3">
        <v>5</v>
      </c>
      <c r="K1092" s="2">
        <v>8.93</v>
      </c>
    </row>
    <row r="1093" spans="1:11" x14ac:dyDescent="0.35">
      <c r="A1093" s="1">
        <v>42190</v>
      </c>
      <c r="B1093" s="3">
        <f t="shared" si="34"/>
        <v>2015</v>
      </c>
      <c r="C1093" s="3">
        <f t="shared" si="35"/>
        <v>7</v>
      </c>
      <c r="D1093" t="s">
        <v>1280</v>
      </c>
      <c r="E1093" t="s">
        <v>89</v>
      </c>
      <c r="F1093" t="s">
        <v>13</v>
      </c>
      <c r="G1093" t="s">
        <v>14</v>
      </c>
      <c r="H1093" t="s">
        <v>1281</v>
      </c>
      <c r="I1093" s="2">
        <v>34.799999999999997</v>
      </c>
      <c r="J1093" s="3">
        <v>3</v>
      </c>
      <c r="K1093" s="2">
        <v>2.1800000000000002</v>
      </c>
    </row>
    <row r="1094" spans="1:11" x14ac:dyDescent="0.35">
      <c r="A1094" s="1">
        <v>42190</v>
      </c>
      <c r="B1094" s="3">
        <f t="shared" si="34"/>
        <v>2015</v>
      </c>
      <c r="C1094" s="3">
        <f t="shared" si="35"/>
        <v>7</v>
      </c>
      <c r="D1094" t="s">
        <v>1280</v>
      </c>
      <c r="E1094" t="s">
        <v>89</v>
      </c>
      <c r="F1094" t="s">
        <v>28</v>
      </c>
      <c r="G1094" t="s">
        <v>38</v>
      </c>
      <c r="H1094" t="s">
        <v>328</v>
      </c>
      <c r="I1094" s="2">
        <v>38.979999999999997</v>
      </c>
      <c r="J1094" s="3">
        <v>3</v>
      </c>
      <c r="K1094" s="2">
        <v>-2.44</v>
      </c>
    </row>
    <row r="1095" spans="1:11" x14ac:dyDescent="0.35">
      <c r="A1095" s="1">
        <v>42190</v>
      </c>
      <c r="B1095" s="3">
        <f t="shared" si="34"/>
        <v>2015</v>
      </c>
      <c r="C1095" s="3">
        <f t="shared" si="35"/>
        <v>7</v>
      </c>
      <c r="D1095" t="s">
        <v>586</v>
      </c>
      <c r="E1095" t="s">
        <v>81</v>
      </c>
      <c r="F1095" t="s">
        <v>18</v>
      </c>
      <c r="G1095" t="s">
        <v>36</v>
      </c>
      <c r="H1095" t="s">
        <v>1277</v>
      </c>
      <c r="I1095" s="2">
        <v>4.93</v>
      </c>
      <c r="J1095" s="3">
        <v>2</v>
      </c>
      <c r="K1095" s="2">
        <v>0.74</v>
      </c>
    </row>
    <row r="1096" spans="1:11" x14ac:dyDescent="0.35">
      <c r="A1096" s="1">
        <v>42190</v>
      </c>
      <c r="B1096" s="3">
        <f t="shared" si="34"/>
        <v>2015</v>
      </c>
      <c r="C1096" s="3">
        <f t="shared" si="35"/>
        <v>7</v>
      </c>
      <c r="D1096" t="s">
        <v>586</v>
      </c>
      <c r="E1096" t="s">
        <v>81</v>
      </c>
      <c r="F1096" t="s">
        <v>28</v>
      </c>
      <c r="G1096" t="s">
        <v>46</v>
      </c>
      <c r="H1096" t="s">
        <v>343</v>
      </c>
      <c r="I1096" s="2">
        <v>11.78</v>
      </c>
      <c r="J1096" s="3">
        <v>3</v>
      </c>
      <c r="K1096" s="2">
        <v>4.2699999999999996</v>
      </c>
    </row>
    <row r="1097" spans="1:11" x14ac:dyDescent="0.35">
      <c r="A1097" s="1">
        <v>42221</v>
      </c>
      <c r="B1097" s="3">
        <f t="shared" si="34"/>
        <v>2015</v>
      </c>
      <c r="C1097" s="3">
        <f t="shared" si="35"/>
        <v>8</v>
      </c>
      <c r="D1097" t="s">
        <v>172</v>
      </c>
      <c r="E1097" t="s">
        <v>32</v>
      </c>
      <c r="F1097" t="s">
        <v>28</v>
      </c>
      <c r="G1097" t="s">
        <v>38</v>
      </c>
      <c r="H1097" t="s">
        <v>776</v>
      </c>
      <c r="I1097" s="2">
        <v>33.49</v>
      </c>
      <c r="J1097" s="3">
        <v>7</v>
      </c>
      <c r="K1097" s="2">
        <v>-1.26</v>
      </c>
    </row>
    <row r="1098" spans="1:11" x14ac:dyDescent="0.35">
      <c r="A1098" s="1">
        <v>42221</v>
      </c>
      <c r="B1098" s="3">
        <f t="shared" si="34"/>
        <v>2015</v>
      </c>
      <c r="C1098" s="3">
        <f t="shared" si="35"/>
        <v>8</v>
      </c>
      <c r="D1098" t="s">
        <v>172</v>
      </c>
      <c r="E1098" t="s">
        <v>32</v>
      </c>
      <c r="F1098" t="s">
        <v>28</v>
      </c>
      <c r="G1098" t="s">
        <v>215</v>
      </c>
      <c r="H1098" t="s">
        <v>216</v>
      </c>
      <c r="I1098" s="2">
        <v>23.04</v>
      </c>
      <c r="J1098" s="3">
        <v>3</v>
      </c>
      <c r="K1098" s="2">
        <v>-4.9000000000000004</v>
      </c>
    </row>
    <row r="1099" spans="1:11" x14ac:dyDescent="0.35">
      <c r="A1099" s="1">
        <v>42221</v>
      </c>
      <c r="B1099" s="3">
        <f t="shared" si="34"/>
        <v>2015</v>
      </c>
      <c r="C1099" s="3">
        <f t="shared" si="35"/>
        <v>8</v>
      </c>
      <c r="D1099" t="s">
        <v>172</v>
      </c>
      <c r="E1099" t="s">
        <v>32</v>
      </c>
      <c r="F1099" t="s">
        <v>28</v>
      </c>
      <c r="G1099" t="s">
        <v>48</v>
      </c>
      <c r="H1099" t="s">
        <v>330</v>
      </c>
      <c r="I1099" s="2">
        <v>1.36</v>
      </c>
      <c r="J1099" s="3">
        <v>1</v>
      </c>
      <c r="K1099" s="2">
        <v>-2.1800000000000002</v>
      </c>
    </row>
    <row r="1100" spans="1:11" x14ac:dyDescent="0.35">
      <c r="A1100" s="1">
        <v>42221</v>
      </c>
      <c r="B1100" s="3">
        <f t="shared" si="34"/>
        <v>2015</v>
      </c>
      <c r="C1100" s="3">
        <f t="shared" si="35"/>
        <v>8</v>
      </c>
      <c r="D1100" t="s">
        <v>172</v>
      </c>
      <c r="E1100" t="s">
        <v>32</v>
      </c>
      <c r="F1100" t="s">
        <v>18</v>
      </c>
      <c r="G1100" t="s">
        <v>36</v>
      </c>
      <c r="H1100" t="s">
        <v>1282</v>
      </c>
      <c r="I1100" s="2">
        <v>14.76</v>
      </c>
      <c r="J1100" s="3">
        <v>5</v>
      </c>
      <c r="K1100" s="2">
        <v>-11.44</v>
      </c>
    </row>
    <row r="1101" spans="1:11" x14ac:dyDescent="0.35">
      <c r="A1101" s="1">
        <v>42252</v>
      </c>
      <c r="B1101" s="3">
        <f t="shared" si="34"/>
        <v>2015</v>
      </c>
      <c r="C1101" s="3">
        <f t="shared" si="35"/>
        <v>9</v>
      </c>
      <c r="D1101" t="s">
        <v>1283</v>
      </c>
      <c r="E1101" t="s">
        <v>45</v>
      </c>
      <c r="F1101" t="s">
        <v>18</v>
      </c>
      <c r="G1101" t="s">
        <v>237</v>
      </c>
      <c r="H1101" t="s">
        <v>1284</v>
      </c>
      <c r="I1101" s="2">
        <v>411.33</v>
      </c>
      <c r="J1101" s="3">
        <v>4</v>
      </c>
      <c r="K1101" s="2">
        <v>-4.84</v>
      </c>
    </row>
    <row r="1102" spans="1:11" x14ac:dyDescent="0.35">
      <c r="A1102" s="1">
        <v>42252</v>
      </c>
      <c r="B1102" s="3">
        <f t="shared" si="34"/>
        <v>2015</v>
      </c>
      <c r="C1102" s="3">
        <f t="shared" si="35"/>
        <v>9</v>
      </c>
      <c r="D1102" t="s">
        <v>1283</v>
      </c>
      <c r="E1102" t="s">
        <v>45</v>
      </c>
      <c r="F1102" t="s">
        <v>28</v>
      </c>
      <c r="G1102" t="s">
        <v>48</v>
      </c>
      <c r="H1102" t="s">
        <v>1285</v>
      </c>
      <c r="I1102" s="2">
        <v>28.75</v>
      </c>
      <c r="J1102" s="3">
        <v>6</v>
      </c>
      <c r="K1102" s="2">
        <v>9.6999999999999993</v>
      </c>
    </row>
    <row r="1103" spans="1:11" x14ac:dyDescent="0.35">
      <c r="A1103" s="1">
        <v>42252</v>
      </c>
      <c r="B1103" s="3">
        <f t="shared" si="34"/>
        <v>2015</v>
      </c>
      <c r="C1103" s="3">
        <f t="shared" si="35"/>
        <v>9</v>
      </c>
      <c r="D1103" t="s">
        <v>1283</v>
      </c>
      <c r="E1103" t="s">
        <v>45</v>
      </c>
      <c r="F1103" t="s">
        <v>18</v>
      </c>
      <c r="G1103" t="s">
        <v>237</v>
      </c>
      <c r="H1103" t="s">
        <v>1286</v>
      </c>
      <c r="I1103" s="2">
        <v>293.2</v>
      </c>
      <c r="J1103" s="3">
        <v>3</v>
      </c>
      <c r="K1103" s="2">
        <v>-20.7</v>
      </c>
    </row>
    <row r="1104" spans="1:11" x14ac:dyDescent="0.35">
      <c r="A1104" s="1">
        <v>42252</v>
      </c>
      <c r="B1104" s="3">
        <f t="shared" si="34"/>
        <v>2015</v>
      </c>
      <c r="C1104" s="3">
        <f t="shared" si="35"/>
        <v>9</v>
      </c>
      <c r="D1104" t="s">
        <v>1287</v>
      </c>
      <c r="E1104" t="s">
        <v>32</v>
      </c>
      <c r="F1104" t="s">
        <v>28</v>
      </c>
      <c r="G1104" t="s">
        <v>48</v>
      </c>
      <c r="H1104" t="s">
        <v>419</v>
      </c>
      <c r="I1104" s="2">
        <v>16.27</v>
      </c>
      <c r="J1104" s="3">
        <v>5</v>
      </c>
      <c r="K1104" s="2">
        <v>-25.22</v>
      </c>
    </row>
    <row r="1105" spans="1:11" x14ac:dyDescent="0.35">
      <c r="A1105" s="1">
        <v>42252</v>
      </c>
      <c r="B1105" s="3">
        <f t="shared" si="34"/>
        <v>2015</v>
      </c>
      <c r="C1105" s="3">
        <f t="shared" si="35"/>
        <v>9</v>
      </c>
      <c r="D1105" t="s">
        <v>1287</v>
      </c>
      <c r="E1105" t="s">
        <v>32</v>
      </c>
      <c r="F1105" t="s">
        <v>28</v>
      </c>
      <c r="G1105" t="s">
        <v>215</v>
      </c>
      <c r="H1105" t="s">
        <v>216</v>
      </c>
      <c r="I1105" s="2">
        <v>69.12</v>
      </c>
      <c r="J1105" s="3">
        <v>9</v>
      </c>
      <c r="K1105" s="2">
        <v>-14.69</v>
      </c>
    </row>
    <row r="1106" spans="1:11" x14ac:dyDescent="0.35">
      <c r="A1106" s="1">
        <v>42252</v>
      </c>
      <c r="B1106" s="3">
        <f t="shared" si="34"/>
        <v>2015</v>
      </c>
      <c r="C1106" s="3">
        <f t="shared" si="35"/>
        <v>9</v>
      </c>
      <c r="D1106" t="s">
        <v>1287</v>
      </c>
      <c r="E1106" t="s">
        <v>32</v>
      </c>
      <c r="F1106" t="s">
        <v>28</v>
      </c>
      <c r="G1106" t="s">
        <v>48</v>
      </c>
      <c r="H1106" t="s">
        <v>591</v>
      </c>
      <c r="I1106" s="2">
        <v>4.47</v>
      </c>
      <c r="J1106" s="3">
        <v>3</v>
      </c>
      <c r="K1106" s="2">
        <v>-7.82</v>
      </c>
    </row>
    <row r="1107" spans="1:11" x14ac:dyDescent="0.35">
      <c r="A1107" s="1">
        <v>42252</v>
      </c>
      <c r="B1107" s="3">
        <f t="shared" si="34"/>
        <v>2015</v>
      </c>
      <c r="C1107" s="3">
        <f t="shared" si="35"/>
        <v>9</v>
      </c>
      <c r="D1107" t="s">
        <v>1288</v>
      </c>
      <c r="E1107" t="s">
        <v>55</v>
      </c>
      <c r="F1107" t="s">
        <v>18</v>
      </c>
      <c r="G1107" t="s">
        <v>36</v>
      </c>
      <c r="H1107" t="s">
        <v>1036</v>
      </c>
      <c r="I1107" s="2">
        <v>6.16</v>
      </c>
      <c r="J1107" s="3">
        <v>2</v>
      </c>
      <c r="K1107" s="2">
        <v>2.96</v>
      </c>
    </row>
    <row r="1108" spans="1:11" x14ac:dyDescent="0.35">
      <c r="A1108" s="1">
        <v>42252</v>
      </c>
      <c r="B1108" s="3">
        <f t="shared" si="34"/>
        <v>2015</v>
      </c>
      <c r="C1108" s="3">
        <f t="shared" si="35"/>
        <v>9</v>
      </c>
      <c r="D1108" t="s">
        <v>1288</v>
      </c>
      <c r="E1108" t="s">
        <v>55</v>
      </c>
      <c r="F1108" t="s">
        <v>28</v>
      </c>
      <c r="G1108" t="s">
        <v>29</v>
      </c>
      <c r="H1108" t="s">
        <v>922</v>
      </c>
      <c r="I1108" s="2">
        <v>36.840000000000003</v>
      </c>
      <c r="J1108" s="3">
        <v>3</v>
      </c>
      <c r="K1108" s="2">
        <v>17.309999999999999</v>
      </c>
    </row>
    <row r="1109" spans="1:11" x14ac:dyDescent="0.35">
      <c r="A1109" s="1">
        <v>42252</v>
      </c>
      <c r="B1109" s="3">
        <f t="shared" si="34"/>
        <v>2015</v>
      </c>
      <c r="C1109" s="3">
        <f t="shared" si="35"/>
        <v>9</v>
      </c>
      <c r="D1109" t="s">
        <v>1085</v>
      </c>
      <c r="E1109" t="s">
        <v>173</v>
      </c>
      <c r="F1109" t="s">
        <v>18</v>
      </c>
      <c r="G1109" t="s">
        <v>36</v>
      </c>
      <c r="H1109" t="s">
        <v>1289</v>
      </c>
      <c r="I1109" s="2">
        <v>67.959999999999994</v>
      </c>
      <c r="J1109" s="3">
        <v>4</v>
      </c>
      <c r="K1109" s="2">
        <v>12.23</v>
      </c>
    </row>
    <row r="1110" spans="1:11" x14ac:dyDescent="0.35">
      <c r="A1110" s="1">
        <v>42282</v>
      </c>
      <c r="B1110" s="3">
        <f t="shared" si="34"/>
        <v>2015</v>
      </c>
      <c r="C1110" s="3">
        <f t="shared" si="35"/>
        <v>10</v>
      </c>
      <c r="D1110" t="s">
        <v>1290</v>
      </c>
      <c r="E1110" t="s">
        <v>173</v>
      </c>
      <c r="F1110" t="s">
        <v>28</v>
      </c>
      <c r="G1110" t="s">
        <v>64</v>
      </c>
      <c r="H1110" t="s">
        <v>200</v>
      </c>
      <c r="I1110" s="2">
        <v>46.2</v>
      </c>
      <c r="J1110" s="3">
        <v>4</v>
      </c>
      <c r="K1110" s="2">
        <v>12.94</v>
      </c>
    </row>
    <row r="1111" spans="1:11" x14ac:dyDescent="0.35">
      <c r="A1111" s="1">
        <v>42282</v>
      </c>
      <c r="B1111" s="3">
        <f t="shared" si="34"/>
        <v>2015</v>
      </c>
      <c r="C1111" s="3">
        <f t="shared" si="35"/>
        <v>10</v>
      </c>
      <c r="D1111" t="s">
        <v>1290</v>
      </c>
      <c r="E1111" t="s">
        <v>173</v>
      </c>
      <c r="F1111" t="s">
        <v>28</v>
      </c>
      <c r="G1111" t="s">
        <v>58</v>
      </c>
      <c r="H1111" t="s">
        <v>376</v>
      </c>
      <c r="I1111" s="2">
        <v>28.84</v>
      </c>
      <c r="J1111" s="3">
        <v>2</v>
      </c>
      <c r="K1111" s="2">
        <v>9.52</v>
      </c>
    </row>
    <row r="1112" spans="1:11" x14ac:dyDescent="0.35">
      <c r="A1112" s="1">
        <v>42282</v>
      </c>
      <c r="B1112" s="3">
        <f t="shared" si="34"/>
        <v>2015</v>
      </c>
      <c r="C1112" s="3">
        <f t="shared" si="35"/>
        <v>10</v>
      </c>
      <c r="D1112" t="s">
        <v>1154</v>
      </c>
      <c r="E1112" t="s">
        <v>876</v>
      </c>
      <c r="F1112" t="s">
        <v>28</v>
      </c>
      <c r="G1112" t="s">
        <v>38</v>
      </c>
      <c r="H1112" t="s">
        <v>1019</v>
      </c>
      <c r="I1112" s="2">
        <v>77.55</v>
      </c>
      <c r="J1112" s="3">
        <v>5</v>
      </c>
      <c r="K1112" s="2">
        <v>21.71</v>
      </c>
    </row>
    <row r="1113" spans="1:11" x14ac:dyDescent="0.35">
      <c r="A1113" s="1">
        <v>42282</v>
      </c>
      <c r="B1113" s="3">
        <f t="shared" si="34"/>
        <v>2015</v>
      </c>
      <c r="C1113" s="3">
        <f t="shared" si="35"/>
        <v>10</v>
      </c>
      <c r="D1113" t="s">
        <v>691</v>
      </c>
      <c r="E1113" t="s">
        <v>131</v>
      </c>
      <c r="F1113" t="s">
        <v>13</v>
      </c>
      <c r="G1113" t="s">
        <v>14</v>
      </c>
      <c r="H1113" t="s">
        <v>1069</v>
      </c>
      <c r="I1113" s="2">
        <v>53.04</v>
      </c>
      <c r="J1113" s="3">
        <v>3</v>
      </c>
      <c r="K1113" s="2">
        <v>-4.6399999999999997</v>
      </c>
    </row>
    <row r="1114" spans="1:11" x14ac:dyDescent="0.35">
      <c r="A1114" s="1">
        <v>42282</v>
      </c>
      <c r="B1114" s="3">
        <f t="shared" si="34"/>
        <v>2015</v>
      </c>
      <c r="C1114" s="3">
        <f t="shared" si="35"/>
        <v>10</v>
      </c>
      <c r="D1114" t="s">
        <v>1079</v>
      </c>
      <c r="E1114" t="s">
        <v>107</v>
      </c>
      <c r="F1114" t="s">
        <v>18</v>
      </c>
      <c r="G1114" t="s">
        <v>237</v>
      </c>
      <c r="H1114" t="s">
        <v>1291</v>
      </c>
      <c r="I1114" s="2">
        <v>66.290000000000006</v>
      </c>
      <c r="J1114" s="3">
        <v>1</v>
      </c>
      <c r="K1114" s="2">
        <v>-103.86</v>
      </c>
    </row>
    <row r="1115" spans="1:11" x14ac:dyDescent="0.35">
      <c r="A1115" s="1">
        <v>42282</v>
      </c>
      <c r="B1115" s="3">
        <f t="shared" si="34"/>
        <v>2015</v>
      </c>
      <c r="C1115" s="3">
        <f t="shared" si="35"/>
        <v>10</v>
      </c>
      <c r="D1115" t="s">
        <v>1079</v>
      </c>
      <c r="E1115" t="s">
        <v>107</v>
      </c>
      <c r="F1115" t="s">
        <v>18</v>
      </c>
      <c r="G1115" t="s">
        <v>19</v>
      </c>
      <c r="H1115" t="s">
        <v>1078</v>
      </c>
      <c r="I1115" s="2">
        <v>291.17</v>
      </c>
      <c r="J1115" s="3">
        <v>4</v>
      </c>
      <c r="K1115" s="2">
        <v>-14.56</v>
      </c>
    </row>
    <row r="1116" spans="1:11" x14ac:dyDescent="0.35">
      <c r="A1116" s="1">
        <v>42282</v>
      </c>
      <c r="B1116" s="3">
        <f t="shared" si="34"/>
        <v>2015</v>
      </c>
      <c r="C1116" s="3">
        <f t="shared" si="35"/>
        <v>10</v>
      </c>
      <c r="D1116" t="s">
        <v>86</v>
      </c>
      <c r="E1116" t="s">
        <v>131</v>
      </c>
      <c r="F1116" t="s">
        <v>13</v>
      </c>
      <c r="G1116" t="s">
        <v>14</v>
      </c>
      <c r="H1116" t="s">
        <v>407</v>
      </c>
      <c r="I1116" s="2">
        <v>288</v>
      </c>
      <c r="J1116" s="3">
        <v>4</v>
      </c>
      <c r="K1116" s="2">
        <v>57.6</v>
      </c>
    </row>
    <row r="1117" spans="1:11" x14ac:dyDescent="0.35">
      <c r="A1117" s="1">
        <v>42313</v>
      </c>
      <c r="B1117" s="3">
        <f t="shared" si="34"/>
        <v>2015</v>
      </c>
      <c r="C1117" s="3">
        <f t="shared" si="35"/>
        <v>11</v>
      </c>
      <c r="D1117" t="s">
        <v>1292</v>
      </c>
      <c r="E1117" t="s">
        <v>81</v>
      </c>
      <c r="F1117" t="s">
        <v>18</v>
      </c>
      <c r="G1117" t="s">
        <v>19</v>
      </c>
      <c r="H1117" t="s">
        <v>35</v>
      </c>
      <c r="I1117" s="2">
        <v>207</v>
      </c>
      <c r="J1117" s="3">
        <v>3</v>
      </c>
      <c r="K1117" s="2">
        <v>25.88</v>
      </c>
    </row>
    <row r="1118" spans="1:11" x14ac:dyDescent="0.35">
      <c r="A1118" s="1">
        <v>42313</v>
      </c>
      <c r="B1118" s="3">
        <f t="shared" si="34"/>
        <v>2015</v>
      </c>
      <c r="C1118" s="3">
        <f t="shared" si="35"/>
        <v>11</v>
      </c>
      <c r="D1118" t="s">
        <v>385</v>
      </c>
      <c r="E1118" t="s">
        <v>77</v>
      </c>
      <c r="F1118" t="s">
        <v>28</v>
      </c>
      <c r="G1118" t="s">
        <v>58</v>
      </c>
      <c r="H1118" t="s">
        <v>1293</v>
      </c>
      <c r="I1118" s="2">
        <v>387.14</v>
      </c>
      <c r="J1118" s="3">
        <v>4</v>
      </c>
      <c r="K1118" s="2">
        <v>24.2</v>
      </c>
    </row>
    <row r="1119" spans="1:11" x14ac:dyDescent="0.35">
      <c r="A1119" s="1">
        <v>42313</v>
      </c>
      <c r="B1119" s="3">
        <f t="shared" si="34"/>
        <v>2015</v>
      </c>
      <c r="C1119" s="3">
        <f t="shared" si="35"/>
        <v>11</v>
      </c>
      <c r="D1119" t="s">
        <v>552</v>
      </c>
      <c r="E1119" t="s">
        <v>22</v>
      </c>
      <c r="F1119" t="s">
        <v>28</v>
      </c>
      <c r="G1119" t="s">
        <v>48</v>
      </c>
      <c r="H1119" t="s">
        <v>1294</v>
      </c>
      <c r="I1119" s="2">
        <v>25.34</v>
      </c>
      <c r="J1119" s="3">
        <v>6</v>
      </c>
      <c r="K1119" s="2">
        <v>8.8699999999999992</v>
      </c>
    </row>
    <row r="1120" spans="1:11" x14ac:dyDescent="0.35">
      <c r="A1120" s="1">
        <v>42313</v>
      </c>
      <c r="B1120" s="3">
        <f t="shared" si="34"/>
        <v>2015</v>
      </c>
      <c r="C1120" s="3">
        <f t="shared" si="35"/>
        <v>11</v>
      </c>
      <c r="D1120" t="s">
        <v>338</v>
      </c>
      <c r="E1120" t="s">
        <v>26</v>
      </c>
      <c r="F1120" t="s">
        <v>28</v>
      </c>
      <c r="G1120" t="s">
        <v>46</v>
      </c>
      <c r="H1120" t="s">
        <v>1295</v>
      </c>
      <c r="I1120" s="2">
        <v>19.82</v>
      </c>
      <c r="J1120" s="3">
        <v>6</v>
      </c>
      <c r="K1120" s="2">
        <v>6.44</v>
      </c>
    </row>
    <row r="1121" spans="1:11" x14ac:dyDescent="0.35">
      <c r="A1121" s="1">
        <v>42313</v>
      </c>
      <c r="B1121" s="3">
        <f t="shared" si="34"/>
        <v>2015</v>
      </c>
      <c r="C1121" s="3">
        <f t="shared" si="35"/>
        <v>11</v>
      </c>
      <c r="D1121" t="s">
        <v>194</v>
      </c>
      <c r="E1121" t="s">
        <v>45</v>
      </c>
      <c r="F1121" t="s">
        <v>28</v>
      </c>
      <c r="G1121" t="s">
        <v>38</v>
      </c>
      <c r="H1121" t="s">
        <v>1296</v>
      </c>
      <c r="I1121" s="2">
        <v>62.8</v>
      </c>
      <c r="J1121" s="3">
        <v>4</v>
      </c>
      <c r="K1121" s="2">
        <v>15.7</v>
      </c>
    </row>
    <row r="1122" spans="1:11" x14ac:dyDescent="0.35">
      <c r="A1122" s="1">
        <v>42313</v>
      </c>
      <c r="B1122" s="3">
        <f t="shared" si="34"/>
        <v>2015</v>
      </c>
      <c r="C1122" s="3">
        <f t="shared" si="35"/>
        <v>11</v>
      </c>
      <c r="D1122" t="s">
        <v>929</v>
      </c>
      <c r="E1122" t="s">
        <v>17</v>
      </c>
      <c r="F1122" t="s">
        <v>28</v>
      </c>
      <c r="G1122" t="s">
        <v>48</v>
      </c>
      <c r="H1122" t="s">
        <v>547</v>
      </c>
      <c r="I1122" s="2">
        <v>98.35</v>
      </c>
      <c r="J1122" s="3">
        <v>3</v>
      </c>
      <c r="K1122" s="2">
        <v>35.65</v>
      </c>
    </row>
    <row r="1123" spans="1:11" x14ac:dyDescent="0.35">
      <c r="A1123" s="1">
        <v>42313</v>
      </c>
      <c r="B1123" s="3">
        <f t="shared" si="34"/>
        <v>2015</v>
      </c>
      <c r="C1123" s="3">
        <f t="shared" si="35"/>
        <v>11</v>
      </c>
      <c r="D1123" t="s">
        <v>1297</v>
      </c>
      <c r="E1123" t="s">
        <v>131</v>
      </c>
      <c r="F1123" t="s">
        <v>28</v>
      </c>
      <c r="G1123" t="s">
        <v>48</v>
      </c>
      <c r="H1123" t="s">
        <v>1298</v>
      </c>
      <c r="I1123" s="2">
        <v>7.22</v>
      </c>
      <c r="J1123" s="3">
        <v>3</v>
      </c>
      <c r="K1123" s="2">
        <v>-5.53</v>
      </c>
    </row>
    <row r="1124" spans="1:11" x14ac:dyDescent="0.35">
      <c r="A1124" s="1">
        <v>42313</v>
      </c>
      <c r="B1124" s="3">
        <f t="shared" si="34"/>
        <v>2015</v>
      </c>
      <c r="C1124" s="3">
        <f t="shared" si="35"/>
        <v>11</v>
      </c>
      <c r="D1124" t="s">
        <v>1297</v>
      </c>
      <c r="E1124" t="s">
        <v>131</v>
      </c>
      <c r="F1124" t="s">
        <v>28</v>
      </c>
      <c r="G1124" t="s">
        <v>215</v>
      </c>
      <c r="H1124" t="s">
        <v>1299</v>
      </c>
      <c r="I1124" s="2">
        <v>27.2</v>
      </c>
      <c r="J1124" s="3">
        <v>4</v>
      </c>
      <c r="K1124" s="2">
        <v>2.04</v>
      </c>
    </row>
    <row r="1125" spans="1:11" x14ac:dyDescent="0.35">
      <c r="A1125" s="1">
        <v>42343</v>
      </c>
      <c r="B1125" s="3">
        <f t="shared" si="34"/>
        <v>2015</v>
      </c>
      <c r="C1125" s="3">
        <f t="shared" si="35"/>
        <v>12</v>
      </c>
      <c r="D1125" t="s">
        <v>1300</v>
      </c>
      <c r="E1125" t="s">
        <v>45</v>
      </c>
      <c r="F1125" t="s">
        <v>18</v>
      </c>
      <c r="G1125" t="s">
        <v>36</v>
      </c>
      <c r="H1125" t="s">
        <v>1301</v>
      </c>
      <c r="I1125" s="2">
        <v>44.46</v>
      </c>
      <c r="J1125" s="3">
        <v>2</v>
      </c>
      <c r="K1125" s="2">
        <v>14.67</v>
      </c>
    </row>
    <row r="1126" spans="1:11" x14ac:dyDescent="0.35">
      <c r="A1126" s="1">
        <v>42343</v>
      </c>
      <c r="B1126" s="3">
        <f t="shared" si="34"/>
        <v>2015</v>
      </c>
      <c r="C1126" s="3">
        <f t="shared" si="35"/>
        <v>12</v>
      </c>
      <c r="D1126" t="s">
        <v>1144</v>
      </c>
      <c r="E1126" t="s">
        <v>89</v>
      </c>
      <c r="F1126" t="s">
        <v>13</v>
      </c>
      <c r="G1126" t="s">
        <v>14</v>
      </c>
      <c r="H1126" t="s">
        <v>335</v>
      </c>
      <c r="I1126" s="2">
        <v>47.98</v>
      </c>
      <c r="J1126" s="3">
        <v>2</v>
      </c>
      <c r="K1126" s="2">
        <v>0.6</v>
      </c>
    </row>
    <row r="1127" spans="1:11" x14ac:dyDescent="0.35">
      <c r="A1127" s="1">
        <v>42343</v>
      </c>
      <c r="B1127" s="3">
        <f t="shared" si="34"/>
        <v>2015</v>
      </c>
      <c r="C1127" s="3">
        <f t="shared" si="35"/>
        <v>12</v>
      </c>
      <c r="D1127" t="s">
        <v>1144</v>
      </c>
      <c r="E1127" t="s">
        <v>89</v>
      </c>
      <c r="F1127" t="s">
        <v>28</v>
      </c>
      <c r="G1127" t="s">
        <v>48</v>
      </c>
      <c r="H1127" t="s">
        <v>1302</v>
      </c>
      <c r="I1127" s="2">
        <v>26.06</v>
      </c>
      <c r="J1127" s="3">
        <v>6</v>
      </c>
      <c r="K1127" s="2">
        <v>-19.98</v>
      </c>
    </row>
    <row r="1128" spans="1:11" x14ac:dyDescent="0.35">
      <c r="A1128" s="1">
        <v>42343</v>
      </c>
      <c r="B1128" s="3">
        <f t="shared" si="34"/>
        <v>2015</v>
      </c>
      <c r="C1128" s="3">
        <f t="shared" si="35"/>
        <v>12</v>
      </c>
      <c r="D1128" t="s">
        <v>1303</v>
      </c>
      <c r="E1128" t="s">
        <v>71</v>
      </c>
      <c r="F1128" t="s">
        <v>28</v>
      </c>
      <c r="G1128" t="s">
        <v>48</v>
      </c>
      <c r="H1128" t="s">
        <v>155</v>
      </c>
      <c r="I1128" s="2">
        <v>152.80000000000001</v>
      </c>
      <c r="J1128" s="3">
        <v>5</v>
      </c>
      <c r="K1128" s="2">
        <v>76.400000000000006</v>
      </c>
    </row>
    <row r="1129" spans="1:11" x14ac:dyDescent="0.35">
      <c r="A1129" s="1">
        <v>42343</v>
      </c>
      <c r="B1129" s="3">
        <f t="shared" si="34"/>
        <v>2015</v>
      </c>
      <c r="C1129" s="3">
        <f t="shared" si="35"/>
        <v>12</v>
      </c>
      <c r="D1129" t="s">
        <v>845</v>
      </c>
      <c r="E1129" t="s">
        <v>32</v>
      </c>
      <c r="F1129" t="s">
        <v>28</v>
      </c>
      <c r="G1129" t="s">
        <v>64</v>
      </c>
      <c r="H1129" t="s">
        <v>953</v>
      </c>
      <c r="I1129" s="2">
        <v>45.04</v>
      </c>
      <c r="J1129" s="3">
        <v>2</v>
      </c>
      <c r="K1129" s="2">
        <v>4.5</v>
      </c>
    </row>
    <row r="1130" spans="1:11" x14ac:dyDescent="0.35">
      <c r="A1130" s="1">
        <v>42343</v>
      </c>
      <c r="B1130" s="3">
        <f t="shared" si="34"/>
        <v>2015</v>
      </c>
      <c r="C1130" s="3">
        <f t="shared" si="35"/>
        <v>12</v>
      </c>
      <c r="D1130" t="s">
        <v>489</v>
      </c>
      <c r="E1130" t="s">
        <v>22</v>
      </c>
      <c r="F1130" t="s">
        <v>28</v>
      </c>
      <c r="G1130" t="s">
        <v>48</v>
      </c>
      <c r="H1130" t="s">
        <v>914</v>
      </c>
      <c r="I1130" s="2">
        <v>232.4</v>
      </c>
      <c r="J1130" s="3">
        <v>5</v>
      </c>
      <c r="K1130" s="2">
        <v>78.44</v>
      </c>
    </row>
    <row r="1131" spans="1:11" x14ac:dyDescent="0.35">
      <c r="A1131" s="1">
        <v>42343</v>
      </c>
      <c r="B1131" s="3">
        <f t="shared" si="34"/>
        <v>2015</v>
      </c>
      <c r="C1131" s="3">
        <f t="shared" si="35"/>
        <v>12</v>
      </c>
      <c r="D1131" t="s">
        <v>489</v>
      </c>
      <c r="E1131" t="s">
        <v>22</v>
      </c>
      <c r="F1131" t="s">
        <v>18</v>
      </c>
      <c r="G1131" t="s">
        <v>19</v>
      </c>
      <c r="H1131" t="s">
        <v>1145</v>
      </c>
      <c r="I1131" s="2">
        <v>164.65</v>
      </c>
      <c r="J1131" s="3">
        <v>3</v>
      </c>
      <c r="K1131" s="2">
        <v>12.81</v>
      </c>
    </row>
    <row r="1132" spans="1:11" x14ac:dyDescent="0.35">
      <c r="A1132" s="1">
        <v>42343</v>
      </c>
      <c r="B1132" s="3">
        <f t="shared" si="34"/>
        <v>2015</v>
      </c>
      <c r="C1132" s="3">
        <f t="shared" si="35"/>
        <v>12</v>
      </c>
      <c r="D1132" t="s">
        <v>489</v>
      </c>
      <c r="E1132" t="s">
        <v>22</v>
      </c>
      <c r="F1132" t="s">
        <v>28</v>
      </c>
      <c r="G1132" t="s">
        <v>29</v>
      </c>
      <c r="H1132" t="s">
        <v>1304</v>
      </c>
      <c r="I1132" s="2">
        <v>22.68</v>
      </c>
      <c r="J1132" s="3">
        <v>2</v>
      </c>
      <c r="K1132" s="2">
        <v>11.11</v>
      </c>
    </row>
    <row r="1133" spans="1:11" x14ac:dyDescent="0.35">
      <c r="A1133" s="1">
        <v>42343</v>
      </c>
      <c r="B1133" s="3">
        <f t="shared" si="34"/>
        <v>2015</v>
      </c>
      <c r="C1133" s="3">
        <f t="shared" si="35"/>
        <v>12</v>
      </c>
      <c r="D1133" t="s">
        <v>1292</v>
      </c>
      <c r="E1133" t="s">
        <v>45</v>
      </c>
      <c r="F1133" t="s">
        <v>13</v>
      </c>
      <c r="G1133" t="s">
        <v>14</v>
      </c>
      <c r="H1133" t="s">
        <v>749</v>
      </c>
      <c r="I1133" s="2">
        <v>39</v>
      </c>
      <c r="J1133" s="3">
        <v>3</v>
      </c>
      <c r="K1133" s="2">
        <v>17.55</v>
      </c>
    </row>
    <row r="1134" spans="1:11" x14ac:dyDescent="0.35">
      <c r="A1134" s="1">
        <v>42343</v>
      </c>
      <c r="B1134" s="3">
        <f t="shared" si="34"/>
        <v>2015</v>
      </c>
      <c r="C1134" s="3">
        <f t="shared" si="35"/>
        <v>12</v>
      </c>
      <c r="D1134" t="s">
        <v>1292</v>
      </c>
      <c r="E1134" t="s">
        <v>45</v>
      </c>
      <c r="F1134" t="s">
        <v>28</v>
      </c>
      <c r="G1134" t="s">
        <v>46</v>
      </c>
      <c r="H1134" t="s">
        <v>1305</v>
      </c>
      <c r="I1134" s="2">
        <v>12.6</v>
      </c>
      <c r="J1134" s="3">
        <v>4</v>
      </c>
      <c r="K1134" s="2">
        <v>6.05</v>
      </c>
    </row>
    <row r="1135" spans="1:11" x14ac:dyDescent="0.35">
      <c r="A1135" s="1">
        <v>42343</v>
      </c>
      <c r="B1135" s="3">
        <f t="shared" si="34"/>
        <v>2015</v>
      </c>
      <c r="C1135" s="3">
        <f t="shared" si="35"/>
        <v>12</v>
      </c>
      <c r="D1135" t="s">
        <v>794</v>
      </c>
      <c r="E1135" t="s">
        <v>326</v>
      </c>
      <c r="F1135" t="s">
        <v>18</v>
      </c>
      <c r="G1135" t="s">
        <v>19</v>
      </c>
      <c r="H1135" t="s">
        <v>596</v>
      </c>
      <c r="I1135" s="2">
        <v>97.42</v>
      </c>
      <c r="J1135" s="3">
        <v>2</v>
      </c>
      <c r="K1135" s="2">
        <v>10.96</v>
      </c>
    </row>
    <row r="1136" spans="1:11" x14ac:dyDescent="0.35">
      <c r="A1136" s="1">
        <v>42343</v>
      </c>
      <c r="B1136" s="3">
        <f t="shared" si="34"/>
        <v>2015</v>
      </c>
      <c r="C1136" s="3">
        <f t="shared" si="35"/>
        <v>12</v>
      </c>
      <c r="D1136" t="s">
        <v>736</v>
      </c>
      <c r="E1136" t="s">
        <v>26</v>
      </c>
      <c r="F1136" t="s">
        <v>28</v>
      </c>
      <c r="G1136" t="s">
        <v>158</v>
      </c>
      <c r="H1136" t="s">
        <v>285</v>
      </c>
      <c r="I1136" s="2">
        <v>12.22</v>
      </c>
      <c r="J1136" s="3">
        <v>2</v>
      </c>
      <c r="K1136" s="2">
        <v>4.43</v>
      </c>
    </row>
    <row r="1137" spans="1:11" x14ac:dyDescent="0.35">
      <c r="A1137" s="1">
        <v>42010</v>
      </c>
      <c r="B1137" s="3">
        <f t="shared" si="34"/>
        <v>2015</v>
      </c>
      <c r="C1137" s="3">
        <f t="shared" si="35"/>
        <v>1</v>
      </c>
      <c r="D1137" t="s">
        <v>715</v>
      </c>
      <c r="E1137" t="s">
        <v>103</v>
      </c>
      <c r="F1137" t="s">
        <v>28</v>
      </c>
      <c r="G1137" t="s">
        <v>29</v>
      </c>
      <c r="H1137" t="s">
        <v>1306</v>
      </c>
      <c r="I1137" s="2">
        <v>29.6</v>
      </c>
      <c r="J1137" s="3">
        <v>5</v>
      </c>
      <c r="K1137" s="2">
        <v>9.25</v>
      </c>
    </row>
    <row r="1138" spans="1:11" x14ac:dyDescent="0.35">
      <c r="A1138" s="1">
        <v>42010</v>
      </c>
      <c r="B1138" s="3">
        <f t="shared" si="34"/>
        <v>2015</v>
      </c>
      <c r="C1138" s="3">
        <f t="shared" si="35"/>
        <v>1</v>
      </c>
      <c r="D1138" t="s">
        <v>715</v>
      </c>
      <c r="E1138" t="s">
        <v>103</v>
      </c>
      <c r="F1138" t="s">
        <v>28</v>
      </c>
      <c r="G1138" t="s">
        <v>48</v>
      </c>
      <c r="H1138" t="s">
        <v>972</v>
      </c>
      <c r="I1138" s="2">
        <v>1.94</v>
      </c>
      <c r="J1138" s="3">
        <v>2</v>
      </c>
      <c r="K1138" s="2">
        <v>-1.36</v>
      </c>
    </row>
    <row r="1139" spans="1:11" x14ac:dyDescent="0.35">
      <c r="A1139" s="1">
        <v>42041</v>
      </c>
      <c r="B1139" s="3">
        <f t="shared" si="34"/>
        <v>2015</v>
      </c>
      <c r="C1139" s="3">
        <f t="shared" si="35"/>
        <v>2</v>
      </c>
      <c r="D1139" t="s">
        <v>912</v>
      </c>
      <c r="E1139" t="s">
        <v>17</v>
      </c>
      <c r="F1139" t="s">
        <v>28</v>
      </c>
      <c r="G1139" t="s">
        <v>64</v>
      </c>
      <c r="H1139" t="s">
        <v>1307</v>
      </c>
      <c r="I1139" s="2">
        <v>5.28</v>
      </c>
      <c r="J1139" s="3">
        <v>3</v>
      </c>
      <c r="K1139" s="2">
        <v>1.53</v>
      </c>
    </row>
    <row r="1140" spans="1:11" x14ac:dyDescent="0.35">
      <c r="A1140" s="1">
        <v>42041</v>
      </c>
      <c r="B1140" s="3">
        <f t="shared" si="34"/>
        <v>2015</v>
      </c>
      <c r="C1140" s="3">
        <f t="shared" si="35"/>
        <v>2</v>
      </c>
      <c r="D1140" t="s">
        <v>86</v>
      </c>
      <c r="E1140" t="s">
        <v>876</v>
      </c>
      <c r="F1140" t="s">
        <v>18</v>
      </c>
      <c r="G1140" t="s">
        <v>19</v>
      </c>
      <c r="H1140" t="s">
        <v>872</v>
      </c>
      <c r="I1140" s="2">
        <v>1268.82</v>
      </c>
      <c r="J1140" s="3">
        <v>9</v>
      </c>
      <c r="K1140" s="2">
        <v>266.45</v>
      </c>
    </row>
    <row r="1141" spans="1:11" x14ac:dyDescent="0.35">
      <c r="A1141" s="1">
        <v>42041</v>
      </c>
      <c r="B1141" s="3">
        <f t="shared" si="34"/>
        <v>2015</v>
      </c>
      <c r="C1141" s="3">
        <f t="shared" si="35"/>
        <v>2</v>
      </c>
      <c r="D1141" t="s">
        <v>86</v>
      </c>
      <c r="E1141" t="s">
        <v>876</v>
      </c>
      <c r="F1141" t="s">
        <v>18</v>
      </c>
      <c r="G1141" t="s">
        <v>237</v>
      </c>
      <c r="H1141" t="s">
        <v>1308</v>
      </c>
      <c r="I1141" s="2">
        <v>283.92</v>
      </c>
      <c r="J1141" s="3">
        <v>4</v>
      </c>
      <c r="K1141" s="2">
        <v>82.34</v>
      </c>
    </row>
    <row r="1142" spans="1:11" x14ac:dyDescent="0.35">
      <c r="A1142" s="1">
        <v>42041</v>
      </c>
      <c r="B1142" s="3">
        <f t="shared" si="34"/>
        <v>2015</v>
      </c>
      <c r="C1142" s="3">
        <f t="shared" si="35"/>
        <v>2</v>
      </c>
      <c r="D1142" t="s">
        <v>86</v>
      </c>
      <c r="E1142" t="s">
        <v>876</v>
      </c>
      <c r="F1142" t="s">
        <v>28</v>
      </c>
      <c r="G1142" t="s">
        <v>64</v>
      </c>
      <c r="H1142" t="s">
        <v>1309</v>
      </c>
      <c r="I1142" s="2">
        <v>5.68</v>
      </c>
      <c r="J1142" s="3">
        <v>2</v>
      </c>
      <c r="K1142" s="2">
        <v>1.76</v>
      </c>
    </row>
    <row r="1143" spans="1:11" x14ac:dyDescent="0.35">
      <c r="A1143" s="1">
        <v>42041</v>
      </c>
      <c r="B1143" s="3">
        <f t="shared" si="34"/>
        <v>2015</v>
      </c>
      <c r="C1143" s="3">
        <f t="shared" si="35"/>
        <v>2</v>
      </c>
      <c r="D1143" t="s">
        <v>1310</v>
      </c>
      <c r="E1143" t="s">
        <v>32</v>
      </c>
      <c r="F1143" t="s">
        <v>28</v>
      </c>
      <c r="G1143" t="s">
        <v>48</v>
      </c>
      <c r="H1143" t="s">
        <v>1311</v>
      </c>
      <c r="I1143" s="2">
        <v>2.93</v>
      </c>
      <c r="J1143" s="3">
        <v>3</v>
      </c>
      <c r="K1143" s="2">
        <v>-4.99</v>
      </c>
    </row>
    <row r="1144" spans="1:11" x14ac:dyDescent="0.35">
      <c r="A1144" s="1">
        <v>42041</v>
      </c>
      <c r="B1144" s="3">
        <f t="shared" si="34"/>
        <v>2015</v>
      </c>
      <c r="C1144" s="3">
        <f t="shared" si="35"/>
        <v>2</v>
      </c>
      <c r="D1144" t="s">
        <v>1310</v>
      </c>
      <c r="E1144" t="s">
        <v>32</v>
      </c>
      <c r="F1144" t="s">
        <v>13</v>
      </c>
      <c r="G1144" t="s">
        <v>14</v>
      </c>
      <c r="H1144" t="s">
        <v>1312</v>
      </c>
      <c r="I1144" s="2">
        <v>18.53</v>
      </c>
      <c r="J1144" s="3">
        <v>2</v>
      </c>
      <c r="K1144" s="2">
        <v>4.4000000000000004</v>
      </c>
    </row>
    <row r="1145" spans="1:11" x14ac:dyDescent="0.35">
      <c r="A1145" s="1">
        <v>42041</v>
      </c>
      <c r="B1145" s="3">
        <f t="shared" si="34"/>
        <v>2015</v>
      </c>
      <c r="C1145" s="3">
        <f t="shared" si="35"/>
        <v>2</v>
      </c>
      <c r="D1145" t="s">
        <v>1310</v>
      </c>
      <c r="E1145" t="s">
        <v>32</v>
      </c>
      <c r="F1145" t="s">
        <v>28</v>
      </c>
      <c r="G1145" t="s">
        <v>38</v>
      </c>
      <c r="H1145" t="s">
        <v>682</v>
      </c>
      <c r="I1145" s="2">
        <v>670.75</v>
      </c>
      <c r="J1145" s="3">
        <v>3</v>
      </c>
      <c r="K1145" s="2">
        <v>-125.77</v>
      </c>
    </row>
    <row r="1146" spans="1:11" x14ac:dyDescent="0.35">
      <c r="A1146" s="1">
        <v>42041</v>
      </c>
      <c r="B1146" s="3">
        <f t="shared" si="34"/>
        <v>2015</v>
      </c>
      <c r="C1146" s="3">
        <f t="shared" si="35"/>
        <v>2</v>
      </c>
      <c r="D1146" t="s">
        <v>1313</v>
      </c>
      <c r="E1146" t="s">
        <v>173</v>
      </c>
      <c r="F1146" t="s">
        <v>28</v>
      </c>
      <c r="G1146" t="s">
        <v>38</v>
      </c>
      <c r="H1146" t="s">
        <v>1089</v>
      </c>
      <c r="I1146" s="2">
        <v>146.72999999999999</v>
      </c>
      <c r="J1146" s="3">
        <v>3</v>
      </c>
      <c r="K1146" s="2">
        <v>2.93</v>
      </c>
    </row>
    <row r="1147" spans="1:11" x14ac:dyDescent="0.35">
      <c r="A1147" s="1">
        <v>42041</v>
      </c>
      <c r="B1147" s="3">
        <f t="shared" si="34"/>
        <v>2015</v>
      </c>
      <c r="C1147" s="3">
        <f t="shared" si="35"/>
        <v>2</v>
      </c>
      <c r="D1147" t="s">
        <v>1313</v>
      </c>
      <c r="E1147" t="s">
        <v>173</v>
      </c>
      <c r="F1147" t="s">
        <v>28</v>
      </c>
      <c r="G1147" t="s">
        <v>29</v>
      </c>
      <c r="H1147" t="s">
        <v>1314</v>
      </c>
      <c r="I1147" s="2">
        <v>29.9</v>
      </c>
      <c r="J1147" s="3">
        <v>5</v>
      </c>
      <c r="K1147" s="2">
        <v>13.46</v>
      </c>
    </row>
    <row r="1148" spans="1:11" x14ac:dyDescent="0.35">
      <c r="A1148" s="1">
        <v>42069</v>
      </c>
      <c r="B1148" s="3">
        <f t="shared" si="34"/>
        <v>2015</v>
      </c>
      <c r="C1148" s="3">
        <f t="shared" si="35"/>
        <v>3</v>
      </c>
      <c r="D1148" t="s">
        <v>1111</v>
      </c>
      <c r="E1148" t="s">
        <v>45</v>
      </c>
      <c r="F1148" t="s">
        <v>18</v>
      </c>
      <c r="G1148" t="s">
        <v>36</v>
      </c>
      <c r="H1148" t="s">
        <v>1062</v>
      </c>
      <c r="I1148" s="2">
        <v>435.26</v>
      </c>
      <c r="J1148" s="3">
        <v>7</v>
      </c>
      <c r="K1148" s="2">
        <v>95.76</v>
      </c>
    </row>
    <row r="1149" spans="1:11" x14ac:dyDescent="0.35">
      <c r="A1149" s="1">
        <v>42069</v>
      </c>
      <c r="B1149" s="3">
        <f t="shared" si="34"/>
        <v>2015</v>
      </c>
      <c r="C1149" s="3">
        <f t="shared" si="35"/>
        <v>3</v>
      </c>
      <c r="D1149" t="s">
        <v>1111</v>
      </c>
      <c r="E1149" t="s">
        <v>45</v>
      </c>
      <c r="F1149" t="s">
        <v>13</v>
      </c>
      <c r="G1149" t="s">
        <v>143</v>
      </c>
      <c r="H1149" t="s">
        <v>1315</v>
      </c>
      <c r="I1149" s="2">
        <v>1119.98</v>
      </c>
      <c r="J1149" s="3">
        <v>2</v>
      </c>
      <c r="K1149" s="2">
        <v>377.99</v>
      </c>
    </row>
    <row r="1150" spans="1:11" x14ac:dyDescent="0.35">
      <c r="A1150" s="1">
        <v>42100</v>
      </c>
      <c r="B1150" s="3">
        <f t="shared" si="34"/>
        <v>2015</v>
      </c>
      <c r="C1150" s="3">
        <f t="shared" si="35"/>
        <v>4</v>
      </c>
      <c r="D1150" t="s">
        <v>1316</v>
      </c>
      <c r="E1150" t="s">
        <v>32</v>
      </c>
      <c r="F1150" t="s">
        <v>28</v>
      </c>
      <c r="G1150" t="s">
        <v>64</v>
      </c>
      <c r="H1150" t="s">
        <v>748</v>
      </c>
      <c r="I1150" s="2">
        <v>42.05</v>
      </c>
      <c r="J1150" s="3">
        <v>9</v>
      </c>
      <c r="K1150" s="2">
        <v>5.26</v>
      </c>
    </row>
    <row r="1151" spans="1:11" x14ac:dyDescent="0.35">
      <c r="A1151" s="1">
        <v>42100</v>
      </c>
      <c r="B1151" s="3">
        <f t="shared" si="34"/>
        <v>2015</v>
      </c>
      <c r="C1151" s="3">
        <f t="shared" si="35"/>
        <v>4</v>
      </c>
      <c r="D1151" t="s">
        <v>1316</v>
      </c>
      <c r="E1151" t="s">
        <v>32</v>
      </c>
      <c r="F1151" t="s">
        <v>13</v>
      </c>
      <c r="G1151" t="s">
        <v>14</v>
      </c>
      <c r="H1151" t="s">
        <v>496</v>
      </c>
      <c r="I1151" s="2">
        <v>25.49</v>
      </c>
      <c r="J1151" s="3">
        <v>2</v>
      </c>
      <c r="K1151" s="2">
        <v>4.46</v>
      </c>
    </row>
    <row r="1152" spans="1:11" x14ac:dyDescent="0.35">
      <c r="A1152" s="1">
        <v>42100</v>
      </c>
      <c r="B1152" s="3">
        <f t="shared" si="34"/>
        <v>2015</v>
      </c>
      <c r="C1152" s="3">
        <f t="shared" si="35"/>
        <v>4</v>
      </c>
      <c r="D1152" t="s">
        <v>1316</v>
      </c>
      <c r="E1152" t="s">
        <v>32</v>
      </c>
      <c r="F1152" t="s">
        <v>28</v>
      </c>
      <c r="G1152" t="s">
        <v>48</v>
      </c>
      <c r="H1152" t="s">
        <v>584</v>
      </c>
      <c r="I1152" s="2">
        <v>6.9</v>
      </c>
      <c r="J1152" s="3">
        <v>3</v>
      </c>
      <c r="K1152" s="2">
        <v>-12.08</v>
      </c>
    </row>
    <row r="1153" spans="1:11" x14ac:dyDescent="0.35">
      <c r="A1153" s="1">
        <v>42100</v>
      </c>
      <c r="B1153" s="3">
        <f t="shared" si="34"/>
        <v>2015</v>
      </c>
      <c r="C1153" s="3">
        <f t="shared" si="35"/>
        <v>4</v>
      </c>
      <c r="D1153" t="s">
        <v>1316</v>
      </c>
      <c r="E1153" t="s">
        <v>32</v>
      </c>
      <c r="F1153" t="s">
        <v>28</v>
      </c>
      <c r="G1153" t="s">
        <v>48</v>
      </c>
      <c r="H1153" t="s">
        <v>442</v>
      </c>
      <c r="I1153" s="2">
        <v>9.65</v>
      </c>
      <c r="J1153" s="3">
        <v>6</v>
      </c>
      <c r="K1153" s="2">
        <v>-16.88</v>
      </c>
    </row>
    <row r="1154" spans="1:11" x14ac:dyDescent="0.35">
      <c r="A1154" s="1">
        <v>42100</v>
      </c>
      <c r="B1154" s="3">
        <f t="shared" ref="B1154:B1217" si="36">YEAR(A1154)</f>
        <v>2015</v>
      </c>
      <c r="C1154" s="3">
        <f t="shared" ref="C1154:C1217" si="37">MONTH(A1154)</f>
        <v>4</v>
      </c>
      <c r="D1154" t="s">
        <v>1316</v>
      </c>
      <c r="E1154" t="s">
        <v>32</v>
      </c>
      <c r="F1154" t="s">
        <v>28</v>
      </c>
      <c r="G1154" t="s">
        <v>29</v>
      </c>
      <c r="H1154" t="s">
        <v>986</v>
      </c>
      <c r="I1154" s="2">
        <v>7.97</v>
      </c>
      <c r="J1154" s="3">
        <v>2</v>
      </c>
      <c r="K1154" s="2">
        <v>2.89</v>
      </c>
    </row>
    <row r="1155" spans="1:11" x14ac:dyDescent="0.35">
      <c r="A1155" s="1">
        <v>42100</v>
      </c>
      <c r="B1155" s="3">
        <f t="shared" si="36"/>
        <v>2015</v>
      </c>
      <c r="C1155" s="3">
        <f t="shared" si="37"/>
        <v>4</v>
      </c>
      <c r="D1155" t="s">
        <v>921</v>
      </c>
      <c r="E1155" t="s">
        <v>81</v>
      </c>
      <c r="F1155" t="s">
        <v>28</v>
      </c>
      <c r="G1155" t="s">
        <v>29</v>
      </c>
      <c r="H1155" t="s">
        <v>293</v>
      </c>
      <c r="I1155" s="2">
        <v>47.95</v>
      </c>
      <c r="J1155" s="3">
        <v>3</v>
      </c>
      <c r="K1155" s="2">
        <v>16.18</v>
      </c>
    </row>
    <row r="1156" spans="1:11" x14ac:dyDescent="0.35">
      <c r="A1156" s="1">
        <v>42191</v>
      </c>
      <c r="B1156" s="3">
        <f t="shared" si="36"/>
        <v>2015</v>
      </c>
      <c r="C1156" s="3">
        <f t="shared" si="37"/>
        <v>7</v>
      </c>
      <c r="D1156" t="s">
        <v>1317</v>
      </c>
      <c r="E1156" t="s">
        <v>22</v>
      </c>
      <c r="F1156" t="s">
        <v>18</v>
      </c>
      <c r="G1156" t="s">
        <v>36</v>
      </c>
      <c r="H1156" t="s">
        <v>381</v>
      </c>
      <c r="I1156" s="2">
        <v>13.96</v>
      </c>
      <c r="J1156" s="3">
        <v>2</v>
      </c>
      <c r="K1156" s="2">
        <v>6.7</v>
      </c>
    </row>
    <row r="1157" spans="1:11" x14ac:dyDescent="0.35">
      <c r="A1157" s="1">
        <v>42191</v>
      </c>
      <c r="B1157" s="3">
        <f t="shared" si="36"/>
        <v>2015</v>
      </c>
      <c r="C1157" s="3">
        <f t="shared" si="37"/>
        <v>7</v>
      </c>
      <c r="D1157" t="s">
        <v>1317</v>
      </c>
      <c r="E1157" t="s">
        <v>22</v>
      </c>
      <c r="F1157" t="s">
        <v>18</v>
      </c>
      <c r="G1157" t="s">
        <v>36</v>
      </c>
      <c r="H1157" t="s">
        <v>827</v>
      </c>
      <c r="I1157" s="2">
        <v>155.82</v>
      </c>
      <c r="J1157" s="3">
        <v>3</v>
      </c>
      <c r="K1157" s="2">
        <v>63.89</v>
      </c>
    </row>
    <row r="1158" spans="1:11" x14ac:dyDescent="0.35">
      <c r="A1158" s="1">
        <v>42191</v>
      </c>
      <c r="B1158" s="3">
        <f t="shared" si="36"/>
        <v>2015</v>
      </c>
      <c r="C1158" s="3">
        <f t="shared" si="37"/>
        <v>7</v>
      </c>
      <c r="D1158" t="s">
        <v>1317</v>
      </c>
      <c r="E1158" t="s">
        <v>22</v>
      </c>
      <c r="F1158" t="s">
        <v>13</v>
      </c>
      <c r="G1158" t="s">
        <v>23</v>
      </c>
      <c r="H1158" t="s">
        <v>1318</v>
      </c>
      <c r="I1158" s="2">
        <v>124.95</v>
      </c>
      <c r="J1158" s="3">
        <v>5</v>
      </c>
      <c r="K1158" s="2">
        <v>2.5</v>
      </c>
    </row>
    <row r="1159" spans="1:11" x14ac:dyDescent="0.35">
      <c r="A1159" s="1">
        <v>42191</v>
      </c>
      <c r="B1159" s="3">
        <f t="shared" si="36"/>
        <v>2015</v>
      </c>
      <c r="C1159" s="3">
        <f t="shared" si="37"/>
        <v>7</v>
      </c>
      <c r="D1159" t="s">
        <v>1317</v>
      </c>
      <c r="E1159" t="s">
        <v>22</v>
      </c>
      <c r="F1159" t="s">
        <v>28</v>
      </c>
      <c r="G1159" t="s">
        <v>38</v>
      </c>
      <c r="H1159" t="s">
        <v>1187</v>
      </c>
      <c r="I1159" s="2">
        <v>601.65</v>
      </c>
      <c r="J1159" s="3">
        <v>5</v>
      </c>
      <c r="K1159" s="2">
        <v>156.43</v>
      </c>
    </row>
    <row r="1160" spans="1:11" x14ac:dyDescent="0.35">
      <c r="A1160" s="1">
        <v>42191</v>
      </c>
      <c r="B1160" s="3">
        <f t="shared" si="36"/>
        <v>2015</v>
      </c>
      <c r="C1160" s="3">
        <f t="shared" si="37"/>
        <v>7</v>
      </c>
      <c r="D1160" t="s">
        <v>724</v>
      </c>
      <c r="E1160" t="s">
        <v>51</v>
      </c>
      <c r="F1160" t="s">
        <v>18</v>
      </c>
      <c r="G1160" t="s">
        <v>237</v>
      </c>
      <c r="H1160" t="s">
        <v>1319</v>
      </c>
      <c r="I1160" s="2">
        <v>301.95999999999998</v>
      </c>
      <c r="J1160" s="3">
        <v>2</v>
      </c>
      <c r="K1160" s="2">
        <v>60.39</v>
      </c>
    </row>
    <row r="1161" spans="1:11" x14ac:dyDescent="0.35">
      <c r="A1161" s="1">
        <v>42191</v>
      </c>
      <c r="B1161" s="3">
        <f t="shared" si="36"/>
        <v>2015</v>
      </c>
      <c r="C1161" s="3">
        <f t="shared" si="37"/>
        <v>7</v>
      </c>
      <c r="D1161" t="s">
        <v>1320</v>
      </c>
      <c r="E1161" t="s">
        <v>45</v>
      </c>
      <c r="F1161" t="s">
        <v>18</v>
      </c>
      <c r="G1161" t="s">
        <v>19</v>
      </c>
      <c r="H1161" t="s">
        <v>1321</v>
      </c>
      <c r="I1161" s="2">
        <v>170.35</v>
      </c>
      <c r="J1161" s="3">
        <v>3</v>
      </c>
      <c r="K1161" s="2">
        <v>-17.04</v>
      </c>
    </row>
    <row r="1162" spans="1:11" x14ac:dyDescent="0.35">
      <c r="A1162" s="1">
        <v>42191</v>
      </c>
      <c r="B1162" s="3">
        <f t="shared" si="36"/>
        <v>2015</v>
      </c>
      <c r="C1162" s="3">
        <f t="shared" si="37"/>
        <v>7</v>
      </c>
      <c r="D1162" t="s">
        <v>80</v>
      </c>
      <c r="E1162" t="s">
        <v>62</v>
      </c>
      <c r="F1162" t="s">
        <v>28</v>
      </c>
      <c r="G1162" t="s">
        <v>64</v>
      </c>
      <c r="H1162" t="s">
        <v>1322</v>
      </c>
      <c r="I1162" s="2">
        <v>11.12</v>
      </c>
      <c r="J1162" s="3">
        <v>4</v>
      </c>
      <c r="K1162" s="2">
        <v>2.89</v>
      </c>
    </row>
    <row r="1163" spans="1:11" x14ac:dyDescent="0.35">
      <c r="A1163" s="1">
        <v>42222</v>
      </c>
      <c r="B1163" s="3">
        <f t="shared" si="36"/>
        <v>2015</v>
      </c>
      <c r="C1163" s="3">
        <f t="shared" si="37"/>
        <v>8</v>
      </c>
      <c r="D1163" t="s">
        <v>1250</v>
      </c>
      <c r="E1163" t="s">
        <v>32</v>
      </c>
      <c r="F1163" t="s">
        <v>28</v>
      </c>
      <c r="G1163" t="s">
        <v>29</v>
      </c>
      <c r="H1163" t="s">
        <v>1304</v>
      </c>
      <c r="I1163" s="2">
        <v>27.22</v>
      </c>
      <c r="J1163" s="3">
        <v>3</v>
      </c>
      <c r="K1163" s="2">
        <v>9.8699999999999992</v>
      </c>
    </row>
    <row r="1164" spans="1:11" x14ac:dyDescent="0.35">
      <c r="A1164" s="1">
        <v>42222</v>
      </c>
      <c r="B1164" s="3">
        <f t="shared" si="36"/>
        <v>2015</v>
      </c>
      <c r="C1164" s="3">
        <f t="shared" si="37"/>
        <v>8</v>
      </c>
      <c r="D1164" t="s">
        <v>1323</v>
      </c>
      <c r="E1164" t="s">
        <v>32</v>
      </c>
      <c r="F1164" t="s">
        <v>28</v>
      </c>
      <c r="G1164" t="s">
        <v>46</v>
      </c>
      <c r="H1164" t="s">
        <v>1093</v>
      </c>
      <c r="I1164" s="2">
        <v>35.520000000000003</v>
      </c>
      <c r="J1164" s="3">
        <v>3</v>
      </c>
      <c r="K1164" s="2">
        <v>13.32</v>
      </c>
    </row>
    <row r="1165" spans="1:11" x14ac:dyDescent="0.35">
      <c r="A1165" s="1">
        <v>42222</v>
      </c>
      <c r="B1165" s="3">
        <f t="shared" si="36"/>
        <v>2015</v>
      </c>
      <c r="C1165" s="3">
        <f t="shared" si="37"/>
        <v>8</v>
      </c>
      <c r="D1165" t="s">
        <v>1323</v>
      </c>
      <c r="E1165" t="s">
        <v>32</v>
      </c>
      <c r="F1165" t="s">
        <v>28</v>
      </c>
      <c r="G1165" t="s">
        <v>48</v>
      </c>
      <c r="H1165" t="s">
        <v>792</v>
      </c>
      <c r="I1165" s="2">
        <v>6.23</v>
      </c>
      <c r="J1165" s="3">
        <v>5</v>
      </c>
      <c r="K1165" s="2">
        <v>-9.66</v>
      </c>
    </row>
    <row r="1166" spans="1:11" x14ac:dyDescent="0.35">
      <c r="A1166" s="1">
        <v>42222</v>
      </c>
      <c r="B1166" s="3">
        <f t="shared" si="36"/>
        <v>2015</v>
      </c>
      <c r="C1166" s="3">
        <f t="shared" si="37"/>
        <v>8</v>
      </c>
      <c r="D1166" t="s">
        <v>1323</v>
      </c>
      <c r="E1166" t="s">
        <v>32</v>
      </c>
      <c r="F1166" t="s">
        <v>28</v>
      </c>
      <c r="G1166" t="s">
        <v>29</v>
      </c>
      <c r="H1166" t="s">
        <v>1324</v>
      </c>
      <c r="I1166" s="2">
        <v>56.7</v>
      </c>
      <c r="J1166" s="3">
        <v>2</v>
      </c>
      <c r="K1166" s="2">
        <v>19.14</v>
      </c>
    </row>
    <row r="1167" spans="1:11" x14ac:dyDescent="0.35">
      <c r="A1167" s="1">
        <v>42222</v>
      </c>
      <c r="B1167" s="3">
        <f t="shared" si="36"/>
        <v>2015</v>
      </c>
      <c r="C1167" s="3">
        <f t="shared" si="37"/>
        <v>8</v>
      </c>
      <c r="D1167" t="s">
        <v>1323</v>
      </c>
      <c r="E1167" t="s">
        <v>32</v>
      </c>
      <c r="F1167" t="s">
        <v>18</v>
      </c>
      <c r="G1167" t="s">
        <v>237</v>
      </c>
      <c r="H1167" t="s">
        <v>1325</v>
      </c>
      <c r="I1167" s="2">
        <v>369.2</v>
      </c>
      <c r="J1167" s="3">
        <v>3</v>
      </c>
      <c r="K1167" s="2">
        <v>-114.02</v>
      </c>
    </row>
    <row r="1168" spans="1:11" x14ac:dyDescent="0.35">
      <c r="A1168" s="1">
        <v>42253</v>
      </c>
      <c r="B1168" s="3">
        <f t="shared" si="36"/>
        <v>2015</v>
      </c>
      <c r="C1168" s="3">
        <f t="shared" si="37"/>
        <v>9</v>
      </c>
      <c r="D1168" t="s">
        <v>1082</v>
      </c>
      <c r="E1168" t="s">
        <v>17</v>
      </c>
      <c r="F1168" t="s">
        <v>28</v>
      </c>
      <c r="G1168" t="s">
        <v>48</v>
      </c>
      <c r="H1168" t="s">
        <v>1326</v>
      </c>
      <c r="I1168" s="2">
        <v>6.1</v>
      </c>
      <c r="J1168" s="3">
        <v>2</v>
      </c>
      <c r="K1168" s="2">
        <v>2.13</v>
      </c>
    </row>
    <row r="1169" spans="1:11" x14ac:dyDescent="0.35">
      <c r="A1169" s="1">
        <v>42253</v>
      </c>
      <c r="B1169" s="3">
        <f t="shared" si="36"/>
        <v>2015</v>
      </c>
      <c r="C1169" s="3">
        <f t="shared" si="37"/>
        <v>9</v>
      </c>
      <c r="D1169" t="s">
        <v>1082</v>
      </c>
      <c r="E1169" t="s">
        <v>17</v>
      </c>
      <c r="F1169" t="s">
        <v>18</v>
      </c>
      <c r="G1169" t="s">
        <v>36</v>
      </c>
      <c r="H1169" t="s">
        <v>1327</v>
      </c>
      <c r="I1169" s="2">
        <v>191.82</v>
      </c>
      <c r="J1169" s="3">
        <v>3</v>
      </c>
      <c r="K1169" s="2">
        <v>74.81</v>
      </c>
    </row>
    <row r="1170" spans="1:11" x14ac:dyDescent="0.35">
      <c r="A1170" s="1">
        <v>42253</v>
      </c>
      <c r="B1170" s="3">
        <f t="shared" si="36"/>
        <v>2015</v>
      </c>
      <c r="C1170" s="3">
        <f t="shared" si="37"/>
        <v>9</v>
      </c>
      <c r="D1170" t="s">
        <v>1313</v>
      </c>
      <c r="E1170" t="s">
        <v>45</v>
      </c>
      <c r="F1170" t="s">
        <v>13</v>
      </c>
      <c r="G1170" t="s">
        <v>14</v>
      </c>
      <c r="H1170" t="s">
        <v>1312</v>
      </c>
      <c r="I1170" s="2">
        <v>46.32</v>
      </c>
      <c r="J1170" s="3">
        <v>4</v>
      </c>
      <c r="K1170" s="2">
        <v>18.059999999999999</v>
      </c>
    </row>
    <row r="1171" spans="1:11" x14ac:dyDescent="0.35">
      <c r="A1171" s="1">
        <v>42253</v>
      </c>
      <c r="B1171" s="3">
        <f t="shared" si="36"/>
        <v>2015</v>
      </c>
      <c r="C1171" s="3">
        <f t="shared" si="37"/>
        <v>9</v>
      </c>
      <c r="D1171" t="s">
        <v>1328</v>
      </c>
      <c r="E1171" t="s">
        <v>22</v>
      </c>
      <c r="F1171" t="s">
        <v>18</v>
      </c>
      <c r="G1171" t="s">
        <v>19</v>
      </c>
      <c r="H1171" t="s">
        <v>950</v>
      </c>
      <c r="I1171" s="2">
        <v>271.76</v>
      </c>
      <c r="J1171" s="3">
        <v>2</v>
      </c>
      <c r="K1171" s="2">
        <v>60.39</v>
      </c>
    </row>
    <row r="1172" spans="1:11" x14ac:dyDescent="0.35">
      <c r="A1172" s="1">
        <v>42253</v>
      </c>
      <c r="B1172" s="3">
        <f t="shared" si="36"/>
        <v>2015</v>
      </c>
      <c r="C1172" s="3">
        <f t="shared" si="37"/>
        <v>9</v>
      </c>
      <c r="D1172" t="s">
        <v>592</v>
      </c>
      <c r="E1172" t="s">
        <v>326</v>
      </c>
      <c r="F1172" t="s">
        <v>28</v>
      </c>
      <c r="G1172" t="s">
        <v>33</v>
      </c>
      <c r="H1172" t="s">
        <v>1329</v>
      </c>
      <c r="I1172" s="2">
        <v>7.24</v>
      </c>
      <c r="J1172" s="3">
        <v>5</v>
      </c>
      <c r="K1172" s="2">
        <v>1.18</v>
      </c>
    </row>
    <row r="1173" spans="1:11" x14ac:dyDescent="0.35">
      <c r="A1173" s="1">
        <v>42253</v>
      </c>
      <c r="B1173" s="3">
        <f t="shared" si="36"/>
        <v>2015</v>
      </c>
      <c r="C1173" s="3">
        <f t="shared" si="37"/>
        <v>9</v>
      </c>
      <c r="D1173" t="s">
        <v>1330</v>
      </c>
      <c r="E1173" t="s">
        <v>77</v>
      </c>
      <c r="F1173" t="s">
        <v>28</v>
      </c>
      <c r="G1173" t="s">
        <v>48</v>
      </c>
      <c r="H1173" t="s">
        <v>1331</v>
      </c>
      <c r="I1173" s="2">
        <v>3.44</v>
      </c>
      <c r="J1173" s="3">
        <v>1</v>
      </c>
      <c r="K1173" s="2">
        <v>-2.5299999999999998</v>
      </c>
    </row>
    <row r="1174" spans="1:11" x14ac:dyDescent="0.35">
      <c r="A1174" s="1">
        <v>42253</v>
      </c>
      <c r="B1174" s="3">
        <f t="shared" si="36"/>
        <v>2015</v>
      </c>
      <c r="C1174" s="3">
        <f t="shared" si="37"/>
        <v>9</v>
      </c>
      <c r="D1174" t="s">
        <v>503</v>
      </c>
      <c r="E1174" t="s">
        <v>22</v>
      </c>
      <c r="F1174" t="s">
        <v>28</v>
      </c>
      <c r="G1174" t="s">
        <v>58</v>
      </c>
      <c r="H1174" t="s">
        <v>716</v>
      </c>
      <c r="I1174" s="2">
        <v>8.39</v>
      </c>
      <c r="J1174" s="3">
        <v>1</v>
      </c>
      <c r="K1174" s="2">
        <v>2.1</v>
      </c>
    </row>
    <row r="1175" spans="1:11" x14ac:dyDescent="0.35">
      <c r="A1175" s="1">
        <v>42253</v>
      </c>
      <c r="B1175" s="3">
        <f t="shared" si="36"/>
        <v>2015</v>
      </c>
      <c r="C1175" s="3">
        <f t="shared" si="37"/>
        <v>9</v>
      </c>
      <c r="D1175" t="s">
        <v>503</v>
      </c>
      <c r="E1175" t="s">
        <v>22</v>
      </c>
      <c r="F1175" t="s">
        <v>13</v>
      </c>
      <c r="G1175" t="s">
        <v>23</v>
      </c>
      <c r="H1175" t="s">
        <v>1224</v>
      </c>
      <c r="I1175" s="2">
        <v>337.98</v>
      </c>
      <c r="J1175" s="3">
        <v>2</v>
      </c>
      <c r="K1175" s="2">
        <v>101.39</v>
      </c>
    </row>
    <row r="1176" spans="1:11" x14ac:dyDescent="0.35">
      <c r="A1176" s="1">
        <v>42253</v>
      </c>
      <c r="B1176" s="3">
        <f t="shared" si="36"/>
        <v>2015</v>
      </c>
      <c r="C1176" s="3">
        <f t="shared" si="37"/>
        <v>9</v>
      </c>
      <c r="D1176" t="s">
        <v>203</v>
      </c>
      <c r="E1176" t="s">
        <v>173</v>
      </c>
      <c r="F1176" t="s">
        <v>28</v>
      </c>
      <c r="G1176" t="s">
        <v>48</v>
      </c>
      <c r="H1176" t="s">
        <v>1332</v>
      </c>
      <c r="I1176" s="2">
        <v>46.62</v>
      </c>
      <c r="J1176" s="3">
        <v>9</v>
      </c>
      <c r="K1176" s="2">
        <v>21.45</v>
      </c>
    </row>
    <row r="1177" spans="1:11" x14ac:dyDescent="0.35">
      <c r="A1177" s="1">
        <v>42253</v>
      </c>
      <c r="B1177" s="3">
        <f t="shared" si="36"/>
        <v>2015</v>
      </c>
      <c r="C1177" s="3">
        <f t="shared" si="37"/>
        <v>9</v>
      </c>
      <c r="D1177" t="s">
        <v>1333</v>
      </c>
      <c r="E1177" t="s">
        <v>362</v>
      </c>
      <c r="F1177" t="s">
        <v>18</v>
      </c>
      <c r="G1177" t="s">
        <v>42</v>
      </c>
      <c r="H1177" t="s">
        <v>283</v>
      </c>
      <c r="I1177" s="2">
        <v>85.98</v>
      </c>
      <c r="J1177" s="3">
        <v>1</v>
      </c>
      <c r="K1177" s="2">
        <v>22.35</v>
      </c>
    </row>
    <row r="1178" spans="1:11" x14ac:dyDescent="0.35">
      <c r="A1178" s="1">
        <v>42314</v>
      </c>
      <c r="B1178" s="3">
        <f t="shared" si="36"/>
        <v>2015</v>
      </c>
      <c r="C1178" s="3">
        <f t="shared" si="37"/>
        <v>11</v>
      </c>
      <c r="D1178" t="s">
        <v>1334</v>
      </c>
      <c r="E1178" t="s">
        <v>211</v>
      </c>
      <c r="F1178" t="s">
        <v>28</v>
      </c>
      <c r="G1178" t="s">
        <v>158</v>
      </c>
      <c r="H1178" t="s">
        <v>1335</v>
      </c>
      <c r="I1178" s="2">
        <v>7.08</v>
      </c>
      <c r="J1178" s="3">
        <v>3</v>
      </c>
      <c r="K1178" s="2">
        <v>2.48</v>
      </c>
    </row>
    <row r="1179" spans="1:11" x14ac:dyDescent="0.35">
      <c r="A1179" s="1">
        <v>42314</v>
      </c>
      <c r="B1179" s="3">
        <f t="shared" si="36"/>
        <v>2015</v>
      </c>
      <c r="C1179" s="3">
        <f t="shared" si="37"/>
        <v>11</v>
      </c>
      <c r="D1179" t="s">
        <v>1334</v>
      </c>
      <c r="E1179" t="s">
        <v>211</v>
      </c>
      <c r="F1179" t="s">
        <v>28</v>
      </c>
      <c r="G1179" t="s">
        <v>48</v>
      </c>
      <c r="H1179" t="s">
        <v>1311</v>
      </c>
      <c r="I1179" s="2">
        <v>4.4000000000000004</v>
      </c>
      <c r="J1179" s="3">
        <v>3</v>
      </c>
      <c r="K1179" s="2">
        <v>-3.52</v>
      </c>
    </row>
    <row r="1180" spans="1:11" x14ac:dyDescent="0.35">
      <c r="A1180" s="1">
        <v>42344</v>
      </c>
      <c r="B1180" s="3">
        <f t="shared" si="36"/>
        <v>2015</v>
      </c>
      <c r="C1180" s="3">
        <f t="shared" si="37"/>
        <v>12</v>
      </c>
      <c r="D1180" t="s">
        <v>1336</v>
      </c>
      <c r="E1180" t="s">
        <v>45</v>
      </c>
      <c r="F1180" t="s">
        <v>28</v>
      </c>
      <c r="G1180" t="s">
        <v>64</v>
      </c>
      <c r="H1180" t="s">
        <v>441</v>
      </c>
      <c r="I1180" s="2">
        <v>120.15</v>
      </c>
      <c r="J1180" s="3">
        <v>9</v>
      </c>
      <c r="K1180" s="2">
        <v>33.64</v>
      </c>
    </row>
    <row r="1181" spans="1:11" x14ac:dyDescent="0.35">
      <c r="A1181" s="1">
        <v>42344</v>
      </c>
      <c r="B1181" s="3">
        <f t="shared" si="36"/>
        <v>2015</v>
      </c>
      <c r="C1181" s="3">
        <f t="shared" si="37"/>
        <v>12</v>
      </c>
      <c r="D1181" t="s">
        <v>1336</v>
      </c>
      <c r="E1181" t="s">
        <v>45</v>
      </c>
      <c r="F1181" t="s">
        <v>13</v>
      </c>
      <c r="G1181" t="s">
        <v>23</v>
      </c>
      <c r="H1181" t="s">
        <v>971</v>
      </c>
      <c r="I1181" s="2">
        <v>219.18</v>
      </c>
      <c r="J1181" s="3">
        <v>2</v>
      </c>
      <c r="K1181" s="2">
        <v>19.18</v>
      </c>
    </row>
    <row r="1182" spans="1:11" x14ac:dyDescent="0.35">
      <c r="A1182" s="1">
        <v>42344</v>
      </c>
      <c r="B1182" s="3">
        <f t="shared" si="36"/>
        <v>2015</v>
      </c>
      <c r="C1182" s="3">
        <f t="shared" si="37"/>
        <v>12</v>
      </c>
      <c r="D1182" t="s">
        <v>1337</v>
      </c>
      <c r="E1182" t="s">
        <v>32</v>
      </c>
      <c r="F1182" t="s">
        <v>28</v>
      </c>
      <c r="G1182" t="s">
        <v>48</v>
      </c>
      <c r="H1182" t="s">
        <v>1338</v>
      </c>
      <c r="I1182" s="2">
        <v>2.77</v>
      </c>
      <c r="J1182" s="3">
        <v>7</v>
      </c>
      <c r="K1182" s="2">
        <v>-4.8499999999999996</v>
      </c>
    </row>
    <row r="1183" spans="1:11" x14ac:dyDescent="0.35">
      <c r="A1183" s="1">
        <v>42344</v>
      </c>
      <c r="B1183" s="3">
        <f t="shared" si="36"/>
        <v>2015</v>
      </c>
      <c r="C1183" s="3">
        <f t="shared" si="37"/>
        <v>12</v>
      </c>
      <c r="D1183" t="s">
        <v>1339</v>
      </c>
      <c r="E1183" t="s">
        <v>211</v>
      </c>
      <c r="F1183" t="s">
        <v>18</v>
      </c>
      <c r="G1183" t="s">
        <v>36</v>
      </c>
      <c r="H1183" t="s">
        <v>132</v>
      </c>
      <c r="I1183" s="2">
        <v>206.11</v>
      </c>
      <c r="J1183" s="3">
        <v>6</v>
      </c>
      <c r="K1183" s="2">
        <v>48.95</v>
      </c>
    </row>
    <row r="1184" spans="1:11" x14ac:dyDescent="0.35">
      <c r="A1184" s="1">
        <v>42344</v>
      </c>
      <c r="B1184" s="3">
        <f t="shared" si="36"/>
        <v>2015</v>
      </c>
      <c r="C1184" s="3">
        <f t="shared" si="37"/>
        <v>12</v>
      </c>
      <c r="D1184" t="s">
        <v>1339</v>
      </c>
      <c r="E1184" t="s">
        <v>211</v>
      </c>
      <c r="F1184" t="s">
        <v>28</v>
      </c>
      <c r="G1184" t="s">
        <v>29</v>
      </c>
      <c r="H1184" t="s">
        <v>1340</v>
      </c>
      <c r="I1184" s="2">
        <v>19.920000000000002</v>
      </c>
      <c r="J1184" s="3">
        <v>5</v>
      </c>
      <c r="K1184" s="2">
        <v>6.72</v>
      </c>
    </row>
    <row r="1185" spans="1:11" x14ac:dyDescent="0.35">
      <c r="A1185" s="1">
        <v>42344</v>
      </c>
      <c r="B1185" s="3">
        <f t="shared" si="36"/>
        <v>2015</v>
      </c>
      <c r="C1185" s="3">
        <f t="shared" si="37"/>
        <v>12</v>
      </c>
      <c r="D1185" t="s">
        <v>1339</v>
      </c>
      <c r="E1185" t="s">
        <v>211</v>
      </c>
      <c r="F1185" t="s">
        <v>28</v>
      </c>
      <c r="G1185" t="s">
        <v>29</v>
      </c>
      <c r="H1185" t="s">
        <v>1341</v>
      </c>
      <c r="I1185" s="2">
        <v>198.27</v>
      </c>
      <c r="J1185" s="3">
        <v>8</v>
      </c>
      <c r="K1185" s="2">
        <v>61.96</v>
      </c>
    </row>
    <row r="1186" spans="1:11" x14ac:dyDescent="0.35">
      <c r="A1186" s="1">
        <v>42344</v>
      </c>
      <c r="B1186" s="3">
        <f t="shared" si="36"/>
        <v>2015</v>
      </c>
      <c r="C1186" s="3">
        <f t="shared" si="37"/>
        <v>12</v>
      </c>
      <c r="D1186" t="s">
        <v>1339</v>
      </c>
      <c r="E1186" t="s">
        <v>211</v>
      </c>
      <c r="F1186" t="s">
        <v>28</v>
      </c>
      <c r="G1186" t="s">
        <v>38</v>
      </c>
      <c r="H1186" t="s">
        <v>1342</v>
      </c>
      <c r="I1186" s="2">
        <v>247.1</v>
      </c>
      <c r="J1186" s="3">
        <v>6</v>
      </c>
      <c r="K1186" s="2">
        <v>-58.69</v>
      </c>
    </row>
    <row r="1187" spans="1:11" x14ac:dyDescent="0.35">
      <c r="A1187" s="1">
        <v>42344</v>
      </c>
      <c r="B1187" s="3">
        <f t="shared" si="36"/>
        <v>2015</v>
      </c>
      <c r="C1187" s="3">
        <f t="shared" si="37"/>
        <v>12</v>
      </c>
      <c r="D1187" t="s">
        <v>1339</v>
      </c>
      <c r="E1187" t="s">
        <v>211</v>
      </c>
      <c r="F1187" t="s">
        <v>28</v>
      </c>
      <c r="G1187" t="s">
        <v>64</v>
      </c>
      <c r="H1187" t="s">
        <v>92</v>
      </c>
      <c r="I1187" s="2">
        <v>86.3</v>
      </c>
      <c r="J1187" s="3">
        <v>6</v>
      </c>
      <c r="K1187" s="2">
        <v>9.7100000000000009</v>
      </c>
    </row>
    <row r="1188" spans="1:11" x14ac:dyDescent="0.35">
      <c r="A1188" s="1">
        <v>42344</v>
      </c>
      <c r="B1188" s="3">
        <f t="shared" si="36"/>
        <v>2015</v>
      </c>
      <c r="C1188" s="3">
        <f t="shared" si="37"/>
        <v>12</v>
      </c>
      <c r="D1188" t="s">
        <v>630</v>
      </c>
      <c r="E1188" t="s">
        <v>131</v>
      </c>
      <c r="F1188" t="s">
        <v>13</v>
      </c>
      <c r="G1188" t="s">
        <v>23</v>
      </c>
      <c r="H1188" t="s">
        <v>1343</v>
      </c>
      <c r="I1188" s="2">
        <v>485.94</v>
      </c>
      <c r="J1188" s="3">
        <v>2</v>
      </c>
      <c r="K1188" s="2">
        <v>-89.09</v>
      </c>
    </row>
    <row r="1189" spans="1:11" x14ac:dyDescent="0.35">
      <c r="A1189" s="1">
        <v>42344</v>
      </c>
      <c r="B1189" s="3">
        <f t="shared" si="36"/>
        <v>2015</v>
      </c>
      <c r="C1189" s="3">
        <f t="shared" si="37"/>
        <v>12</v>
      </c>
      <c r="D1189" t="s">
        <v>630</v>
      </c>
      <c r="E1189" t="s">
        <v>131</v>
      </c>
      <c r="F1189" t="s">
        <v>28</v>
      </c>
      <c r="G1189" t="s">
        <v>64</v>
      </c>
      <c r="H1189" t="s">
        <v>748</v>
      </c>
      <c r="I1189" s="2">
        <v>37.380000000000003</v>
      </c>
      <c r="J1189" s="3">
        <v>8</v>
      </c>
      <c r="K1189" s="2">
        <v>4.67</v>
      </c>
    </row>
    <row r="1190" spans="1:11" x14ac:dyDescent="0.35">
      <c r="A1190" s="1">
        <v>42344</v>
      </c>
      <c r="B1190" s="3">
        <f t="shared" si="36"/>
        <v>2015</v>
      </c>
      <c r="C1190" s="3">
        <f t="shared" si="37"/>
        <v>12</v>
      </c>
      <c r="D1190" t="s">
        <v>630</v>
      </c>
      <c r="E1190" t="s">
        <v>131</v>
      </c>
      <c r="F1190" t="s">
        <v>18</v>
      </c>
      <c r="G1190" t="s">
        <v>19</v>
      </c>
      <c r="H1190" t="s">
        <v>1344</v>
      </c>
      <c r="I1190" s="2">
        <v>70.69</v>
      </c>
      <c r="J1190" s="3">
        <v>1</v>
      </c>
      <c r="K1190" s="2">
        <v>-24.24</v>
      </c>
    </row>
    <row r="1191" spans="1:11" x14ac:dyDescent="0.35">
      <c r="A1191" s="1">
        <v>42344</v>
      </c>
      <c r="B1191" s="3">
        <f t="shared" si="36"/>
        <v>2015</v>
      </c>
      <c r="C1191" s="3">
        <f t="shared" si="37"/>
        <v>12</v>
      </c>
      <c r="D1191" t="s">
        <v>1345</v>
      </c>
      <c r="E1191" t="s">
        <v>45</v>
      </c>
      <c r="F1191" t="s">
        <v>28</v>
      </c>
      <c r="G1191" t="s">
        <v>29</v>
      </c>
      <c r="H1191" t="s">
        <v>1346</v>
      </c>
      <c r="I1191" s="2">
        <v>32.75</v>
      </c>
      <c r="J1191" s="3">
        <v>5</v>
      </c>
      <c r="K1191" s="2">
        <v>15.07</v>
      </c>
    </row>
    <row r="1192" spans="1:11" x14ac:dyDescent="0.35">
      <c r="A1192" s="1">
        <v>42344</v>
      </c>
      <c r="B1192" s="3">
        <f t="shared" si="36"/>
        <v>2015</v>
      </c>
      <c r="C1192" s="3">
        <f t="shared" si="37"/>
        <v>12</v>
      </c>
      <c r="D1192" t="s">
        <v>320</v>
      </c>
      <c r="E1192" t="s">
        <v>22</v>
      </c>
      <c r="F1192" t="s">
        <v>28</v>
      </c>
      <c r="G1192" t="s">
        <v>29</v>
      </c>
      <c r="H1192" t="s">
        <v>1087</v>
      </c>
      <c r="I1192" s="2">
        <v>6.48</v>
      </c>
      <c r="J1192" s="3">
        <v>1</v>
      </c>
      <c r="K1192" s="2">
        <v>3.11</v>
      </c>
    </row>
    <row r="1193" spans="1:11" x14ac:dyDescent="0.35">
      <c r="A1193" s="1">
        <v>42344</v>
      </c>
      <c r="B1193" s="3">
        <f t="shared" si="36"/>
        <v>2015</v>
      </c>
      <c r="C1193" s="3">
        <f t="shared" si="37"/>
        <v>12</v>
      </c>
      <c r="D1193" t="s">
        <v>320</v>
      </c>
      <c r="E1193" t="s">
        <v>22</v>
      </c>
      <c r="F1193" t="s">
        <v>28</v>
      </c>
      <c r="G1193" t="s">
        <v>29</v>
      </c>
      <c r="H1193" t="s">
        <v>1347</v>
      </c>
      <c r="I1193" s="2">
        <v>41.86</v>
      </c>
      <c r="J1193" s="3">
        <v>7</v>
      </c>
      <c r="K1193" s="2">
        <v>20.51</v>
      </c>
    </row>
    <row r="1194" spans="1:11" x14ac:dyDescent="0.35">
      <c r="A1194" s="1">
        <v>42344</v>
      </c>
      <c r="B1194" s="3">
        <f t="shared" si="36"/>
        <v>2015</v>
      </c>
      <c r="C1194" s="3">
        <f t="shared" si="37"/>
        <v>12</v>
      </c>
      <c r="D1194" t="s">
        <v>320</v>
      </c>
      <c r="E1194" t="s">
        <v>22</v>
      </c>
      <c r="F1194" t="s">
        <v>13</v>
      </c>
      <c r="G1194" t="s">
        <v>14</v>
      </c>
      <c r="H1194" t="s">
        <v>1348</v>
      </c>
      <c r="I1194" s="2">
        <v>1619.91</v>
      </c>
      <c r="J1194" s="3">
        <v>9</v>
      </c>
      <c r="K1194" s="2">
        <v>97.19</v>
      </c>
    </row>
    <row r="1195" spans="1:11" x14ac:dyDescent="0.35">
      <c r="A1195" s="1">
        <v>42344</v>
      </c>
      <c r="B1195" s="3">
        <f t="shared" si="36"/>
        <v>2015</v>
      </c>
      <c r="C1195" s="3">
        <f t="shared" si="37"/>
        <v>12</v>
      </c>
      <c r="D1195" t="s">
        <v>320</v>
      </c>
      <c r="E1195" t="s">
        <v>22</v>
      </c>
      <c r="F1195" t="s">
        <v>18</v>
      </c>
      <c r="G1195" t="s">
        <v>36</v>
      </c>
      <c r="H1195" t="s">
        <v>379</v>
      </c>
      <c r="I1195" s="2">
        <v>113.92</v>
      </c>
      <c r="J1195" s="3">
        <v>4</v>
      </c>
      <c r="K1195" s="2">
        <v>42.15</v>
      </c>
    </row>
    <row r="1196" spans="1:11" x14ac:dyDescent="0.35">
      <c r="A1196" s="1">
        <v>42344</v>
      </c>
      <c r="B1196" s="3">
        <f t="shared" si="36"/>
        <v>2015</v>
      </c>
      <c r="C1196" s="3">
        <f t="shared" si="37"/>
        <v>12</v>
      </c>
      <c r="D1196" t="s">
        <v>599</v>
      </c>
      <c r="E1196" t="s">
        <v>575</v>
      </c>
      <c r="F1196" t="s">
        <v>13</v>
      </c>
      <c r="G1196" t="s">
        <v>143</v>
      </c>
      <c r="H1196" t="s">
        <v>1349</v>
      </c>
      <c r="I1196" s="2">
        <v>999.98</v>
      </c>
      <c r="J1196" s="3">
        <v>2</v>
      </c>
      <c r="K1196" s="2">
        <v>449.99</v>
      </c>
    </row>
    <row r="1197" spans="1:11" x14ac:dyDescent="0.35">
      <c r="A1197" s="1">
        <v>42344</v>
      </c>
      <c r="B1197" s="3">
        <f t="shared" si="36"/>
        <v>2015</v>
      </c>
      <c r="C1197" s="3">
        <f t="shared" si="37"/>
        <v>12</v>
      </c>
      <c r="D1197" t="s">
        <v>86</v>
      </c>
      <c r="E1197" t="s">
        <v>100</v>
      </c>
      <c r="F1197" t="s">
        <v>28</v>
      </c>
      <c r="G1197" t="s">
        <v>29</v>
      </c>
      <c r="H1197" t="s">
        <v>1350</v>
      </c>
      <c r="I1197" s="2">
        <v>6.48</v>
      </c>
      <c r="J1197" s="3">
        <v>1</v>
      </c>
      <c r="K1197" s="2">
        <v>3.11</v>
      </c>
    </row>
    <row r="1198" spans="1:11" x14ac:dyDescent="0.35">
      <c r="A1198" s="1">
        <v>42344</v>
      </c>
      <c r="B1198" s="3">
        <f t="shared" si="36"/>
        <v>2015</v>
      </c>
      <c r="C1198" s="3">
        <f t="shared" si="37"/>
        <v>12</v>
      </c>
      <c r="D1198" t="s">
        <v>86</v>
      </c>
      <c r="E1198" t="s">
        <v>100</v>
      </c>
      <c r="F1198" t="s">
        <v>28</v>
      </c>
      <c r="G1198" t="s">
        <v>38</v>
      </c>
      <c r="H1198" t="s">
        <v>797</v>
      </c>
      <c r="I1198" s="2">
        <v>1325.85</v>
      </c>
      <c r="J1198" s="3">
        <v>5</v>
      </c>
      <c r="K1198" s="2">
        <v>238.65</v>
      </c>
    </row>
    <row r="1199" spans="1:11" x14ac:dyDescent="0.35">
      <c r="A1199" s="1">
        <v>42344</v>
      </c>
      <c r="B1199" s="3">
        <f t="shared" si="36"/>
        <v>2015</v>
      </c>
      <c r="C1199" s="3">
        <f t="shared" si="37"/>
        <v>12</v>
      </c>
      <c r="D1199" t="s">
        <v>86</v>
      </c>
      <c r="E1199" t="s">
        <v>100</v>
      </c>
      <c r="F1199" t="s">
        <v>28</v>
      </c>
      <c r="G1199" t="s">
        <v>46</v>
      </c>
      <c r="H1199" t="s">
        <v>880</v>
      </c>
      <c r="I1199" s="2">
        <v>14.94</v>
      </c>
      <c r="J1199" s="3">
        <v>3</v>
      </c>
      <c r="K1199" s="2">
        <v>6.87</v>
      </c>
    </row>
    <row r="1200" spans="1:11" x14ac:dyDescent="0.35">
      <c r="A1200" s="1">
        <v>42344</v>
      </c>
      <c r="B1200" s="3">
        <f t="shared" si="36"/>
        <v>2015</v>
      </c>
      <c r="C1200" s="3">
        <f t="shared" si="37"/>
        <v>12</v>
      </c>
      <c r="D1200" t="s">
        <v>1351</v>
      </c>
      <c r="E1200" t="s">
        <v>45</v>
      </c>
      <c r="F1200" t="s">
        <v>28</v>
      </c>
      <c r="G1200" t="s">
        <v>58</v>
      </c>
      <c r="H1200" t="s">
        <v>380</v>
      </c>
      <c r="I1200" s="2">
        <v>7.78</v>
      </c>
      <c r="J1200" s="3">
        <v>2</v>
      </c>
      <c r="K1200" s="2">
        <v>2.02</v>
      </c>
    </row>
    <row r="1201" spans="1:11" x14ac:dyDescent="0.35">
      <c r="A1201" s="1">
        <v>42344</v>
      </c>
      <c r="B1201" s="3">
        <f t="shared" si="36"/>
        <v>2015</v>
      </c>
      <c r="C1201" s="3">
        <f t="shared" si="37"/>
        <v>12</v>
      </c>
      <c r="D1201" t="s">
        <v>1251</v>
      </c>
      <c r="E1201" t="s">
        <v>173</v>
      </c>
      <c r="F1201" t="s">
        <v>13</v>
      </c>
      <c r="G1201" t="s">
        <v>23</v>
      </c>
      <c r="H1201" t="s">
        <v>230</v>
      </c>
      <c r="I1201" s="2">
        <v>173.94</v>
      </c>
      <c r="J1201" s="3">
        <v>6</v>
      </c>
      <c r="K1201" s="2">
        <v>50.44</v>
      </c>
    </row>
    <row r="1202" spans="1:11" x14ac:dyDescent="0.35">
      <c r="A1202" s="1">
        <v>42344</v>
      </c>
      <c r="B1202" s="3">
        <f t="shared" si="36"/>
        <v>2015</v>
      </c>
      <c r="C1202" s="3">
        <f t="shared" si="37"/>
        <v>12</v>
      </c>
      <c r="D1202" t="s">
        <v>1352</v>
      </c>
      <c r="E1202" t="s">
        <v>131</v>
      </c>
      <c r="F1202" t="s">
        <v>28</v>
      </c>
      <c r="G1202" t="s">
        <v>48</v>
      </c>
      <c r="H1202" t="s">
        <v>390</v>
      </c>
      <c r="I1202" s="2">
        <v>14.83</v>
      </c>
      <c r="J1202" s="3">
        <v>3</v>
      </c>
      <c r="K1202" s="2">
        <v>-10.38</v>
      </c>
    </row>
    <row r="1203" spans="1:11" x14ac:dyDescent="0.35">
      <c r="A1203" s="1">
        <v>42344</v>
      </c>
      <c r="B1203" s="3">
        <f t="shared" si="36"/>
        <v>2015</v>
      </c>
      <c r="C1203" s="3">
        <f t="shared" si="37"/>
        <v>12</v>
      </c>
      <c r="D1203" t="s">
        <v>1049</v>
      </c>
      <c r="E1203" t="s">
        <v>45</v>
      </c>
      <c r="F1203" t="s">
        <v>28</v>
      </c>
      <c r="G1203" t="s">
        <v>29</v>
      </c>
      <c r="H1203" t="s">
        <v>1353</v>
      </c>
      <c r="I1203" s="2">
        <v>8.9600000000000009</v>
      </c>
      <c r="J1203" s="3">
        <v>2</v>
      </c>
      <c r="K1203" s="2">
        <v>4.3899999999999997</v>
      </c>
    </row>
    <row r="1204" spans="1:11" x14ac:dyDescent="0.35">
      <c r="A1204" s="1">
        <v>42042</v>
      </c>
      <c r="B1204" s="3">
        <f t="shared" si="36"/>
        <v>2015</v>
      </c>
      <c r="C1204" s="3">
        <f t="shared" si="37"/>
        <v>2</v>
      </c>
      <c r="D1204" t="s">
        <v>1354</v>
      </c>
      <c r="E1204" t="s">
        <v>173</v>
      </c>
      <c r="F1204" t="s">
        <v>28</v>
      </c>
      <c r="G1204" t="s">
        <v>158</v>
      </c>
      <c r="H1204" t="s">
        <v>511</v>
      </c>
      <c r="I1204" s="2">
        <v>311.14999999999998</v>
      </c>
      <c r="J1204" s="3">
        <v>5</v>
      </c>
      <c r="K1204" s="2">
        <v>146.24</v>
      </c>
    </row>
    <row r="1205" spans="1:11" x14ac:dyDescent="0.35">
      <c r="A1205" s="1">
        <v>42042</v>
      </c>
      <c r="B1205" s="3">
        <f t="shared" si="36"/>
        <v>2015</v>
      </c>
      <c r="C1205" s="3">
        <f t="shared" si="37"/>
        <v>2</v>
      </c>
      <c r="D1205" t="s">
        <v>1354</v>
      </c>
      <c r="E1205" t="s">
        <v>173</v>
      </c>
      <c r="F1205" t="s">
        <v>28</v>
      </c>
      <c r="G1205" t="s">
        <v>29</v>
      </c>
      <c r="H1205" t="s">
        <v>434</v>
      </c>
      <c r="I1205" s="2">
        <v>12.96</v>
      </c>
      <c r="J1205" s="3">
        <v>2</v>
      </c>
      <c r="K1205" s="2">
        <v>6.35</v>
      </c>
    </row>
    <row r="1206" spans="1:11" x14ac:dyDescent="0.35">
      <c r="A1206" s="1">
        <v>42070</v>
      </c>
      <c r="B1206" s="3">
        <f t="shared" si="36"/>
        <v>2015</v>
      </c>
      <c r="C1206" s="3">
        <f t="shared" si="37"/>
        <v>3</v>
      </c>
      <c r="D1206" t="s">
        <v>1355</v>
      </c>
      <c r="E1206" t="s">
        <v>876</v>
      </c>
      <c r="F1206" t="s">
        <v>13</v>
      </c>
      <c r="G1206" t="s">
        <v>14</v>
      </c>
      <c r="H1206" t="s">
        <v>1356</v>
      </c>
      <c r="I1206" s="2">
        <v>119.85</v>
      </c>
      <c r="J1206" s="3">
        <v>3</v>
      </c>
      <c r="K1206" s="2">
        <v>52.73</v>
      </c>
    </row>
    <row r="1207" spans="1:11" x14ac:dyDescent="0.35">
      <c r="A1207" s="1">
        <v>42070</v>
      </c>
      <c r="B1207" s="3">
        <f t="shared" si="36"/>
        <v>2015</v>
      </c>
      <c r="C1207" s="3">
        <f t="shared" si="37"/>
        <v>3</v>
      </c>
      <c r="D1207" t="s">
        <v>1355</v>
      </c>
      <c r="E1207" t="s">
        <v>876</v>
      </c>
      <c r="F1207" t="s">
        <v>28</v>
      </c>
      <c r="G1207" t="s">
        <v>48</v>
      </c>
      <c r="H1207" t="s">
        <v>1052</v>
      </c>
      <c r="I1207" s="2">
        <v>30.44</v>
      </c>
      <c r="J1207" s="3">
        <v>2</v>
      </c>
      <c r="K1207" s="2">
        <v>14.92</v>
      </c>
    </row>
    <row r="1208" spans="1:11" x14ac:dyDescent="0.35">
      <c r="A1208" s="1">
        <v>42070</v>
      </c>
      <c r="B1208" s="3">
        <f t="shared" si="36"/>
        <v>2015</v>
      </c>
      <c r="C1208" s="3">
        <f t="shared" si="37"/>
        <v>3</v>
      </c>
      <c r="D1208" t="s">
        <v>1355</v>
      </c>
      <c r="E1208" t="s">
        <v>876</v>
      </c>
      <c r="F1208" t="s">
        <v>28</v>
      </c>
      <c r="G1208" t="s">
        <v>48</v>
      </c>
      <c r="H1208" t="s">
        <v>72</v>
      </c>
      <c r="I1208" s="2">
        <v>69.28</v>
      </c>
      <c r="J1208" s="3">
        <v>2</v>
      </c>
      <c r="K1208" s="2">
        <v>33.25</v>
      </c>
    </row>
    <row r="1209" spans="1:11" x14ac:dyDescent="0.35">
      <c r="A1209" s="1">
        <v>42070</v>
      </c>
      <c r="B1209" s="3">
        <f t="shared" si="36"/>
        <v>2015</v>
      </c>
      <c r="C1209" s="3">
        <f t="shared" si="37"/>
        <v>3</v>
      </c>
      <c r="D1209" t="s">
        <v>1355</v>
      </c>
      <c r="E1209" t="s">
        <v>876</v>
      </c>
      <c r="F1209" t="s">
        <v>13</v>
      </c>
      <c r="G1209" t="s">
        <v>23</v>
      </c>
      <c r="H1209" t="s">
        <v>1357</v>
      </c>
      <c r="I1209" s="2">
        <v>587.97</v>
      </c>
      <c r="J1209" s="3">
        <v>3</v>
      </c>
      <c r="K1209" s="2">
        <v>170.51</v>
      </c>
    </row>
    <row r="1210" spans="1:11" x14ac:dyDescent="0.35">
      <c r="A1210" s="1">
        <v>42101</v>
      </c>
      <c r="B1210" s="3">
        <f t="shared" si="36"/>
        <v>2015</v>
      </c>
      <c r="C1210" s="3">
        <f t="shared" si="37"/>
        <v>4</v>
      </c>
      <c r="D1210" t="s">
        <v>446</v>
      </c>
      <c r="E1210" t="s">
        <v>32</v>
      </c>
      <c r="F1210" t="s">
        <v>28</v>
      </c>
      <c r="G1210" t="s">
        <v>58</v>
      </c>
      <c r="H1210" t="s">
        <v>1358</v>
      </c>
      <c r="I1210" s="2">
        <v>463.25</v>
      </c>
      <c r="J1210" s="3">
        <v>8</v>
      </c>
      <c r="K1210" s="2">
        <v>-1181.28</v>
      </c>
    </row>
    <row r="1211" spans="1:11" x14ac:dyDescent="0.35">
      <c r="A1211" s="1">
        <v>42101</v>
      </c>
      <c r="B1211" s="3">
        <f t="shared" si="36"/>
        <v>2015</v>
      </c>
      <c r="C1211" s="3">
        <f t="shared" si="37"/>
        <v>4</v>
      </c>
      <c r="D1211" t="s">
        <v>446</v>
      </c>
      <c r="E1211" t="s">
        <v>32</v>
      </c>
      <c r="F1211" t="s">
        <v>13</v>
      </c>
      <c r="G1211" t="s">
        <v>14</v>
      </c>
      <c r="H1211" t="s">
        <v>1359</v>
      </c>
      <c r="I1211" s="2">
        <v>383.95</v>
      </c>
      <c r="J1211" s="3">
        <v>6</v>
      </c>
      <c r="K1211" s="2">
        <v>47.99</v>
      </c>
    </row>
    <row r="1212" spans="1:11" x14ac:dyDescent="0.35">
      <c r="A1212" s="1">
        <v>42101</v>
      </c>
      <c r="B1212" s="3">
        <f t="shared" si="36"/>
        <v>2015</v>
      </c>
      <c r="C1212" s="3">
        <f t="shared" si="37"/>
        <v>4</v>
      </c>
      <c r="D1212" t="s">
        <v>1360</v>
      </c>
      <c r="E1212" t="s">
        <v>89</v>
      </c>
      <c r="F1212" t="s">
        <v>28</v>
      </c>
      <c r="G1212" t="s">
        <v>64</v>
      </c>
      <c r="H1212" t="s">
        <v>1361</v>
      </c>
      <c r="I1212" s="2">
        <v>11.74</v>
      </c>
      <c r="J1212" s="3">
        <v>3</v>
      </c>
      <c r="K1212" s="2">
        <v>1.03</v>
      </c>
    </row>
    <row r="1213" spans="1:11" x14ac:dyDescent="0.35">
      <c r="A1213" s="1">
        <v>42101</v>
      </c>
      <c r="B1213" s="3">
        <f t="shared" si="36"/>
        <v>2015</v>
      </c>
      <c r="C1213" s="3">
        <f t="shared" si="37"/>
        <v>4</v>
      </c>
      <c r="D1213" t="s">
        <v>135</v>
      </c>
      <c r="E1213" t="s">
        <v>22</v>
      </c>
      <c r="F1213" t="s">
        <v>28</v>
      </c>
      <c r="G1213" t="s">
        <v>29</v>
      </c>
      <c r="H1213" t="s">
        <v>1362</v>
      </c>
      <c r="I1213" s="2">
        <v>25.92</v>
      </c>
      <c r="J1213" s="3">
        <v>4</v>
      </c>
      <c r="K1213" s="2">
        <v>12.44</v>
      </c>
    </row>
    <row r="1214" spans="1:11" x14ac:dyDescent="0.35">
      <c r="A1214" s="1">
        <v>42101</v>
      </c>
      <c r="B1214" s="3">
        <f t="shared" si="36"/>
        <v>2015</v>
      </c>
      <c r="C1214" s="3">
        <f t="shared" si="37"/>
        <v>4</v>
      </c>
      <c r="D1214" t="s">
        <v>135</v>
      </c>
      <c r="E1214" t="s">
        <v>22</v>
      </c>
      <c r="F1214" t="s">
        <v>28</v>
      </c>
      <c r="G1214" t="s">
        <v>38</v>
      </c>
      <c r="H1214" t="s">
        <v>656</v>
      </c>
      <c r="I1214" s="2">
        <v>22.58</v>
      </c>
      <c r="J1214" s="3">
        <v>2</v>
      </c>
      <c r="K1214" s="2">
        <v>5.87</v>
      </c>
    </row>
    <row r="1215" spans="1:11" x14ac:dyDescent="0.35">
      <c r="A1215" s="1">
        <v>42131</v>
      </c>
      <c r="B1215" s="3">
        <f t="shared" si="36"/>
        <v>2015</v>
      </c>
      <c r="C1215" s="3">
        <f t="shared" si="37"/>
        <v>5</v>
      </c>
      <c r="D1215" t="s">
        <v>1363</v>
      </c>
      <c r="E1215" t="s">
        <v>32</v>
      </c>
      <c r="F1215" t="s">
        <v>18</v>
      </c>
      <c r="G1215" t="s">
        <v>42</v>
      </c>
      <c r="H1215" t="s">
        <v>1364</v>
      </c>
      <c r="I1215" s="2">
        <v>244.01</v>
      </c>
      <c r="J1215" s="3">
        <v>2</v>
      </c>
      <c r="K1215" s="2">
        <v>-31.37</v>
      </c>
    </row>
    <row r="1216" spans="1:11" x14ac:dyDescent="0.35">
      <c r="A1216" s="1">
        <v>42131</v>
      </c>
      <c r="B1216" s="3">
        <f t="shared" si="36"/>
        <v>2015</v>
      </c>
      <c r="C1216" s="3">
        <f t="shared" si="37"/>
        <v>5</v>
      </c>
      <c r="D1216" t="s">
        <v>1363</v>
      </c>
      <c r="E1216" t="s">
        <v>32</v>
      </c>
      <c r="F1216" t="s">
        <v>28</v>
      </c>
      <c r="G1216" t="s">
        <v>29</v>
      </c>
      <c r="H1216" t="s">
        <v>891</v>
      </c>
      <c r="I1216" s="2">
        <v>15.94</v>
      </c>
      <c r="J1216" s="3">
        <v>4</v>
      </c>
      <c r="K1216" s="2">
        <v>5.38</v>
      </c>
    </row>
    <row r="1217" spans="1:11" x14ac:dyDescent="0.35">
      <c r="A1217" s="1">
        <v>42131</v>
      </c>
      <c r="B1217" s="3">
        <f t="shared" si="36"/>
        <v>2015</v>
      </c>
      <c r="C1217" s="3">
        <f t="shared" si="37"/>
        <v>5</v>
      </c>
      <c r="D1217" t="s">
        <v>401</v>
      </c>
      <c r="E1217" t="s">
        <v>118</v>
      </c>
      <c r="F1217" t="s">
        <v>28</v>
      </c>
      <c r="G1217" t="s">
        <v>29</v>
      </c>
      <c r="H1217" t="s">
        <v>1365</v>
      </c>
      <c r="I1217" s="2">
        <v>45.68</v>
      </c>
      <c r="J1217" s="3">
        <v>2</v>
      </c>
      <c r="K1217" s="2">
        <v>21.01</v>
      </c>
    </row>
    <row r="1218" spans="1:11" x14ac:dyDescent="0.35">
      <c r="A1218" s="1">
        <v>42162</v>
      </c>
      <c r="B1218" s="3">
        <f t="shared" ref="B1218:B1281" si="38">YEAR(A1218)</f>
        <v>2015</v>
      </c>
      <c r="C1218" s="3">
        <f t="shared" ref="C1218:C1281" si="39">MONTH(A1218)</f>
        <v>6</v>
      </c>
      <c r="D1218" t="s">
        <v>1366</v>
      </c>
      <c r="E1218" t="s">
        <v>45</v>
      </c>
      <c r="F1218" t="s">
        <v>28</v>
      </c>
      <c r="G1218" t="s">
        <v>48</v>
      </c>
      <c r="H1218" t="s">
        <v>1367</v>
      </c>
      <c r="I1218" s="2">
        <v>7.52</v>
      </c>
      <c r="J1218" s="3">
        <v>5</v>
      </c>
      <c r="K1218" s="2">
        <v>2.63</v>
      </c>
    </row>
    <row r="1219" spans="1:11" x14ac:dyDescent="0.35">
      <c r="A1219" s="1">
        <v>42162</v>
      </c>
      <c r="B1219" s="3">
        <f t="shared" si="38"/>
        <v>2015</v>
      </c>
      <c r="C1219" s="3">
        <f t="shared" si="39"/>
        <v>6</v>
      </c>
      <c r="D1219" t="s">
        <v>913</v>
      </c>
      <c r="E1219" t="s">
        <v>89</v>
      </c>
      <c r="F1219" t="s">
        <v>28</v>
      </c>
      <c r="G1219" t="s">
        <v>48</v>
      </c>
      <c r="H1219" t="s">
        <v>1108</v>
      </c>
      <c r="I1219" s="2">
        <v>18.309999999999999</v>
      </c>
      <c r="J1219" s="3">
        <v>4</v>
      </c>
      <c r="K1219" s="2">
        <v>-12.21</v>
      </c>
    </row>
    <row r="1220" spans="1:11" x14ac:dyDescent="0.35">
      <c r="A1220" s="1">
        <v>42162</v>
      </c>
      <c r="B1220" s="3">
        <f t="shared" si="38"/>
        <v>2015</v>
      </c>
      <c r="C1220" s="3">
        <f t="shared" si="39"/>
        <v>6</v>
      </c>
      <c r="D1220" t="s">
        <v>913</v>
      </c>
      <c r="E1220" t="s">
        <v>89</v>
      </c>
      <c r="F1220" t="s">
        <v>28</v>
      </c>
      <c r="G1220" t="s">
        <v>29</v>
      </c>
      <c r="H1220" t="s">
        <v>920</v>
      </c>
      <c r="I1220" s="2">
        <v>25.92</v>
      </c>
      <c r="J1220" s="3">
        <v>5</v>
      </c>
      <c r="K1220" s="2">
        <v>9.07</v>
      </c>
    </row>
    <row r="1221" spans="1:11" x14ac:dyDescent="0.35">
      <c r="A1221" s="1">
        <v>42162</v>
      </c>
      <c r="B1221" s="3">
        <f t="shared" si="38"/>
        <v>2015</v>
      </c>
      <c r="C1221" s="3">
        <f t="shared" si="39"/>
        <v>6</v>
      </c>
      <c r="D1221" t="s">
        <v>913</v>
      </c>
      <c r="E1221" t="s">
        <v>89</v>
      </c>
      <c r="F1221" t="s">
        <v>28</v>
      </c>
      <c r="G1221" t="s">
        <v>64</v>
      </c>
      <c r="H1221" t="s">
        <v>1024</v>
      </c>
      <c r="I1221" s="2">
        <v>8.02</v>
      </c>
      <c r="J1221" s="3">
        <v>3</v>
      </c>
      <c r="K1221" s="2">
        <v>1</v>
      </c>
    </row>
    <row r="1222" spans="1:11" x14ac:dyDescent="0.35">
      <c r="A1222" s="1">
        <v>42223</v>
      </c>
      <c r="B1222" s="3">
        <f t="shared" si="38"/>
        <v>2015</v>
      </c>
      <c r="C1222" s="3">
        <f t="shared" si="39"/>
        <v>8</v>
      </c>
      <c r="D1222" t="s">
        <v>1368</v>
      </c>
      <c r="E1222" t="s">
        <v>871</v>
      </c>
      <c r="F1222" t="s">
        <v>28</v>
      </c>
      <c r="G1222" t="s">
        <v>48</v>
      </c>
      <c r="H1222" t="s">
        <v>657</v>
      </c>
      <c r="I1222" s="2">
        <v>3.3</v>
      </c>
      <c r="J1222" s="3">
        <v>1</v>
      </c>
      <c r="K1222" s="2">
        <v>1.1200000000000001</v>
      </c>
    </row>
    <row r="1223" spans="1:11" x14ac:dyDescent="0.35">
      <c r="A1223" s="1">
        <v>42223</v>
      </c>
      <c r="B1223" s="3">
        <f t="shared" si="38"/>
        <v>2015</v>
      </c>
      <c r="C1223" s="3">
        <f t="shared" si="39"/>
        <v>8</v>
      </c>
      <c r="D1223" t="s">
        <v>1369</v>
      </c>
      <c r="E1223" t="s">
        <v>45</v>
      </c>
      <c r="F1223" t="s">
        <v>28</v>
      </c>
      <c r="G1223" t="s">
        <v>48</v>
      </c>
      <c r="H1223" t="s">
        <v>1370</v>
      </c>
      <c r="I1223" s="2">
        <v>19.149999999999999</v>
      </c>
      <c r="J1223" s="3">
        <v>3</v>
      </c>
      <c r="K1223" s="2">
        <v>6.46</v>
      </c>
    </row>
    <row r="1224" spans="1:11" x14ac:dyDescent="0.35">
      <c r="A1224" s="1">
        <v>42223</v>
      </c>
      <c r="B1224" s="3">
        <f t="shared" si="38"/>
        <v>2015</v>
      </c>
      <c r="C1224" s="3">
        <f t="shared" si="39"/>
        <v>8</v>
      </c>
      <c r="D1224" t="s">
        <v>1371</v>
      </c>
      <c r="E1224" t="s">
        <v>190</v>
      </c>
      <c r="F1224" t="s">
        <v>28</v>
      </c>
      <c r="G1224" t="s">
        <v>48</v>
      </c>
      <c r="H1224" t="s">
        <v>1372</v>
      </c>
      <c r="I1224" s="2">
        <v>28.4</v>
      </c>
      <c r="J1224" s="3">
        <v>4</v>
      </c>
      <c r="K1224" s="2">
        <v>13.06</v>
      </c>
    </row>
    <row r="1225" spans="1:11" x14ac:dyDescent="0.35">
      <c r="A1225" s="1">
        <v>42223</v>
      </c>
      <c r="B1225" s="3">
        <f t="shared" si="38"/>
        <v>2015</v>
      </c>
      <c r="C1225" s="3">
        <f t="shared" si="39"/>
        <v>8</v>
      </c>
      <c r="D1225" t="s">
        <v>1371</v>
      </c>
      <c r="E1225" t="s">
        <v>190</v>
      </c>
      <c r="F1225" t="s">
        <v>18</v>
      </c>
      <c r="G1225" t="s">
        <v>36</v>
      </c>
      <c r="H1225" t="s">
        <v>1373</v>
      </c>
      <c r="I1225" s="2">
        <v>212.94</v>
      </c>
      <c r="J1225" s="3">
        <v>3</v>
      </c>
      <c r="K1225" s="2">
        <v>34.07</v>
      </c>
    </row>
    <row r="1226" spans="1:11" x14ac:dyDescent="0.35">
      <c r="A1226" s="1">
        <v>42223</v>
      </c>
      <c r="B1226" s="3">
        <f t="shared" si="38"/>
        <v>2015</v>
      </c>
      <c r="C1226" s="3">
        <f t="shared" si="39"/>
        <v>8</v>
      </c>
      <c r="D1226" t="s">
        <v>743</v>
      </c>
      <c r="E1226" t="s">
        <v>89</v>
      </c>
      <c r="F1226" t="s">
        <v>28</v>
      </c>
      <c r="G1226" t="s">
        <v>64</v>
      </c>
      <c r="H1226" t="s">
        <v>441</v>
      </c>
      <c r="I1226" s="2">
        <v>106.8</v>
      </c>
      <c r="J1226" s="3">
        <v>10</v>
      </c>
      <c r="K1226" s="2">
        <v>10.68</v>
      </c>
    </row>
    <row r="1227" spans="1:11" x14ac:dyDescent="0.35">
      <c r="A1227" s="1">
        <v>42223</v>
      </c>
      <c r="B1227" s="3">
        <f t="shared" si="38"/>
        <v>2015</v>
      </c>
      <c r="C1227" s="3">
        <f t="shared" si="39"/>
        <v>8</v>
      </c>
      <c r="D1227" t="s">
        <v>1368</v>
      </c>
      <c r="E1227" t="s">
        <v>249</v>
      </c>
      <c r="F1227" t="s">
        <v>28</v>
      </c>
      <c r="G1227" t="s">
        <v>58</v>
      </c>
      <c r="H1227" t="s">
        <v>1374</v>
      </c>
      <c r="I1227" s="2">
        <v>77.58</v>
      </c>
      <c r="J1227" s="3">
        <v>9</v>
      </c>
      <c r="K1227" s="2">
        <v>20.170000000000002</v>
      </c>
    </row>
    <row r="1228" spans="1:11" x14ac:dyDescent="0.35">
      <c r="A1228" s="1">
        <v>42223</v>
      </c>
      <c r="B1228" s="3">
        <f t="shared" si="38"/>
        <v>2015</v>
      </c>
      <c r="C1228" s="3">
        <f t="shared" si="39"/>
        <v>8</v>
      </c>
      <c r="D1228" t="s">
        <v>1375</v>
      </c>
      <c r="E1228" t="s">
        <v>173</v>
      </c>
      <c r="F1228" t="s">
        <v>13</v>
      </c>
      <c r="G1228" t="s">
        <v>23</v>
      </c>
      <c r="H1228" t="s">
        <v>1376</v>
      </c>
      <c r="I1228" s="2">
        <v>494.97</v>
      </c>
      <c r="J1228" s="3">
        <v>3</v>
      </c>
      <c r="K1228" s="2">
        <v>148.49</v>
      </c>
    </row>
    <row r="1229" spans="1:11" x14ac:dyDescent="0.35">
      <c r="A1229" s="1">
        <v>42223</v>
      </c>
      <c r="B1229" s="3">
        <f t="shared" si="38"/>
        <v>2015</v>
      </c>
      <c r="C1229" s="3">
        <f t="shared" si="39"/>
        <v>8</v>
      </c>
      <c r="D1229" t="s">
        <v>1375</v>
      </c>
      <c r="E1229" t="s">
        <v>173</v>
      </c>
      <c r="F1229" t="s">
        <v>28</v>
      </c>
      <c r="G1229" t="s">
        <v>46</v>
      </c>
      <c r="H1229" t="s">
        <v>1377</v>
      </c>
      <c r="I1229" s="2">
        <v>25.06</v>
      </c>
      <c r="J1229" s="3">
        <v>2</v>
      </c>
      <c r="K1229" s="2">
        <v>11.78</v>
      </c>
    </row>
    <row r="1230" spans="1:11" x14ac:dyDescent="0.35">
      <c r="A1230" s="1">
        <v>42254</v>
      </c>
      <c r="B1230" s="3">
        <f t="shared" si="38"/>
        <v>2015</v>
      </c>
      <c r="C1230" s="3">
        <f t="shared" si="39"/>
        <v>9</v>
      </c>
      <c r="D1230" t="s">
        <v>939</v>
      </c>
      <c r="E1230" t="s">
        <v>45</v>
      </c>
      <c r="F1230" t="s">
        <v>28</v>
      </c>
      <c r="G1230" t="s">
        <v>38</v>
      </c>
      <c r="H1230" t="s">
        <v>1378</v>
      </c>
      <c r="I1230" s="2">
        <v>671.93</v>
      </c>
      <c r="J1230" s="3">
        <v>7</v>
      </c>
      <c r="K1230" s="2">
        <v>20.16</v>
      </c>
    </row>
    <row r="1231" spans="1:11" x14ac:dyDescent="0.35">
      <c r="A1231" s="1">
        <v>42254</v>
      </c>
      <c r="B1231" s="3">
        <f t="shared" si="38"/>
        <v>2015</v>
      </c>
      <c r="C1231" s="3">
        <f t="shared" si="39"/>
        <v>9</v>
      </c>
      <c r="D1231" t="s">
        <v>1379</v>
      </c>
      <c r="E1231" t="s">
        <v>32</v>
      </c>
      <c r="F1231" t="s">
        <v>18</v>
      </c>
      <c r="G1231" t="s">
        <v>19</v>
      </c>
      <c r="H1231" t="s">
        <v>1380</v>
      </c>
      <c r="I1231" s="2">
        <v>47.52</v>
      </c>
      <c r="J1231" s="3">
        <v>2</v>
      </c>
      <c r="K1231" s="2">
        <v>-2.04</v>
      </c>
    </row>
    <row r="1232" spans="1:11" x14ac:dyDescent="0.35">
      <c r="A1232" s="1">
        <v>42254</v>
      </c>
      <c r="B1232" s="3">
        <f t="shared" si="38"/>
        <v>2015</v>
      </c>
      <c r="C1232" s="3">
        <f t="shared" si="39"/>
        <v>9</v>
      </c>
      <c r="D1232" t="s">
        <v>717</v>
      </c>
      <c r="E1232" t="s">
        <v>22</v>
      </c>
      <c r="F1232" t="s">
        <v>28</v>
      </c>
      <c r="G1232" t="s">
        <v>38</v>
      </c>
      <c r="H1232" t="s">
        <v>270</v>
      </c>
      <c r="I1232" s="2">
        <v>13.96</v>
      </c>
      <c r="J1232" s="3">
        <v>2</v>
      </c>
      <c r="K1232" s="2">
        <v>0.28000000000000003</v>
      </c>
    </row>
    <row r="1233" spans="1:11" x14ac:dyDescent="0.35">
      <c r="A1233" s="1">
        <v>42254</v>
      </c>
      <c r="B1233" s="3">
        <f t="shared" si="38"/>
        <v>2015</v>
      </c>
      <c r="C1233" s="3">
        <f t="shared" si="39"/>
        <v>9</v>
      </c>
      <c r="D1233" t="s">
        <v>717</v>
      </c>
      <c r="E1233" t="s">
        <v>22</v>
      </c>
      <c r="F1233" t="s">
        <v>18</v>
      </c>
      <c r="G1233" t="s">
        <v>42</v>
      </c>
      <c r="H1233" t="s">
        <v>1381</v>
      </c>
      <c r="I1233" s="2">
        <v>27.41</v>
      </c>
      <c r="J1233" s="3">
        <v>3</v>
      </c>
      <c r="K1233" s="2">
        <v>-14.16</v>
      </c>
    </row>
    <row r="1234" spans="1:11" x14ac:dyDescent="0.35">
      <c r="A1234" s="1">
        <v>42254</v>
      </c>
      <c r="B1234" s="3">
        <f t="shared" si="38"/>
        <v>2015</v>
      </c>
      <c r="C1234" s="3">
        <f t="shared" si="39"/>
        <v>9</v>
      </c>
      <c r="D1234" t="s">
        <v>640</v>
      </c>
      <c r="E1234" t="s">
        <v>89</v>
      </c>
      <c r="F1234" t="s">
        <v>28</v>
      </c>
      <c r="G1234" t="s">
        <v>48</v>
      </c>
      <c r="H1234" t="s">
        <v>1382</v>
      </c>
      <c r="I1234" s="2">
        <v>9.52</v>
      </c>
      <c r="J1234" s="3">
        <v>1</v>
      </c>
      <c r="K1234" s="2">
        <v>-6.98</v>
      </c>
    </row>
    <row r="1235" spans="1:11" x14ac:dyDescent="0.35">
      <c r="A1235" s="1">
        <v>42254</v>
      </c>
      <c r="B1235" s="3">
        <f t="shared" si="38"/>
        <v>2015</v>
      </c>
      <c r="C1235" s="3">
        <f t="shared" si="39"/>
        <v>9</v>
      </c>
      <c r="D1235" t="s">
        <v>640</v>
      </c>
      <c r="E1235" t="s">
        <v>89</v>
      </c>
      <c r="F1235" t="s">
        <v>13</v>
      </c>
      <c r="G1235" t="s">
        <v>23</v>
      </c>
      <c r="H1235" t="s">
        <v>811</v>
      </c>
      <c r="I1235" s="2">
        <v>791.96</v>
      </c>
      <c r="J1235" s="3">
        <v>6</v>
      </c>
      <c r="K1235" s="2">
        <v>-131.99</v>
      </c>
    </row>
    <row r="1236" spans="1:11" x14ac:dyDescent="0.35">
      <c r="A1236" s="1">
        <v>42254</v>
      </c>
      <c r="B1236" s="3">
        <f t="shared" si="38"/>
        <v>2015</v>
      </c>
      <c r="C1236" s="3">
        <f t="shared" si="39"/>
        <v>9</v>
      </c>
      <c r="D1236" t="s">
        <v>640</v>
      </c>
      <c r="E1236" t="s">
        <v>89</v>
      </c>
      <c r="F1236" t="s">
        <v>28</v>
      </c>
      <c r="G1236" t="s">
        <v>48</v>
      </c>
      <c r="H1236" t="s">
        <v>1383</v>
      </c>
      <c r="I1236" s="2">
        <v>4.92</v>
      </c>
      <c r="J1236" s="3">
        <v>3</v>
      </c>
      <c r="K1236" s="2">
        <v>-3.94</v>
      </c>
    </row>
    <row r="1237" spans="1:11" x14ac:dyDescent="0.35">
      <c r="A1237" s="1">
        <v>42254</v>
      </c>
      <c r="B1237" s="3">
        <f t="shared" si="38"/>
        <v>2015</v>
      </c>
      <c r="C1237" s="3">
        <f t="shared" si="39"/>
        <v>9</v>
      </c>
      <c r="D1237" t="s">
        <v>1384</v>
      </c>
      <c r="E1237" t="s">
        <v>81</v>
      </c>
      <c r="F1237" t="s">
        <v>28</v>
      </c>
      <c r="G1237" t="s">
        <v>64</v>
      </c>
      <c r="H1237" t="s">
        <v>763</v>
      </c>
      <c r="I1237" s="2">
        <v>140.74</v>
      </c>
      <c r="J1237" s="3">
        <v>4</v>
      </c>
      <c r="K1237" s="2">
        <v>12.31</v>
      </c>
    </row>
    <row r="1238" spans="1:11" x14ac:dyDescent="0.35">
      <c r="A1238" s="1">
        <v>42254</v>
      </c>
      <c r="B1238" s="3">
        <f t="shared" si="38"/>
        <v>2015</v>
      </c>
      <c r="C1238" s="3">
        <f t="shared" si="39"/>
        <v>9</v>
      </c>
      <c r="D1238" t="s">
        <v>848</v>
      </c>
      <c r="E1238" t="s">
        <v>22</v>
      </c>
      <c r="F1238" t="s">
        <v>13</v>
      </c>
      <c r="G1238" t="s">
        <v>14</v>
      </c>
      <c r="H1238" t="s">
        <v>1359</v>
      </c>
      <c r="I1238" s="2">
        <v>559.92999999999995</v>
      </c>
      <c r="J1238" s="3">
        <v>7</v>
      </c>
      <c r="K1238" s="2">
        <v>167.98</v>
      </c>
    </row>
    <row r="1239" spans="1:11" x14ac:dyDescent="0.35">
      <c r="A1239" s="1">
        <v>42254</v>
      </c>
      <c r="B1239" s="3">
        <f t="shared" si="38"/>
        <v>2015</v>
      </c>
      <c r="C1239" s="3">
        <f t="shared" si="39"/>
        <v>9</v>
      </c>
      <c r="D1239" t="s">
        <v>203</v>
      </c>
      <c r="E1239" t="s">
        <v>22</v>
      </c>
      <c r="F1239" t="s">
        <v>28</v>
      </c>
      <c r="G1239" t="s">
        <v>38</v>
      </c>
      <c r="H1239" t="s">
        <v>1385</v>
      </c>
      <c r="I1239" s="2">
        <v>70.260000000000005</v>
      </c>
      <c r="J1239" s="3">
        <v>3</v>
      </c>
      <c r="K1239" s="2">
        <v>18.97</v>
      </c>
    </row>
    <row r="1240" spans="1:11" x14ac:dyDescent="0.35">
      <c r="A1240" s="1">
        <v>42254</v>
      </c>
      <c r="B1240" s="3">
        <f t="shared" si="38"/>
        <v>2015</v>
      </c>
      <c r="C1240" s="3">
        <f t="shared" si="39"/>
        <v>9</v>
      </c>
      <c r="D1240" t="s">
        <v>203</v>
      </c>
      <c r="E1240" t="s">
        <v>22</v>
      </c>
      <c r="F1240" t="s">
        <v>13</v>
      </c>
      <c r="G1240" t="s">
        <v>14</v>
      </c>
      <c r="H1240" t="s">
        <v>1386</v>
      </c>
      <c r="I1240" s="2">
        <v>90</v>
      </c>
      <c r="J1240" s="3">
        <v>5</v>
      </c>
      <c r="K1240" s="2">
        <v>16.2</v>
      </c>
    </row>
    <row r="1241" spans="1:11" x14ac:dyDescent="0.35">
      <c r="A1241" s="1">
        <v>42254</v>
      </c>
      <c r="B1241" s="3">
        <f t="shared" si="38"/>
        <v>2015</v>
      </c>
      <c r="C1241" s="3">
        <f t="shared" si="39"/>
        <v>9</v>
      </c>
      <c r="D1241" t="s">
        <v>203</v>
      </c>
      <c r="E1241" t="s">
        <v>22</v>
      </c>
      <c r="F1241" t="s">
        <v>28</v>
      </c>
      <c r="G1241" t="s">
        <v>48</v>
      </c>
      <c r="H1241" t="s">
        <v>1387</v>
      </c>
      <c r="I1241" s="2">
        <v>6.1</v>
      </c>
      <c r="J1241" s="3">
        <v>2</v>
      </c>
      <c r="K1241" s="2">
        <v>2.06</v>
      </c>
    </row>
    <row r="1242" spans="1:11" x14ac:dyDescent="0.35">
      <c r="A1242" s="1">
        <v>42254</v>
      </c>
      <c r="B1242" s="3">
        <f t="shared" si="38"/>
        <v>2015</v>
      </c>
      <c r="C1242" s="3">
        <f t="shared" si="39"/>
        <v>9</v>
      </c>
      <c r="D1242" t="s">
        <v>203</v>
      </c>
      <c r="E1242" t="s">
        <v>22</v>
      </c>
      <c r="F1242" t="s">
        <v>18</v>
      </c>
      <c r="G1242" t="s">
        <v>42</v>
      </c>
      <c r="H1242" t="s">
        <v>1388</v>
      </c>
      <c r="I1242" s="2">
        <v>481.18</v>
      </c>
      <c r="J1242" s="3">
        <v>2</v>
      </c>
      <c r="K1242" s="2">
        <v>-120.29</v>
      </c>
    </row>
    <row r="1243" spans="1:11" x14ac:dyDescent="0.35">
      <c r="A1243" s="1">
        <v>42254</v>
      </c>
      <c r="B1243" s="3">
        <f t="shared" si="38"/>
        <v>2015</v>
      </c>
      <c r="C1243" s="3">
        <f t="shared" si="39"/>
        <v>9</v>
      </c>
      <c r="D1243" t="s">
        <v>203</v>
      </c>
      <c r="E1243" t="s">
        <v>22</v>
      </c>
      <c r="F1243" t="s">
        <v>28</v>
      </c>
      <c r="G1243" t="s">
        <v>33</v>
      </c>
      <c r="H1243" t="s">
        <v>1329</v>
      </c>
      <c r="I1243" s="2">
        <v>7.24</v>
      </c>
      <c r="J1243" s="3">
        <v>4</v>
      </c>
      <c r="K1243" s="2">
        <v>2.39</v>
      </c>
    </row>
    <row r="1244" spans="1:11" x14ac:dyDescent="0.35">
      <c r="A1244" s="1">
        <v>42315</v>
      </c>
      <c r="B1244" s="3">
        <f t="shared" si="38"/>
        <v>2015</v>
      </c>
      <c r="C1244" s="3">
        <f t="shared" si="39"/>
        <v>11</v>
      </c>
      <c r="D1244" t="s">
        <v>1389</v>
      </c>
      <c r="E1244" t="s">
        <v>45</v>
      </c>
      <c r="F1244" t="s">
        <v>18</v>
      </c>
      <c r="G1244" t="s">
        <v>19</v>
      </c>
      <c r="H1244" t="s">
        <v>1390</v>
      </c>
      <c r="I1244" s="2">
        <v>190.72</v>
      </c>
      <c r="J1244" s="3">
        <v>1</v>
      </c>
      <c r="K1244" s="2">
        <v>11.92</v>
      </c>
    </row>
    <row r="1245" spans="1:11" x14ac:dyDescent="0.35">
      <c r="A1245" s="1">
        <v>42315</v>
      </c>
      <c r="B1245" s="3">
        <f t="shared" si="38"/>
        <v>2015</v>
      </c>
      <c r="C1245" s="3">
        <f t="shared" si="39"/>
        <v>11</v>
      </c>
      <c r="D1245" t="s">
        <v>1391</v>
      </c>
      <c r="E1245" t="s">
        <v>876</v>
      </c>
      <c r="F1245" t="s">
        <v>28</v>
      </c>
      <c r="G1245" t="s">
        <v>33</v>
      </c>
      <c r="H1245" t="s">
        <v>1392</v>
      </c>
      <c r="I1245" s="2">
        <v>26.18</v>
      </c>
      <c r="J1245" s="3">
        <v>7</v>
      </c>
      <c r="K1245" s="2">
        <v>0.52</v>
      </c>
    </row>
    <row r="1246" spans="1:11" x14ac:dyDescent="0.35">
      <c r="A1246" s="1">
        <v>42315</v>
      </c>
      <c r="B1246" s="3">
        <f t="shared" si="38"/>
        <v>2015</v>
      </c>
      <c r="C1246" s="3">
        <f t="shared" si="39"/>
        <v>11</v>
      </c>
      <c r="D1246" t="s">
        <v>1391</v>
      </c>
      <c r="E1246" t="s">
        <v>876</v>
      </c>
      <c r="F1246" t="s">
        <v>28</v>
      </c>
      <c r="G1246" t="s">
        <v>29</v>
      </c>
      <c r="H1246" t="s">
        <v>1393</v>
      </c>
      <c r="I1246" s="2">
        <v>7.3</v>
      </c>
      <c r="J1246" s="3">
        <v>2</v>
      </c>
      <c r="K1246" s="2">
        <v>3.43</v>
      </c>
    </row>
    <row r="1247" spans="1:11" x14ac:dyDescent="0.35">
      <c r="A1247" s="1">
        <v>42315</v>
      </c>
      <c r="B1247" s="3">
        <f t="shared" si="38"/>
        <v>2015</v>
      </c>
      <c r="C1247" s="3">
        <f t="shared" si="39"/>
        <v>11</v>
      </c>
      <c r="D1247" t="s">
        <v>1389</v>
      </c>
      <c r="E1247" t="s">
        <v>89</v>
      </c>
      <c r="F1247" t="s">
        <v>28</v>
      </c>
      <c r="G1247" t="s">
        <v>158</v>
      </c>
      <c r="H1247" t="s">
        <v>1394</v>
      </c>
      <c r="I1247" s="2">
        <v>24.4</v>
      </c>
      <c r="J1247" s="3">
        <v>2</v>
      </c>
      <c r="K1247" s="2">
        <v>7.93</v>
      </c>
    </row>
    <row r="1248" spans="1:11" x14ac:dyDescent="0.35">
      <c r="A1248" s="1">
        <v>42315</v>
      </c>
      <c r="B1248" s="3">
        <f t="shared" si="38"/>
        <v>2015</v>
      </c>
      <c r="C1248" s="3">
        <f t="shared" si="39"/>
        <v>11</v>
      </c>
      <c r="D1248" t="s">
        <v>182</v>
      </c>
      <c r="E1248" t="s">
        <v>1395</v>
      </c>
      <c r="F1248" t="s">
        <v>18</v>
      </c>
      <c r="G1248" t="s">
        <v>19</v>
      </c>
      <c r="H1248" t="s">
        <v>1390</v>
      </c>
      <c r="I1248" s="2">
        <v>715.2</v>
      </c>
      <c r="J1248" s="3">
        <v>3</v>
      </c>
      <c r="K1248" s="2">
        <v>178.8</v>
      </c>
    </row>
    <row r="1249" spans="1:11" x14ac:dyDescent="0.35">
      <c r="A1249" s="1">
        <v>42315</v>
      </c>
      <c r="B1249" s="3">
        <f t="shared" si="38"/>
        <v>2015</v>
      </c>
      <c r="C1249" s="3">
        <f t="shared" si="39"/>
        <v>11</v>
      </c>
      <c r="D1249" t="s">
        <v>1396</v>
      </c>
      <c r="E1249" t="s">
        <v>77</v>
      </c>
      <c r="F1249" t="s">
        <v>28</v>
      </c>
      <c r="G1249" t="s">
        <v>48</v>
      </c>
      <c r="H1249" t="s">
        <v>1397</v>
      </c>
      <c r="I1249" s="2">
        <v>16.149999999999999</v>
      </c>
      <c r="J1249" s="3">
        <v>9</v>
      </c>
      <c r="K1249" s="2">
        <v>-12.92</v>
      </c>
    </row>
    <row r="1250" spans="1:11" x14ac:dyDescent="0.35">
      <c r="A1250" s="1">
        <v>42315</v>
      </c>
      <c r="B1250" s="3">
        <f t="shared" si="38"/>
        <v>2015</v>
      </c>
      <c r="C1250" s="3">
        <f t="shared" si="39"/>
        <v>11</v>
      </c>
      <c r="D1250" t="s">
        <v>1396</v>
      </c>
      <c r="E1250" t="s">
        <v>77</v>
      </c>
      <c r="F1250" t="s">
        <v>28</v>
      </c>
      <c r="G1250" t="s">
        <v>48</v>
      </c>
      <c r="H1250" t="s">
        <v>207</v>
      </c>
      <c r="I1250" s="2">
        <v>1345.49</v>
      </c>
      <c r="J1250" s="3">
        <v>5</v>
      </c>
      <c r="K1250" s="2">
        <v>-1031.54</v>
      </c>
    </row>
    <row r="1251" spans="1:11" x14ac:dyDescent="0.35">
      <c r="A1251" s="1">
        <v>42315</v>
      </c>
      <c r="B1251" s="3">
        <f t="shared" si="38"/>
        <v>2015</v>
      </c>
      <c r="C1251" s="3">
        <f t="shared" si="39"/>
        <v>11</v>
      </c>
      <c r="D1251" t="s">
        <v>1398</v>
      </c>
      <c r="E1251" t="s">
        <v>32</v>
      </c>
      <c r="F1251" t="s">
        <v>28</v>
      </c>
      <c r="G1251" t="s">
        <v>29</v>
      </c>
      <c r="H1251" t="s">
        <v>1399</v>
      </c>
      <c r="I1251" s="2">
        <v>76.64</v>
      </c>
      <c r="J1251" s="3">
        <v>2</v>
      </c>
      <c r="K1251" s="2">
        <v>26.82</v>
      </c>
    </row>
    <row r="1252" spans="1:11" x14ac:dyDescent="0.35">
      <c r="A1252" s="1">
        <v>42315</v>
      </c>
      <c r="B1252" s="3">
        <f t="shared" si="38"/>
        <v>2015</v>
      </c>
      <c r="C1252" s="3">
        <f t="shared" si="39"/>
        <v>11</v>
      </c>
      <c r="D1252" t="s">
        <v>1400</v>
      </c>
      <c r="E1252" t="s">
        <v>32</v>
      </c>
      <c r="F1252" t="s">
        <v>28</v>
      </c>
      <c r="G1252" t="s">
        <v>64</v>
      </c>
      <c r="H1252" t="s">
        <v>1075</v>
      </c>
      <c r="I1252" s="2">
        <v>23.64</v>
      </c>
      <c r="J1252" s="3">
        <v>3</v>
      </c>
      <c r="K1252" s="2">
        <v>5.32</v>
      </c>
    </row>
    <row r="1253" spans="1:11" x14ac:dyDescent="0.35">
      <c r="A1253" s="1">
        <v>42315</v>
      </c>
      <c r="B1253" s="3">
        <f t="shared" si="38"/>
        <v>2015</v>
      </c>
      <c r="C1253" s="3">
        <f t="shared" si="39"/>
        <v>11</v>
      </c>
      <c r="D1253" t="s">
        <v>1400</v>
      </c>
      <c r="E1253" t="s">
        <v>32</v>
      </c>
      <c r="F1253" t="s">
        <v>28</v>
      </c>
      <c r="G1253" t="s">
        <v>38</v>
      </c>
      <c r="H1253" t="s">
        <v>1401</v>
      </c>
      <c r="I1253" s="2">
        <v>84.78</v>
      </c>
      <c r="J1253" s="3">
        <v>2</v>
      </c>
      <c r="K1253" s="2">
        <v>-16.96</v>
      </c>
    </row>
    <row r="1254" spans="1:11" x14ac:dyDescent="0.35">
      <c r="A1254" s="1">
        <v>42315</v>
      </c>
      <c r="B1254" s="3">
        <f t="shared" si="38"/>
        <v>2015</v>
      </c>
      <c r="C1254" s="3">
        <f t="shared" si="39"/>
        <v>11</v>
      </c>
      <c r="D1254" t="s">
        <v>1400</v>
      </c>
      <c r="E1254" t="s">
        <v>32</v>
      </c>
      <c r="F1254" t="s">
        <v>18</v>
      </c>
      <c r="G1254" t="s">
        <v>36</v>
      </c>
      <c r="H1254" t="s">
        <v>1402</v>
      </c>
      <c r="I1254" s="2">
        <v>64.959999999999994</v>
      </c>
      <c r="J1254" s="3">
        <v>5</v>
      </c>
      <c r="K1254" s="2">
        <v>-84.45</v>
      </c>
    </row>
    <row r="1255" spans="1:11" x14ac:dyDescent="0.35">
      <c r="A1255" s="1">
        <v>42315</v>
      </c>
      <c r="B1255" s="3">
        <f t="shared" si="38"/>
        <v>2015</v>
      </c>
      <c r="C1255" s="3">
        <f t="shared" si="39"/>
        <v>11</v>
      </c>
      <c r="D1255" t="s">
        <v>1400</v>
      </c>
      <c r="E1255" t="s">
        <v>32</v>
      </c>
      <c r="F1255" t="s">
        <v>28</v>
      </c>
      <c r="G1255" t="s">
        <v>48</v>
      </c>
      <c r="H1255" t="s">
        <v>637</v>
      </c>
      <c r="I1255" s="2">
        <v>32.06</v>
      </c>
      <c r="J1255" s="3">
        <v>10</v>
      </c>
      <c r="K1255" s="2">
        <v>-51.3</v>
      </c>
    </row>
    <row r="1256" spans="1:11" x14ac:dyDescent="0.35">
      <c r="A1256" s="1">
        <v>42315</v>
      </c>
      <c r="B1256" s="3">
        <f t="shared" si="38"/>
        <v>2015</v>
      </c>
      <c r="C1256" s="3">
        <f t="shared" si="39"/>
        <v>11</v>
      </c>
      <c r="D1256" t="s">
        <v>1400</v>
      </c>
      <c r="E1256" t="s">
        <v>32</v>
      </c>
      <c r="F1256" t="s">
        <v>28</v>
      </c>
      <c r="G1256" t="s">
        <v>38</v>
      </c>
      <c r="H1256" t="s">
        <v>1403</v>
      </c>
      <c r="I1256" s="2">
        <v>177.65</v>
      </c>
      <c r="J1256" s="3">
        <v>2</v>
      </c>
      <c r="K1256" s="2">
        <v>-28.87</v>
      </c>
    </row>
    <row r="1257" spans="1:11" x14ac:dyDescent="0.35">
      <c r="A1257" s="1">
        <v>42315</v>
      </c>
      <c r="B1257" s="3">
        <f t="shared" si="38"/>
        <v>2015</v>
      </c>
      <c r="C1257" s="3">
        <f t="shared" si="39"/>
        <v>11</v>
      </c>
      <c r="D1257" t="s">
        <v>1400</v>
      </c>
      <c r="E1257" t="s">
        <v>32</v>
      </c>
      <c r="F1257" t="s">
        <v>13</v>
      </c>
      <c r="G1257" t="s">
        <v>204</v>
      </c>
      <c r="H1257" t="s">
        <v>1404</v>
      </c>
      <c r="I1257" s="2">
        <v>287.91000000000003</v>
      </c>
      <c r="J1257" s="3">
        <v>3</v>
      </c>
      <c r="K1257" s="2">
        <v>33.590000000000003</v>
      </c>
    </row>
    <row r="1258" spans="1:11" x14ac:dyDescent="0.35">
      <c r="A1258" s="1">
        <v>42345</v>
      </c>
      <c r="B1258" s="3">
        <f t="shared" si="38"/>
        <v>2015</v>
      </c>
      <c r="C1258" s="3">
        <f t="shared" si="39"/>
        <v>12</v>
      </c>
      <c r="D1258" t="s">
        <v>1128</v>
      </c>
      <c r="E1258" t="s">
        <v>118</v>
      </c>
      <c r="F1258" t="s">
        <v>28</v>
      </c>
      <c r="G1258" t="s">
        <v>58</v>
      </c>
      <c r="H1258" t="s">
        <v>393</v>
      </c>
      <c r="I1258" s="2">
        <v>152.94</v>
      </c>
      <c r="J1258" s="3">
        <v>3</v>
      </c>
      <c r="K1258" s="2">
        <v>41.29</v>
      </c>
    </row>
    <row r="1259" spans="1:11" x14ac:dyDescent="0.35">
      <c r="A1259" s="1">
        <v>42345</v>
      </c>
      <c r="B1259" s="3">
        <f t="shared" si="38"/>
        <v>2015</v>
      </c>
      <c r="C1259" s="3">
        <f t="shared" si="39"/>
        <v>12</v>
      </c>
      <c r="D1259" t="s">
        <v>1128</v>
      </c>
      <c r="E1259" t="s">
        <v>118</v>
      </c>
      <c r="F1259" t="s">
        <v>18</v>
      </c>
      <c r="G1259" t="s">
        <v>19</v>
      </c>
      <c r="H1259" t="s">
        <v>679</v>
      </c>
      <c r="I1259" s="2">
        <v>283.92</v>
      </c>
      <c r="J1259" s="3">
        <v>4</v>
      </c>
      <c r="K1259" s="2">
        <v>70.98</v>
      </c>
    </row>
    <row r="1260" spans="1:11" x14ac:dyDescent="0.35">
      <c r="A1260" s="1">
        <v>42345</v>
      </c>
      <c r="B1260" s="3">
        <f t="shared" si="38"/>
        <v>2015</v>
      </c>
      <c r="C1260" s="3">
        <f t="shared" si="39"/>
        <v>12</v>
      </c>
      <c r="D1260" t="s">
        <v>1079</v>
      </c>
      <c r="E1260" t="s">
        <v>17</v>
      </c>
      <c r="F1260" t="s">
        <v>28</v>
      </c>
      <c r="G1260" t="s">
        <v>33</v>
      </c>
      <c r="H1260" t="s">
        <v>1405</v>
      </c>
      <c r="I1260" s="2">
        <v>3.96</v>
      </c>
      <c r="J1260" s="3">
        <v>2</v>
      </c>
      <c r="K1260" s="2">
        <v>0</v>
      </c>
    </row>
    <row r="1261" spans="1:11" x14ac:dyDescent="0.35">
      <c r="A1261" s="1">
        <v>42345</v>
      </c>
      <c r="B1261" s="3">
        <f t="shared" si="38"/>
        <v>2015</v>
      </c>
      <c r="C1261" s="3">
        <f t="shared" si="39"/>
        <v>12</v>
      </c>
      <c r="D1261" t="s">
        <v>1079</v>
      </c>
      <c r="E1261" t="s">
        <v>17</v>
      </c>
      <c r="F1261" t="s">
        <v>28</v>
      </c>
      <c r="G1261" t="s">
        <v>46</v>
      </c>
      <c r="H1261" t="s">
        <v>253</v>
      </c>
      <c r="I1261" s="2">
        <v>2.61</v>
      </c>
      <c r="J1261" s="3">
        <v>1</v>
      </c>
      <c r="K1261" s="2">
        <v>1.2</v>
      </c>
    </row>
    <row r="1262" spans="1:11" x14ac:dyDescent="0.35">
      <c r="A1262" s="1">
        <v>42345</v>
      </c>
      <c r="B1262" s="3">
        <f t="shared" si="38"/>
        <v>2015</v>
      </c>
      <c r="C1262" s="3">
        <f t="shared" si="39"/>
        <v>12</v>
      </c>
      <c r="D1262" t="s">
        <v>747</v>
      </c>
      <c r="E1262" t="s">
        <v>45</v>
      </c>
      <c r="F1262" t="s">
        <v>18</v>
      </c>
      <c r="G1262" t="s">
        <v>36</v>
      </c>
      <c r="H1262" t="s">
        <v>243</v>
      </c>
      <c r="I1262" s="2">
        <v>79.92</v>
      </c>
      <c r="J1262" s="3">
        <v>4</v>
      </c>
      <c r="K1262" s="2">
        <v>28.77</v>
      </c>
    </row>
    <row r="1263" spans="1:11" x14ac:dyDescent="0.35">
      <c r="A1263" s="1">
        <v>42345</v>
      </c>
      <c r="B1263" s="3">
        <f t="shared" si="38"/>
        <v>2015</v>
      </c>
      <c r="C1263" s="3">
        <f t="shared" si="39"/>
        <v>12</v>
      </c>
      <c r="D1263" t="s">
        <v>1406</v>
      </c>
      <c r="E1263" t="s">
        <v>22</v>
      </c>
      <c r="F1263" t="s">
        <v>28</v>
      </c>
      <c r="G1263" t="s">
        <v>48</v>
      </c>
      <c r="H1263" t="s">
        <v>1407</v>
      </c>
      <c r="I1263" s="2">
        <v>21.36</v>
      </c>
      <c r="J1263" s="3">
        <v>5</v>
      </c>
      <c r="K1263" s="2">
        <v>7.21</v>
      </c>
    </row>
    <row r="1264" spans="1:11" x14ac:dyDescent="0.35">
      <c r="A1264" s="1">
        <v>42345</v>
      </c>
      <c r="B1264" s="3">
        <f t="shared" si="38"/>
        <v>2015</v>
      </c>
      <c r="C1264" s="3">
        <f t="shared" si="39"/>
        <v>12</v>
      </c>
      <c r="D1264" t="s">
        <v>1406</v>
      </c>
      <c r="E1264" t="s">
        <v>22</v>
      </c>
      <c r="F1264" t="s">
        <v>28</v>
      </c>
      <c r="G1264" t="s">
        <v>48</v>
      </c>
      <c r="H1264" t="s">
        <v>1408</v>
      </c>
      <c r="I1264" s="2">
        <v>6.69</v>
      </c>
      <c r="J1264" s="3">
        <v>2</v>
      </c>
      <c r="K1264" s="2">
        <v>2.34</v>
      </c>
    </row>
    <row r="1265" spans="1:11" x14ac:dyDescent="0.35">
      <c r="A1265" s="1">
        <v>42345</v>
      </c>
      <c r="B1265" s="3">
        <f t="shared" si="38"/>
        <v>2015</v>
      </c>
      <c r="C1265" s="3">
        <f t="shared" si="39"/>
        <v>12</v>
      </c>
      <c r="D1265" t="s">
        <v>1406</v>
      </c>
      <c r="E1265" t="s">
        <v>22</v>
      </c>
      <c r="F1265" t="s">
        <v>13</v>
      </c>
      <c r="G1265" t="s">
        <v>23</v>
      </c>
      <c r="H1265" t="s">
        <v>1409</v>
      </c>
      <c r="I1265" s="2">
        <v>773.94</v>
      </c>
      <c r="J1265" s="3">
        <v>6</v>
      </c>
      <c r="K1265" s="2">
        <v>224.44</v>
      </c>
    </row>
    <row r="1266" spans="1:11" x14ac:dyDescent="0.35">
      <c r="A1266" s="1">
        <v>42345</v>
      </c>
      <c r="B1266" s="3">
        <f t="shared" si="38"/>
        <v>2015</v>
      </c>
      <c r="C1266" s="3">
        <f t="shared" si="39"/>
        <v>12</v>
      </c>
      <c r="D1266" t="s">
        <v>1410</v>
      </c>
      <c r="E1266" t="s">
        <v>45</v>
      </c>
      <c r="F1266" t="s">
        <v>28</v>
      </c>
      <c r="G1266" t="s">
        <v>29</v>
      </c>
      <c r="H1266" t="s">
        <v>1411</v>
      </c>
      <c r="I1266" s="2">
        <v>12.96</v>
      </c>
      <c r="J1266" s="3">
        <v>2</v>
      </c>
      <c r="K1266" s="2">
        <v>6.22</v>
      </c>
    </row>
    <row r="1267" spans="1:11" x14ac:dyDescent="0.35">
      <c r="A1267" s="1">
        <v>42043</v>
      </c>
      <c r="B1267" s="3">
        <f t="shared" si="38"/>
        <v>2015</v>
      </c>
      <c r="C1267" s="3">
        <f t="shared" si="39"/>
        <v>2</v>
      </c>
      <c r="D1267" t="s">
        <v>706</v>
      </c>
      <c r="E1267" t="s">
        <v>131</v>
      </c>
      <c r="F1267" t="s">
        <v>13</v>
      </c>
      <c r="G1267" t="s">
        <v>23</v>
      </c>
      <c r="H1267" t="s">
        <v>704</v>
      </c>
      <c r="I1267" s="2">
        <v>107.98</v>
      </c>
      <c r="J1267" s="3">
        <v>3</v>
      </c>
      <c r="K1267" s="2">
        <v>-27</v>
      </c>
    </row>
    <row r="1268" spans="1:11" x14ac:dyDescent="0.35">
      <c r="A1268" s="1">
        <v>42043</v>
      </c>
      <c r="B1268" s="3">
        <f t="shared" si="38"/>
        <v>2015</v>
      </c>
      <c r="C1268" s="3">
        <f t="shared" si="39"/>
        <v>2</v>
      </c>
      <c r="D1268" t="s">
        <v>755</v>
      </c>
      <c r="E1268" t="s">
        <v>1008</v>
      </c>
      <c r="F1268" t="s">
        <v>28</v>
      </c>
      <c r="G1268" t="s">
        <v>29</v>
      </c>
      <c r="H1268" t="s">
        <v>1412</v>
      </c>
      <c r="I1268" s="2">
        <v>9.5399999999999991</v>
      </c>
      <c r="J1268" s="3">
        <v>2</v>
      </c>
      <c r="K1268" s="2">
        <v>4.29</v>
      </c>
    </row>
    <row r="1269" spans="1:11" x14ac:dyDescent="0.35">
      <c r="A1269" s="1">
        <v>42043</v>
      </c>
      <c r="B1269" s="3">
        <f t="shared" si="38"/>
        <v>2015</v>
      </c>
      <c r="C1269" s="3">
        <f t="shared" si="39"/>
        <v>2</v>
      </c>
      <c r="D1269" t="s">
        <v>755</v>
      </c>
      <c r="E1269" t="s">
        <v>1008</v>
      </c>
      <c r="F1269" t="s">
        <v>28</v>
      </c>
      <c r="G1269" t="s">
        <v>33</v>
      </c>
      <c r="H1269" t="s">
        <v>1413</v>
      </c>
      <c r="I1269" s="2">
        <v>5.81</v>
      </c>
      <c r="J1269" s="3">
        <v>1</v>
      </c>
      <c r="K1269" s="2">
        <v>1.8</v>
      </c>
    </row>
    <row r="1270" spans="1:11" x14ac:dyDescent="0.35">
      <c r="A1270" s="1">
        <v>42043</v>
      </c>
      <c r="B1270" s="3">
        <f t="shared" si="38"/>
        <v>2015</v>
      </c>
      <c r="C1270" s="3">
        <f t="shared" si="39"/>
        <v>2</v>
      </c>
      <c r="D1270" t="s">
        <v>755</v>
      </c>
      <c r="E1270" t="s">
        <v>1008</v>
      </c>
      <c r="F1270" t="s">
        <v>28</v>
      </c>
      <c r="G1270" t="s">
        <v>64</v>
      </c>
      <c r="H1270" t="s">
        <v>1414</v>
      </c>
      <c r="I1270" s="2">
        <v>5.76</v>
      </c>
      <c r="J1270" s="3">
        <v>2</v>
      </c>
      <c r="K1270" s="2">
        <v>1.73</v>
      </c>
    </row>
    <row r="1271" spans="1:11" x14ac:dyDescent="0.35">
      <c r="A1271" s="1">
        <v>42071</v>
      </c>
      <c r="B1271" s="3">
        <f t="shared" si="38"/>
        <v>2015</v>
      </c>
      <c r="C1271" s="3">
        <f t="shared" si="39"/>
        <v>3</v>
      </c>
      <c r="D1271" t="s">
        <v>1415</v>
      </c>
      <c r="E1271" t="s">
        <v>12</v>
      </c>
      <c r="F1271" t="s">
        <v>18</v>
      </c>
      <c r="G1271" t="s">
        <v>237</v>
      </c>
      <c r="H1271" t="s">
        <v>1416</v>
      </c>
      <c r="I1271" s="2">
        <v>512.94000000000005</v>
      </c>
      <c r="J1271" s="3">
        <v>3</v>
      </c>
      <c r="K1271" s="2">
        <v>97.46</v>
      </c>
    </row>
    <row r="1272" spans="1:11" x14ac:dyDescent="0.35">
      <c r="A1272" s="1">
        <v>42071</v>
      </c>
      <c r="B1272" s="3">
        <f t="shared" si="38"/>
        <v>2015</v>
      </c>
      <c r="C1272" s="3">
        <f t="shared" si="39"/>
        <v>3</v>
      </c>
      <c r="D1272" t="s">
        <v>1415</v>
      </c>
      <c r="E1272" t="s">
        <v>12</v>
      </c>
      <c r="F1272" t="s">
        <v>18</v>
      </c>
      <c r="G1272" t="s">
        <v>19</v>
      </c>
      <c r="H1272" t="s">
        <v>1417</v>
      </c>
      <c r="I1272" s="2">
        <v>860.93</v>
      </c>
      <c r="J1272" s="3">
        <v>7</v>
      </c>
      <c r="K1272" s="2">
        <v>189.4</v>
      </c>
    </row>
    <row r="1273" spans="1:11" x14ac:dyDescent="0.35">
      <c r="A1273" s="1">
        <v>42071</v>
      </c>
      <c r="B1273" s="3">
        <f t="shared" si="38"/>
        <v>2015</v>
      </c>
      <c r="C1273" s="3">
        <f t="shared" si="39"/>
        <v>3</v>
      </c>
      <c r="D1273" t="s">
        <v>1415</v>
      </c>
      <c r="E1273" t="s">
        <v>12</v>
      </c>
      <c r="F1273" t="s">
        <v>13</v>
      </c>
      <c r="G1273" t="s">
        <v>23</v>
      </c>
      <c r="H1273" t="s">
        <v>1418</v>
      </c>
      <c r="I1273" s="2">
        <v>769.95</v>
      </c>
      <c r="J1273" s="3">
        <v>5</v>
      </c>
      <c r="K1273" s="2">
        <v>223.29</v>
      </c>
    </row>
    <row r="1274" spans="1:11" x14ac:dyDescent="0.35">
      <c r="A1274" s="1">
        <v>42071</v>
      </c>
      <c r="B1274" s="3">
        <f t="shared" si="38"/>
        <v>2015</v>
      </c>
      <c r="C1274" s="3">
        <f t="shared" si="39"/>
        <v>3</v>
      </c>
      <c r="D1274" t="s">
        <v>1415</v>
      </c>
      <c r="E1274" t="s">
        <v>12</v>
      </c>
      <c r="F1274" t="s">
        <v>28</v>
      </c>
      <c r="G1274" t="s">
        <v>64</v>
      </c>
      <c r="H1274" t="s">
        <v>1419</v>
      </c>
      <c r="I1274" s="2">
        <v>14.98</v>
      </c>
      <c r="J1274" s="3">
        <v>1</v>
      </c>
      <c r="K1274" s="2">
        <v>4.49</v>
      </c>
    </row>
    <row r="1275" spans="1:11" x14ac:dyDescent="0.35">
      <c r="A1275" s="1">
        <v>42071</v>
      </c>
      <c r="B1275" s="3">
        <f t="shared" si="38"/>
        <v>2015</v>
      </c>
      <c r="C1275" s="3">
        <f t="shared" si="39"/>
        <v>3</v>
      </c>
      <c r="D1275" t="s">
        <v>1415</v>
      </c>
      <c r="E1275" t="s">
        <v>12</v>
      </c>
      <c r="F1275" t="s">
        <v>18</v>
      </c>
      <c r="G1275" t="s">
        <v>36</v>
      </c>
      <c r="H1275" t="s">
        <v>1062</v>
      </c>
      <c r="I1275" s="2">
        <v>373.08</v>
      </c>
      <c r="J1275" s="3">
        <v>6</v>
      </c>
      <c r="K1275" s="2">
        <v>82.08</v>
      </c>
    </row>
    <row r="1276" spans="1:11" x14ac:dyDescent="0.35">
      <c r="A1276" s="1">
        <v>42071</v>
      </c>
      <c r="B1276" s="3">
        <f t="shared" si="38"/>
        <v>2015</v>
      </c>
      <c r="C1276" s="3">
        <f t="shared" si="39"/>
        <v>3</v>
      </c>
      <c r="D1276" t="s">
        <v>1420</v>
      </c>
      <c r="E1276" t="s">
        <v>22</v>
      </c>
      <c r="F1276" t="s">
        <v>28</v>
      </c>
      <c r="G1276" t="s">
        <v>29</v>
      </c>
      <c r="H1276" t="s">
        <v>1421</v>
      </c>
      <c r="I1276" s="2">
        <v>19.440000000000001</v>
      </c>
      <c r="J1276" s="3">
        <v>3</v>
      </c>
      <c r="K1276" s="2">
        <v>9.33</v>
      </c>
    </row>
    <row r="1277" spans="1:11" x14ac:dyDescent="0.35">
      <c r="A1277" s="1">
        <v>42071</v>
      </c>
      <c r="B1277" s="3">
        <f t="shared" si="38"/>
        <v>2015</v>
      </c>
      <c r="C1277" s="3">
        <f t="shared" si="39"/>
        <v>3</v>
      </c>
      <c r="D1277" t="s">
        <v>856</v>
      </c>
      <c r="E1277" t="s">
        <v>103</v>
      </c>
      <c r="F1277" t="s">
        <v>28</v>
      </c>
      <c r="G1277" t="s">
        <v>64</v>
      </c>
      <c r="H1277" t="s">
        <v>523</v>
      </c>
      <c r="I1277" s="2">
        <v>3.41</v>
      </c>
      <c r="J1277" s="3">
        <v>1</v>
      </c>
      <c r="K1277" s="2">
        <v>0.89</v>
      </c>
    </row>
    <row r="1278" spans="1:11" x14ac:dyDescent="0.35">
      <c r="A1278" s="1">
        <v>42071</v>
      </c>
      <c r="B1278" s="3">
        <f t="shared" si="38"/>
        <v>2015</v>
      </c>
      <c r="C1278" s="3">
        <f t="shared" si="39"/>
        <v>3</v>
      </c>
      <c r="D1278" t="s">
        <v>767</v>
      </c>
      <c r="E1278" t="s">
        <v>26</v>
      </c>
      <c r="F1278" t="s">
        <v>28</v>
      </c>
      <c r="G1278" t="s">
        <v>48</v>
      </c>
      <c r="H1278" t="s">
        <v>1235</v>
      </c>
      <c r="I1278" s="2">
        <v>8.57</v>
      </c>
      <c r="J1278" s="3">
        <v>3</v>
      </c>
      <c r="K1278" s="2">
        <v>-14.57</v>
      </c>
    </row>
    <row r="1279" spans="1:11" x14ac:dyDescent="0.35">
      <c r="A1279" s="1">
        <v>42132</v>
      </c>
      <c r="B1279" s="3">
        <f t="shared" si="38"/>
        <v>2015</v>
      </c>
      <c r="C1279" s="3">
        <f t="shared" si="39"/>
        <v>5</v>
      </c>
      <c r="D1279" t="s">
        <v>1097</v>
      </c>
      <c r="E1279" t="s">
        <v>131</v>
      </c>
      <c r="F1279" t="s">
        <v>18</v>
      </c>
      <c r="G1279" t="s">
        <v>36</v>
      </c>
      <c r="H1279" t="s">
        <v>375</v>
      </c>
      <c r="I1279" s="2">
        <v>8.35</v>
      </c>
      <c r="J1279" s="3">
        <v>6</v>
      </c>
      <c r="K1279" s="2">
        <v>1.25</v>
      </c>
    </row>
    <row r="1280" spans="1:11" x14ac:dyDescent="0.35">
      <c r="A1280" s="1">
        <v>42132</v>
      </c>
      <c r="B1280" s="3">
        <f t="shared" si="38"/>
        <v>2015</v>
      </c>
      <c r="C1280" s="3">
        <f t="shared" si="39"/>
        <v>5</v>
      </c>
      <c r="D1280" t="s">
        <v>1158</v>
      </c>
      <c r="E1280" t="s">
        <v>107</v>
      </c>
      <c r="F1280" t="s">
        <v>28</v>
      </c>
      <c r="G1280" t="s">
        <v>64</v>
      </c>
      <c r="H1280" t="s">
        <v>435</v>
      </c>
      <c r="I1280" s="2">
        <v>5.25</v>
      </c>
      <c r="J1280" s="3">
        <v>2</v>
      </c>
      <c r="K1280" s="2">
        <v>0.59</v>
      </c>
    </row>
    <row r="1281" spans="1:11" x14ac:dyDescent="0.35">
      <c r="A1281" s="1">
        <v>42132</v>
      </c>
      <c r="B1281" s="3">
        <f t="shared" si="38"/>
        <v>2015</v>
      </c>
      <c r="C1281" s="3">
        <f t="shared" si="39"/>
        <v>5</v>
      </c>
      <c r="D1281" t="s">
        <v>124</v>
      </c>
      <c r="E1281" t="s">
        <v>55</v>
      </c>
      <c r="F1281" t="s">
        <v>28</v>
      </c>
      <c r="G1281" t="s">
        <v>48</v>
      </c>
      <c r="H1281" t="s">
        <v>498</v>
      </c>
      <c r="I1281" s="2">
        <v>43.98</v>
      </c>
      <c r="J1281" s="3">
        <v>2</v>
      </c>
      <c r="K1281" s="2">
        <v>21.99</v>
      </c>
    </row>
    <row r="1282" spans="1:11" x14ac:dyDescent="0.35">
      <c r="A1282" s="1">
        <v>42132</v>
      </c>
      <c r="B1282" s="3">
        <f t="shared" ref="B1282:B1345" si="40">YEAR(A1282)</f>
        <v>2015</v>
      </c>
      <c r="C1282" s="3">
        <f t="shared" ref="C1282:C1345" si="41">MONTH(A1282)</f>
        <v>5</v>
      </c>
      <c r="D1282" t="s">
        <v>124</v>
      </c>
      <c r="E1282" t="s">
        <v>55</v>
      </c>
      <c r="F1282" t="s">
        <v>13</v>
      </c>
      <c r="G1282" t="s">
        <v>23</v>
      </c>
      <c r="H1282" t="s">
        <v>1422</v>
      </c>
      <c r="I1282" s="2">
        <v>377.97</v>
      </c>
      <c r="J1282" s="3">
        <v>3</v>
      </c>
      <c r="K1282" s="2">
        <v>105.83</v>
      </c>
    </row>
    <row r="1283" spans="1:11" x14ac:dyDescent="0.35">
      <c r="A1283" s="1">
        <v>42132</v>
      </c>
      <c r="B1283" s="3">
        <f t="shared" si="40"/>
        <v>2015</v>
      </c>
      <c r="C1283" s="3">
        <f t="shared" si="41"/>
        <v>5</v>
      </c>
      <c r="D1283" t="s">
        <v>124</v>
      </c>
      <c r="E1283" t="s">
        <v>55</v>
      </c>
      <c r="F1283" t="s">
        <v>18</v>
      </c>
      <c r="G1283" t="s">
        <v>36</v>
      </c>
      <c r="H1283" t="s">
        <v>908</v>
      </c>
      <c r="I1283" s="2">
        <v>123.96</v>
      </c>
      <c r="J1283" s="3">
        <v>3</v>
      </c>
      <c r="K1283" s="2">
        <v>11.16</v>
      </c>
    </row>
    <row r="1284" spans="1:11" x14ac:dyDescent="0.35">
      <c r="A1284" s="1">
        <v>42132</v>
      </c>
      <c r="B1284" s="3">
        <f t="shared" si="40"/>
        <v>2015</v>
      </c>
      <c r="C1284" s="3">
        <f t="shared" si="41"/>
        <v>5</v>
      </c>
      <c r="D1284" t="s">
        <v>1205</v>
      </c>
      <c r="E1284" t="s">
        <v>22</v>
      </c>
      <c r="F1284" t="s">
        <v>28</v>
      </c>
      <c r="G1284" t="s">
        <v>29</v>
      </c>
      <c r="H1284" t="s">
        <v>814</v>
      </c>
      <c r="I1284" s="2">
        <v>37.94</v>
      </c>
      <c r="J1284" s="3">
        <v>2</v>
      </c>
      <c r="K1284" s="2">
        <v>18.21</v>
      </c>
    </row>
    <row r="1285" spans="1:11" x14ac:dyDescent="0.35">
      <c r="A1285" s="1">
        <v>42132</v>
      </c>
      <c r="B1285" s="3">
        <f t="shared" si="40"/>
        <v>2015</v>
      </c>
      <c r="C1285" s="3">
        <f t="shared" si="41"/>
        <v>5</v>
      </c>
      <c r="D1285" t="s">
        <v>1423</v>
      </c>
      <c r="E1285" t="s">
        <v>22</v>
      </c>
      <c r="F1285" t="s">
        <v>18</v>
      </c>
      <c r="G1285" t="s">
        <v>36</v>
      </c>
      <c r="H1285" t="s">
        <v>37</v>
      </c>
      <c r="I1285" s="2">
        <v>79.44</v>
      </c>
      <c r="J1285" s="3">
        <v>3</v>
      </c>
      <c r="K1285" s="2">
        <v>30.19</v>
      </c>
    </row>
    <row r="1286" spans="1:11" x14ac:dyDescent="0.35">
      <c r="A1286" s="1">
        <v>42132</v>
      </c>
      <c r="B1286" s="3">
        <f t="shared" si="40"/>
        <v>2015</v>
      </c>
      <c r="C1286" s="3">
        <f t="shared" si="41"/>
        <v>5</v>
      </c>
      <c r="D1286" t="s">
        <v>1423</v>
      </c>
      <c r="E1286" t="s">
        <v>22</v>
      </c>
      <c r="F1286" t="s">
        <v>28</v>
      </c>
      <c r="G1286" t="s">
        <v>215</v>
      </c>
      <c r="H1286" t="s">
        <v>319</v>
      </c>
      <c r="I1286" s="2">
        <v>357.93</v>
      </c>
      <c r="J1286" s="3">
        <v>3</v>
      </c>
      <c r="K1286" s="2">
        <v>7.16</v>
      </c>
    </row>
    <row r="1287" spans="1:11" x14ac:dyDescent="0.35">
      <c r="A1287" s="1">
        <v>42132</v>
      </c>
      <c r="B1287" s="3">
        <f t="shared" si="40"/>
        <v>2015</v>
      </c>
      <c r="C1287" s="3">
        <f t="shared" si="41"/>
        <v>5</v>
      </c>
      <c r="D1287" t="s">
        <v>1423</v>
      </c>
      <c r="E1287" t="s">
        <v>22</v>
      </c>
      <c r="F1287" t="s">
        <v>18</v>
      </c>
      <c r="G1287" t="s">
        <v>19</v>
      </c>
      <c r="H1287" t="s">
        <v>679</v>
      </c>
      <c r="I1287" s="2">
        <v>127.76</v>
      </c>
      <c r="J1287" s="3">
        <v>2</v>
      </c>
      <c r="K1287" s="2">
        <v>21.29</v>
      </c>
    </row>
    <row r="1288" spans="1:11" x14ac:dyDescent="0.35">
      <c r="A1288" s="1">
        <v>42132</v>
      </c>
      <c r="B1288" s="3">
        <f t="shared" si="40"/>
        <v>2015</v>
      </c>
      <c r="C1288" s="3">
        <f t="shared" si="41"/>
        <v>5</v>
      </c>
      <c r="D1288" t="s">
        <v>1423</v>
      </c>
      <c r="E1288" t="s">
        <v>22</v>
      </c>
      <c r="F1288" t="s">
        <v>13</v>
      </c>
      <c r="G1288" t="s">
        <v>143</v>
      </c>
      <c r="H1288" t="s">
        <v>688</v>
      </c>
      <c r="I1288" s="2">
        <v>2799.94</v>
      </c>
      <c r="J1288" s="3">
        <v>7</v>
      </c>
      <c r="K1288" s="2">
        <v>1014.98</v>
      </c>
    </row>
    <row r="1289" spans="1:11" x14ac:dyDescent="0.35">
      <c r="A1289" s="1">
        <v>42132</v>
      </c>
      <c r="B1289" s="3">
        <f t="shared" si="40"/>
        <v>2015</v>
      </c>
      <c r="C1289" s="3">
        <f t="shared" si="41"/>
        <v>5</v>
      </c>
      <c r="D1289" t="s">
        <v>1423</v>
      </c>
      <c r="E1289" t="s">
        <v>22</v>
      </c>
      <c r="F1289" t="s">
        <v>28</v>
      </c>
      <c r="G1289" t="s">
        <v>29</v>
      </c>
      <c r="H1289" t="s">
        <v>1424</v>
      </c>
      <c r="I1289" s="2">
        <v>19.440000000000001</v>
      </c>
      <c r="J1289" s="3">
        <v>3</v>
      </c>
      <c r="K1289" s="2">
        <v>9.33</v>
      </c>
    </row>
    <row r="1290" spans="1:11" x14ac:dyDescent="0.35">
      <c r="A1290" s="1">
        <v>42163</v>
      </c>
      <c r="B1290" s="3">
        <f t="shared" si="40"/>
        <v>2015</v>
      </c>
      <c r="C1290" s="3">
        <f t="shared" si="41"/>
        <v>6</v>
      </c>
      <c r="D1290" t="s">
        <v>1425</v>
      </c>
      <c r="E1290" t="s">
        <v>26</v>
      </c>
      <c r="F1290" t="s">
        <v>13</v>
      </c>
      <c r="G1290" t="s">
        <v>14</v>
      </c>
      <c r="H1290" t="s">
        <v>1426</v>
      </c>
      <c r="I1290" s="2">
        <v>2.38</v>
      </c>
      <c r="J1290" s="3">
        <v>3</v>
      </c>
      <c r="K1290" s="2">
        <v>0.74</v>
      </c>
    </row>
    <row r="1291" spans="1:11" x14ac:dyDescent="0.35">
      <c r="A1291" s="1">
        <v>42163</v>
      </c>
      <c r="B1291" s="3">
        <f t="shared" si="40"/>
        <v>2015</v>
      </c>
      <c r="C1291" s="3">
        <f t="shared" si="41"/>
        <v>6</v>
      </c>
      <c r="D1291" t="s">
        <v>1425</v>
      </c>
      <c r="E1291" t="s">
        <v>26</v>
      </c>
      <c r="F1291" t="s">
        <v>28</v>
      </c>
      <c r="G1291" t="s">
        <v>58</v>
      </c>
      <c r="H1291" t="s">
        <v>1219</v>
      </c>
      <c r="I1291" s="2">
        <v>143.13</v>
      </c>
      <c r="J1291" s="3">
        <v>2</v>
      </c>
      <c r="K1291" s="2">
        <v>-393.6</v>
      </c>
    </row>
    <row r="1292" spans="1:11" x14ac:dyDescent="0.35">
      <c r="A1292" s="1">
        <v>42163</v>
      </c>
      <c r="B1292" s="3">
        <f t="shared" si="40"/>
        <v>2015</v>
      </c>
      <c r="C1292" s="3">
        <f t="shared" si="41"/>
        <v>6</v>
      </c>
      <c r="D1292" t="s">
        <v>1215</v>
      </c>
      <c r="E1292" t="s">
        <v>77</v>
      </c>
      <c r="F1292" t="s">
        <v>28</v>
      </c>
      <c r="G1292" t="s">
        <v>29</v>
      </c>
      <c r="H1292" t="s">
        <v>1427</v>
      </c>
      <c r="I1292" s="2">
        <v>173.49</v>
      </c>
      <c r="J1292" s="3">
        <v>7</v>
      </c>
      <c r="K1292" s="2">
        <v>54.22</v>
      </c>
    </row>
    <row r="1293" spans="1:11" x14ac:dyDescent="0.35">
      <c r="A1293" s="1">
        <v>42163</v>
      </c>
      <c r="B1293" s="3">
        <f t="shared" si="40"/>
        <v>2015</v>
      </c>
      <c r="C1293" s="3">
        <f t="shared" si="41"/>
        <v>6</v>
      </c>
      <c r="D1293" t="s">
        <v>1215</v>
      </c>
      <c r="E1293" t="s">
        <v>77</v>
      </c>
      <c r="F1293" t="s">
        <v>28</v>
      </c>
      <c r="G1293" t="s">
        <v>38</v>
      </c>
      <c r="H1293" t="s">
        <v>1428</v>
      </c>
      <c r="I1293" s="2">
        <v>516.96</v>
      </c>
      <c r="J1293" s="3">
        <v>4</v>
      </c>
      <c r="K1293" s="2">
        <v>-6.46</v>
      </c>
    </row>
    <row r="1294" spans="1:11" x14ac:dyDescent="0.35">
      <c r="A1294" s="1">
        <v>42163</v>
      </c>
      <c r="B1294" s="3">
        <f t="shared" si="40"/>
        <v>2015</v>
      </c>
      <c r="C1294" s="3">
        <f t="shared" si="41"/>
        <v>6</v>
      </c>
      <c r="D1294" t="s">
        <v>1215</v>
      </c>
      <c r="E1294" t="s">
        <v>77</v>
      </c>
      <c r="F1294" t="s">
        <v>18</v>
      </c>
      <c r="G1294" t="s">
        <v>36</v>
      </c>
      <c r="H1294" t="s">
        <v>1429</v>
      </c>
      <c r="I1294" s="2">
        <v>173.21</v>
      </c>
      <c r="J1294" s="3">
        <v>7</v>
      </c>
      <c r="K1294" s="2">
        <v>45.47</v>
      </c>
    </row>
    <row r="1295" spans="1:11" x14ac:dyDescent="0.35">
      <c r="A1295" s="1">
        <v>42163</v>
      </c>
      <c r="B1295" s="3">
        <f t="shared" si="40"/>
        <v>2015</v>
      </c>
      <c r="C1295" s="3">
        <f t="shared" si="41"/>
        <v>6</v>
      </c>
      <c r="D1295" t="s">
        <v>1215</v>
      </c>
      <c r="E1295" t="s">
        <v>77</v>
      </c>
      <c r="F1295" t="s">
        <v>28</v>
      </c>
      <c r="G1295" t="s">
        <v>64</v>
      </c>
      <c r="H1295" t="s">
        <v>1430</v>
      </c>
      <c r="I1295" s="2">
        <v>4.45</v>
      </c>
      <c r="J1295" s="3">
        <v>2</v>
      </c>
      <c r="K1295" s="2">
        <v>0.33</v>
      </c>
    </row>
    <row r="1296" spans="1:11" x14ac:dyDescent="0.35">
      <c r="A1296" s="1">
        <v>42163</v>
      </c>
      <c r="B1296" s="3">
        <f t="shared" si="40"/>
        <v>2015</v>
      </c>
      <c r="C1296" s="3">
        <f t="shared" si="41"/>
        <v>6</v>
      </c>
      <c r="D1296" t="s">
        <v>1215</v>
      </c>
      <c r="E1296" t="s">
        <v>77</v>
      </c>
      <c r="F1296" t="s">
        <v>28</v>
      </c>
      <c r="G1296" t="s">
        <v>46</v>
      </c>
      <c r="H1296" t="s">
        <v>1192</v>
      </c>
      <c r="I1296" s="2">
        <v>9</v>
      </c>
      <c r="J1296" s="3">
        <v>3</v>
      </c>
      <c r="K1296" s="2">
        <v>3.15</v>
      </c>
    </row>
    <row r="1297" spans="1:11" x14ac:dyDescent="0.35">
      <c r="A1297" s="1">
        <v>42163</v>
      </c>
      <c r="B1297" s="3">
        <f t="shared" si="40"/>
        <v>2015</v>
      </c>
      <c r="C1297" s="3">
        <f t="shared" si="41"/>
        <v>6</v>
      </c>
      <c r="D1297" t="s">
        <v>1215</v>
      </c>
      <c r="E1297" t="s">
        <v>77</v>
      </c>
      <c r="F1297" t="s">
        <v>28</v>
      </c>
      <c r="G1297" t="s">
        <v>29</v>
      </c>
      <c r="H1297" t="s">
        <v>1431</v>
      </c>
      <c r="I1297" s="2">
        <v>42.24</v>
      </c>
      <c r="J1297" s="3">
        <v>10</v>
      </c>
      <c r="K1297" s="2">
        <v>13.2</v>
      </c>
    </row>
    <row r="1298" spans="1:11" x14ac:dyDescent="0.35">
      <c r="A1298" s="1">
        <v>42163</v>
      </c>
      <c r="B1298" s="3">
        <f t="shared" si="40"/>
        <v>2015</v>
      </c>
      <c r="C1298" s="3">
        <f t="shared" si="41"/>
        <v>6</v>
      </c>
      <c r="D1298" t="s">
        <v>1215</v>
      </c>
      <c r="E1298" t="s">
        <v>77</v>
      </c>
      <c r="F1298" t="s">
        <v>28</v>
      </c>
      <c r="G1298" t="s">
        <v>48</v>
      </c>
      <c r="H1298" t="s">
        <v>855</v>
      </c>
      <c r="I1298" s="2">
        <v>18.260000000000002</v>
      </c>
      <c r="J1298" s="3">
        <v>2</v>
      </c>
      <c r="K1298" s="2">
        <v>-13.39</v>
      </c>
    </row>
    <row r="1299" spans="1:11" x14ac:dyDescent="0.35">
      <c r="A1299" s="1">
        <v>42193</v>
      </c>
      <c r="B1299" s="3">
        <f t="shared" si="40"/>
        <v>2015</v>
      </c>
      <c r="C1299" s="3">
        <f t="shared" si="41"/>
        <v>7</v>
      </c>
      <c r="D1299" t="s">
        <v>1432</v>
      </c>
      <c r="E1299" t="s">
        <v>32</v>
      </c>
      <c r="F1299" t="s">
        <v>28</v>
      </c>
      <c r="G1299" t="s">
        <v>29</v>
      </c>
      <c r="H1299" t="s">
        <v>166</v>
      </c>
      <c r="I1299" s="2">
        <v>21.12</v>
      </c>
      <c r="J1299" s="3">
        <v>5</v>
      </c>
      <c r="K1299" s="2">
        <v>6.6</v>
      </c>
    </row>
    <row r="1300" spans="1:11" x14ac:dyDescent="0.35">
      <c r="A1300" s="1">
        <v>42224</v>
      </c>
      <c r="B1300" s="3">
        <f t="shared" si="40"/>
        <v>2015</v>
      </c>
      <c r="C1300" s="3">
        <f t="shared" si="41"/>
        <v>8</v>
      </c>
      <c r="D1300" t="s">
        <v>1316</v>
      </c>
      <c r="E1300" t="s">
        <v>45</v>
      </c>
      <c r="F1300" t="s">
        <v>28</v>
      </c>
      <c r="G1300" t="s">
        <v>48</v>
      </c>
      <c r="H1300" t="s">
        <v>657</v>
      </c>
      <c r="I1300" s="2">
        <v>6.61</v>
      </c>
      <c r="J1300" s="3">
        <v>2</v>
      </c>
      <c r="K1300" s="2">
        <v>2.23</v>
      </c>
    </row>
    <row r="1301" spans="1:11" x14ac:dyDescent="0.35">
      <c r="A1301" s="1">
        <v>42224</v>
      </c>
      <c r="B1301" s="3">
        <f t="shared" si="40"/>
        <v>2015</v>
      </c>
      <c r="C1301" s="3">
        <f t="shared" si="41"/>
        <v>8</v>
      </c>
      <c r="D1301" t="s">
        <v>1316</v>
      </c>
      <c r="E1301" t="s">
        <v>45</v>
      </c>
      <c r="F1301" t="s">
        <v>28</v>
      </c>
      <c r="G1301" t="s">
        <v>48</v>
      </c>
      <c r="H1301" t="s">
        <v>560</v>
      </c>
      <c r="I1301" s="2">
        <v>7.28</v>
      </c>
      <c r="J1301" s="3">
        <v>2</v>
      </c>
      <c r="K1301" s="2">
        <v>2.73</v>
      </c>
    </row>
    <row r="1302" spans="1:11" x14ac:dyDescent="0.35">
      <c r="A1302" s="1">
        <v>42224</v>
      </c>
      <c r="B1302" s="3">
        <f t="shared" si="40"/>
        <v>2015</v>
      </c>
      <c r="C1302" s="3">
        <f t="shared" si="41"/>
        <v>8</v>
      </c>
      <c r="D1302" t="s">
        <v>1316</v>
      </c>
      <c r="E1302" t="s">
        <v>45</v>
      </c>
      <c r="F1302" t="s">
        <v>18</v>
      </c>
      <c r="G1302" t="s">
        <v>19</v>
      </c>
      <c r="H1302" t="s">
        <v>1433</v>
      </c>
      <c r="I1302" s="2">
        <v>144.78</v>
      </c>
      <c r="J1302" s="3">
        <v>1</v>
      </c>
      <c r="K1302" s="2">
        <v>10.86</v>
      </c>
    </row>
    <row r="1303" spans="1:11" x14ac:dyDescent="0.35">
      <c r="A1303" s="1">
        <v>42224</v>
      </c>
      <c r="B1303" s="3">
        <f t="shared" si="40"/>
        <v>2015</v>
      </c>
      <c r="C1303" s="3">
        <f t="shared" si="41"/>
        <v>8</v>
      </c>
      <c r="D1303" t="s">
        <v>1434</v>
      </c>
      <c r="E1303" t="s">
        <v>51</v>
      </c>
      <c r="F1303" t="s">
        <v>28</v>
      </c>
      <c r="G1303" t="s">
        <v>64</v>
      </c>
      <c r="H1303" t="s">
        <v>1435</v>
      </c>
      <c r="I1303" s="2">
        <v>39.659999999999997</v>
      </c>
      <c r="J1303" s="3">
        <v>2</v>
      </c>
      <c r="K1303" s="2">
        <v>11.9</v>
      </c>
    </row>
    <row r="1304" spans="1:11" x14ac:dyDescent="0.35">
      <c r="A1304" s="1">
        <v>42224</v>
      </c>
      <c r="B1304" s="3">
        <f t="shared" si="40"/>
        <v>2015</v>
      </c>
      <c r="C1304" s="3">
        <f t="shared" si="41"/>
        <v>8</v>
      </c>
      <c r="D1304" t="s">
        <v>1434</v>
      </c>
      <c r="E1304" t="s">
        <v>51</v>
      </c>
      <c r="F1304" t="s">
        <v>28</v>
      </c>
      <c r="G1304" t="s">
        <v>58</v>
      </c>
      <c r="H1304" t="s">
        <v>1436</v>
      </c>
      <c r="I1304" s="2">
        <v>113.92</v>
      </c>
      <c r="J1304" s="3">
        <v>2</v>
      </c>
      <c r="K1304" s="2">
        <v>33.04</v>
      </c>
    </row>
    <row r="1305" spans="1:11" x14ac:dyDescent="0.35">
      <c r="A1305" s="1">
        <v>42224</v>
      </c>
      <c r="B1305" s="3">
        <f t="shared" si="40"/>
        <v>2015</v>
      </c>
      <c r="C1305" s="3">
        <f t="shared" si="41"/>
        <v>8</v>
      </c>
      <c r="D1305" t="s">
        <v>1434</v>
      </c>
      <c r="E1305" t="s">
        <v>51</v>
      </c>
      <c r="F1305" t="s">
        <v>28</v>
      </c>
      <c r="G1305" t="s">
        <v>48</v>
      </c>
      <c r="H1305" t="s">
        <v>1211</v>
      </c>
      <c r="I1305" s="2">
        <v>447.86</v>
      </c>
      <c r="J1305" s="3">
        <v>7</v>
      </c>
      <c r="K1305" s="2">
        <v>210.49</v>
      </c>
    </row>
    <row r="1306" spans="1:11" x14ac:dyDescent="0.35">
      <c r="A1306" s="1">
        <v>42224</v>
      </c>
      <c r="B1306" s="3">
        <f t="shared" si="40"/>
        <v>2015</v>
      </c>
      <c r="C1306" s="3">
        <f t="shared" si="41"/>
        <v>8</v>
      </c>
      <c r="D1306" t="s">
        <v>164</v>
      </c>
      <c r="E1306" t="s">
        <v>22</v>
      </c>
      <c r="F1306" t="s">
        <v>13</v>
      </c>
      <c r="G1306" t="s">
        <v>14</v>
      </c>
      <c r="H1306" t="s">
        <v>276</v>
      </c>
      <c r="I1306" s="2">
        <v>79.989999999999995</v>
      </c>
      <c r="J1306" s="3">
        <v>1</v>
      </c>
      <c r="K1306" s="2">
        <v>28.8</v>
      </c>
    </row>
    <row r="1307" spans="1:11" x14ac:dyDescent="0.35">
      <c r="A1307" s="1">
        <v>42255</v>
      </c>
      <c r="B1307" s="3">
        <f t="shared" si="40"/>
        <v>2015</v>
      </c>
      <c r="C1307" s="3">
        <f t="shared" si="41"/>
        <v>9</v>
      </c>
      <c r="D1307" t="s">
        <v>1081</v>
      </c>
      <c r="E1307" t="s">
        <v>45</v>
      </c>
      <c r="F1307" t="s">
        <v>28</v>
      </c>
      <c r="G1307" t="s">
        <v>29</v>
      </c>
      <c r="H1307" t="s">
        <v>1055</v>
      </c>
      <c r="I1307" s="2">
        <v>26.4</v>
      </c>
      <c r="J1307" s="3">
        <v>5</v>
      </c>
      <c r="K1307" s="2">
        <v>11.88</v>
      </c>
    </row>
    <row r="1308" spans="1:11" x14ac:dyDescent="0.35">
      <c r="A1308" s="1">
        <v>42255</v>
      </c>
      <c r="B1308" s="3">
        <f t="shared" si="40"/>
        <v>2015</v>
      </c>
      <c r="C1308" s="3">
        <f t="shared" si="41"/>
        <v>9</v>
      </c>
      <c r="D1308" t="s">
        <v>1081</v>
      </c>
      <c r="E1308" t="s">
        <v>45</v>
      </c>
      <c r="F1308" t="s">
        <v>28</v>
      </c>
      <c r="G1308" t="s">
        <v>38</v>
      </c>
      <c r="H1308" t="s">
        <v>270</v>
      </c>
      <c r="I1308" s="2">
        <v>41.88</v>
      </c>
      <c r="J1308" s="3">
        <v>6</v>
      </c>
      <c r="K1308" s="2">
        <v>0.84</v>
      </c>
    </row>
    <row r="1309" spans="1:11" x14ac:dyDescent="0.35">
      <c r="A1309" s="1">
        <v>42255</v>
      </c>
      <c r="B1309" s="3">
        <f t="shared" si="40"/>
        <v>2015</v>
      </c>
      <c r="C1309" s="3">
        <f t="shared" si="41"/>
        <v>9</v>
      </c>
      <c r="D1309" t="s">
        <v>912</v>
      </c>
      <c r="E1309" t="s">
        <v>607</v>
      </c>
      <c r="F1309" t="s">
        <v>18</v>
      </c>
      <c r="G1309" t="s">
        <v>36</v>
      </c>
      <c r="H1309" t="s">
        <v>1437</v>
      </c>
      <c r="I1309" s="2">
        <v>21.36</v>
      </c>
      <c r="J1309" s="3">
        <v>8</v>
      </c>
      <c r="K1309" s="2">
        <v>8.1199999999999992</v>
      </c>
    </row>
    <row r="1310" spans="1:11" x14ac:dyDescent="0.35">
      <c r="A1310" s="1">
        <v>42285</v>
      </c>
      <c r="B1310" s="3">
        <f t="shared" si="40"/>
        <v>2015</v>
      </c>
      <c r="C1310" s="3">
        <f t="shared" si="41"/>
        <v>10</v>
      </c>
      <c r="D1310" t="s">
        <v>691</v>
      </c>
      <c r="E1310" t="s">
        <v>45</v>
      </c>
      <c r="F1310" t="s">
        <v>18</v>
      </c>
      <c r="G1310" t="s">
        <v>36</v>
      </c>
      <c r="H1310" t="s">
        <v>241</v>
      </c>
      <c r="I1310" s="2">
        <v>145.9</v>
      </c>
      <c r="J1310" s="3">
        <v>5</v>
      </c>
      <c r="K1310" s="2">
        <v>62.74</v>
      </c>
    </row>
    <row r="1311" spans="1:11" x14ac:dyDescent="0.35">
      <c r="A1311" s="1">
        <v>42285</v>
      </c>
      <c r="B1311" s="3">
        <f t="shared" si="40"/>
        <v>2015</v>
      </c>
      <c r="C1311" s="3">
        <f t="shared" si="41"/>
        <v>10</v>
      </c>
      <c r="D1311" t="s">
        <v>1438</v>
      </c>
      <c r="E1311" t="s">
        <v>32</v>
      </c>
      <c r="F1311" t="s">
        <v>28</v>
      </c>
      <c r="G1311" t="s">
        <v>64</v>
      </c>
      <c r="H1311" t="s">
        <v>1439</v>
      </c>
      <c r="I1311" s="2">
        <v>3.44</v>
      </c>
      <c r="J1311" s="3">
        <v>2</v>
      </c>
      <c r="K1311" s="2">
        <v>0.56000000000000005</v>
      </c>
    </row>
    <row r="1312" spans="1:11" x14ac:dyDescent="0.35">
      <c r="A1312" s="1">
        <v>42285</v>
      </c>
      <c r="B1312" s="3">
        <f t="shared" si="40"/>
        <v>2015</v>
      </c>
      <c r="C1312" s="3">
        <f t="shared" si="41"/>
        <v>10</v>
      </c>
      <c r="D1312" t="s">
        <v>1440</v>
      </c>
      <c r="E1312" t="s">
        <v>32</v>
      </c>
      <c r="F1312" t="s">
        <v>18</v>
      </c>
      <c r="G1312" t="s">
        <v>36</v>
      </c>
      <c r="H1312" t="s">
        <v>1441</v>
      </c>
      <c r="I1312" s="2">
        <v>72.78</v>
      </c>
      <c r="J1312" s="3">
        <v>3</v>
      </c>
      <c r="K1312" s="2">
        <v>-70.959999999999994</v>
      </c>
    </row>
    <row r="1313" spans="1:11" x14ac:dyDescent="0.35">
      <c r="A1313" s="1">
        <v>42316</v>
      </c>
      <c r="B1313" s="3">
        <f t="shared" si="40"/>
        <v>2015</v>
      </c>
      <c r="C1313" s="3">
        <f t="shared" si="41"/>
        <v>11</v>
      </c>
      <c r="D1313" t="s">
        <v>1442</v>
      </c>
      <c r="E1313" t="s">
        <v>51</v>
      </c>
      <c r="F1313" t="s">
        <v>28</v>
      </c>
      <c r="G1313" t="s">
        <v>64</v>
      </c>
      <c r="H1313" t="s">
        <v>1443</v>
      </c>
      <c r="I1313" s="2">
        <v>11.65</v>
      </c>
      <c r="J1313" s="3">
        <v>5</v>
      </c>
      <c r="K1313" s="2">
        <v>3.38</v>
      </c>
    </row>
    <row r="1314" spans="1:11" x14ac:dyDescent="0.35">
      <c r="A1314" s="1">
        <v>42316</v>
      </c>
      <c r="B1314" s="3">
        <f t="shared" si="40"/>
        <v>2015</v>
      </c>
      <c r="C1314" s="3">
        <f t="shared" si="41"/>
        <v>11</v>
      </c>
      <c r="D1314" t="s">
        <v>1444</v>
      </c>
      <c r="E1314" t="s">
        <v>45</v>
      </c>
      <c r="F1314" t="s">
        <v>28</v>
      </c>
      <c r="G1314" t="s">
        <v>33</v>
      </c>
      <c r="H1314" t="s">
        <v>518</v>
      </c>
      <c r="I1314" s="2">
        <v>5</v>
      </c>
      <c r="J1314" s="3">
        <v>1</v>
      </c>
      <c r="K1314" s="2">
        <v>2.4</v>
      </c>
    </row>
    <row r="1315" spans="1:11" x14ac:dyDescent="0.35">
      <c r="A1315" s="1">
        <v>42316</v>
      </c>
      <c r="B1315" s="3">
        <f t="shared" si="40"/>
        <v>2015</v>
      </c>
      <c r="C1315" s="3">
        <f t="shared" si="41"/>
        <v>11</v>
      </c>
      <c r="D1315" t="s">
        <v>1444</v>
      </c>
      <c r="E1315" t="s">
        <v>45</v>
      </c>
      <c r="F1315" t="s">
        <v>13</v>
      </c>
      <c r="G1315" t="s">
        <v>14</v>
      </c>
      <c r="H1315" t="s">
        <v>1238</v>
      </c>
      <c r="I1315" s="2">
        <v>371.97</v>
      </c>
      <c r="J1315" s="3">
        <v>3</v>
      </c>
      <c r="K1315" s="2">
        <v>66.95</v>
      </c>
    </row>
    <row r="1316" spans="1:11" x14ac:dyDescent="0.35">
      <c r="A1316" s="1">
        <v>42316</v>
      </c>
      <c r="B1316" s="3">
        <f t="shared" si="40"/>
        <v>2015</v>
      </c>
      <c r="C1316" s="3">
        <f t="shared" si="41"/>
        <v>11</v>
      </c>
      <c r="D1316" t="s">
        <v>206</v>
      </c>
      <c r="E1316" t="s">
        <v>180</v>
      </c>
      <c r="F1316" t="s">
        <v>28</v>
      </c>
      <c r="G1316" t="s">
        <v>33</v>
      </c>
      <c r="H1316" t="s">
        <v>1445</v>
      </c>
      <c r="I1316" s="2">
        <v>5.04</v>
      </c>
      <c r="J1316" s="3">
        <v>3</v>
      </c>
      <c r="K1316" s="2">
        <v>0.2</v>
      </c>
    </row>
    <row r="1317" spans="1:11" x14ac:dyDescent="0.35">
      <c r="A1317" s="1">
        <v>42316</v>
      </c>
      <c r="B1317" s="3">
        <f t="shared" si="40"/>
        <v>2015</v>
      </c>
      <c r="C1317" s="3">
        <f t="shared" si="41"/>
        <v>11</v>
      </c>
      <c r="D1317" t="s">
        <v>206</v>
      </c>
      <c r="E1317" t="s">
        <v>180</v>
      </c>
      <c r="F1317" t="s">
        <v>28</v>
      </c>
      <c r="G1317" t="s">
        <v>29</v>
      </c>
      <c r="H1317" t="s">
        <v>1446</v>
      </c>
      <c r="I1317" s="2">
        <v>92.94</v>
      </c>
      <c r="J1317" s="3">
        <v>3</v>
      </c>
      <c r="K1317" s="2">
        <v>41.82</v>
      </c>
    </row>
    <row r="1318" spans="1:11" x14ac:dyDescent="0.35">
      <c r="A1318" s="1">
        <v>42316</v>
      </c>
      <c r="B1318" s="3">
        <f t="shared" si="40"/>
        <v>2015</v>
      </c>
      <c r="C1318" s="3">
        <f t="shared" si="41"/>
        <v>11</v>
      </c>
      <c r="D1318" t="s">
        <v>206</v>
      </c>
      <c r="E1318" t="s">
        <v>180</v>
      </c>
      <c r="F1318" t="s">
        <v>18</v>
      </c>
      <c r="G1318" t="s">
        <v>36</v>
      </c>
      <c r="H1318" t="s">
        <v>1301</v>
      </c>
      <c r="I1318" s="2">
        <v>66.69</v>
      </c>
      <c r="J1318" s="3">
        <v>3</v>
      </c>
      <c r="K1318" s="2">
        <v>22.01</v>
      </c>
    </row>
    <row r="1319" spans="1:11" x14ac:dyDescent="0.35">
      <c r="A1319" s="1">
        <v>42316</v>
      </c>
      <c r="B1319" s="3">
        <f t="shared" si="40"/>
        <v>2015</v>
      </c>
      <c r="C1319" s="3">
        <f t="shared" si="41"/>
        <v>11</v>
      </c>
      <c r="D1319" t="s">
        <v>206</v>
      </c>
      <c r="E1319" t="s">
        <v>180</v>
      </c>
      <c r="F1319" t="s">
        <v>28</v>
      </c>
      <c r="G1319" t="s">
        <v>48</v>
      </c>
      <c r="H1319" t="s">
        <v>1061</v>
      </c>
      <c r="I1319" s="2">
        <v>91.68</v>
      </c>
      <c r="J1319" s="3">
        <v>5</v>
      </c>
      <c r="K1319" s="2">
        <v>28.65</v>
      </c>
    </row>
    <row r="1320" spans="1:11" x14ac:dyDescent="0.35">
      <c r="A1320" s="1">
        <v>42316</v>
      </c>
      <c r="B1320" s="3">
        <f t="shared" si="40"/>
        <v>2015</v>
      </c>
      <c r="C1320" s="3">
        <f t="shared" si="41"/>
        <v>11</v>
      </c>
      <c r="D1320" t="s">
        <v>1447</v>
      </c>
      <c r="E1320" t="s">
        <v>22</v>
      </c>
      <c r="F1320" t="s">
        <v>28</v>
      </c>
      <c r="G1320" t="s">
        <v>48</v>
      </c>
      <c r="H1320" t="s">
        <v>454</v>
      </c>
      <c r="I1320" s="2">
        <v>52.27</v>
      </c>
      <c r="J1320" s="3">
        <v>11</v>
      </c>
      <c r="K1320" s="2">
        <v>17.64</v>
      </c>
    </row>
    <row r="1321" spans="1:11" x14ac:dyDescent="0.35">
      <c r="A1321" s="1">
        <v>42316</v>
      </c>
      <c r="B1321" s="3">
        <f t="shared" si="40"/>
        <v>2015</v>
      </c>
      <c r="C1321" s="3">
        <f t="shared" si="41"/>
        <v>11</v>
      </c>
      <c r="D1321" t="s">
        <v>1447</v>
      </c>
      <c r="E1321" t="s">
        <v>22</v>
      </c>
      <c r="F1321" t="s">
        <v>28</v>
      </c>
      <c r="G1321" t="s">
        <v>29</v>
      </c>
      <c r="H1321" t="s">
        <v>790</v>
      </c>
      <c r="I1321" s="2">
        <v>17.940000000000001</v>
      </c>
      <c r="J1321" s="3">
        <v>3</v>
      </c>
      <c r="K1321" s="2">
        <v>8.07</v>
      </c>
    </row>
    <row r="1322" spans="1:11" x14ac:dyDescent="0.35">
      <c r="A1322" s="1">
        <v>42316</v>
      </c>
      <c r="B1322" s="3">
        <f t="shared" si="40"/>
        <v>2015</v>
      </c>
      <c r="C1322" s="3">
        <f t="shared" si="41"/>
        <v>11</v>
      </c>
      <c r="D1322" t="s">
        <v>1448</v>
      </c>
      <c r="E1322" t="s">
        <v>32</v>
      </c>
      <c r="F1322" t="s">
        <v>28</v>
      </c>
      <c r="G1322" t="s">
        <v>48</v>
      </c>
      <c r="H1322" t="s">
        <v>775</v>
      </c>
      <c r="I1322" s="2">
        <v>10.48</v>
      </c>
      <c r="J1322" s="3">
        <v>6</v>
      </c>
      <c r="K1322" s="2">
        <v>-17.29</v>
      </c>
    </row>
    <row r="1323" spans="1:11" x14ac:dyDescent="0.35">
      <c r="A1323" s="1">
        <v>42316</v>
      </c>
      <c r="B1323" s="3">
        <f t="shared" si="40"/>
        <v>2015</v>
      </c>
      <c r="C1323" s="3">
        <f t="shared" si="41"/>
        <v>11</v>
      </c>
      <c r="D1323" t="s">
        <v>1333</v>
      </c>
      <c r="E1323" t="s">
        <v>45</v>
      </c>
      <c r="F1323" t="s">
        <v>13</v>
      </c>
      <c r="G1323" t="s">
        <v>14</v>
      </c>
      <c r="H1323" t="s">
        <v>1449</v>
      </c>
      <c r="I1323" s="2">
        <v>119.9</v>
      </c>
      <c r="J1323" s="3">
        <v>2</v>
      </c>
      <c r="K1323" s="2">
        <v>43.16</v>
      </c>
    </row>
    <row r="1324" spans="1:11" x14ac:dyDescent="0.35">
      <c r="A1324" s="1">
        <v>42316</v>
      </c>
      <c r="B1324" s="3">
        <f t="shared" si="40"/>
        <v>2015</v>
      </c>
      <c r="C1324" s="3">
        <f t="shared" si="41"/>
        <v>11</v>
      </c>
      <c r="D1324" t="s">
        <v>1113</v>
      </c>
      <c r="E1324" t="s">
        <v>173</v>
      </c>
      <c r="F1324" t="s">
        <v>28</v>
      </c>
      <c r="G1324" t="s">
        <v>58</v>
      </c>
      <c r="H1324" t="s">
        <v>1168</v>
      </c>
      <c r="I1324" s="2">
        <v>44.43</v>
      </c>
      <c r="J1324" s="3">
        <v>3</v>
      </c>
      <c r="K1324" s="2">
        <v>18.66</v>
      </c>
    </row>
    <row r="1325" spans="1:11" x14ac:dyDescent="0.35">
      <c r="A1325" s="1">
        <v>42316</v>
      </c>
      <c r="B1325" s="3">
        <f t="shared" si="40"/>
        <v>2015</v>
      </c>
      <c r="C1325" s="3">
        <f t="shared" si="41"/>
        <v>11</v>
      </c>
      <c r="D1325" t="s">
        <v>1113</v>
      </c>
      <c r="E1325" t="s">
        <v>173</v>
      </c>
      <c r="F1325" t="s">
        <v>13</v>
      </c>
      <c r="G1325" t="s">
        <v>23</v>
      </c>
      <c r="H1325" t="s">
        <v>156</v>
      </c>
      <c r="I1325" s="2">
        <v>226.2</v>
      </c>
      <c r="J1325" s="3">
        <v>5</v>
      </c>
      <c r="K1325" s="2">
        <v>58.81</v>
      </c>
    </row>
    <row r="1326" spans="1:11" x14ac:dyDescent="0.35">
      <c r="A1326" s="1">
        <v>42316</v>
      </c>
      <c r="B1326" s="3">
        <f t="shared" si="40"/>
        <v>2015</v>
      </c>
      <c r="C1326" s="3">
        <f t="shared" si="41"/>
        <v>11</v>
      </c>
      <c r="D1326" t="s">
        <v>1113</v>
      </c>
      <c r="E1326" t="s">
        <v>173</v>
      </c>
      <c r="F1326" t="s">
        <v>18</v>
      </c>
      <c r="G1326" t="s">
        <v>36</v>
      </c>
      <c r="H1326" t="s">
        <v>1062</v>
      </c>
      <c r="I1326" s="2">
        <v>186.54</v>
      </c>
      <c r="J1326" s="3">
        <v>3</v>
      </c>
      <c r="K1326" s="2">
        <v>41.04</v>
      </c>
    </row>
    <row r="1327" spans="1:11" x14ac:dyDescent="0.35">
      <c r="A1327" s="1">
        <v>42316</v>
      </c>
      <c r="B1327" s="3">
        <f t="shared" si="40"/>
        <v>2015</v>
      </c>
      <c r="C1327" s="3">
        <f t="shared" si="41"/>
        <v>11</v>
      </c>
      <c r="D1327" t="s">
        <v>1113</v>
      </c>
      <c r="E1327" t="s">
        <v>173</v>
      </c>
      <c r="F1327" t="s">
        <v>28</v>
      </c>
      <c r="G1327" t="s">
        <v>64</v>
      </c>
      <c r="H1327" t="s">
        <v>719</v>
      </c>
      <c r="I1327" s="2">
        <v>265.86</v>
      </c>
      <c r="J1327" s="3">
        <v>7</v>
      </c>
      <c r="K1327" s="2">
        <v>79.760000000000005</v>
      </c>
    </row>
    <row r="1328" spans="1:11" x14ac:dyDescent="0.35">
      <c r="A1328" s="1">
        <v>42316</v>
      </c>
      <c r="B1328" s="3">
        <f t="shared" si="40"/>
        <v>2015</v>
      </c>
      <c r="C1328" s="3">
        <f t="shared" si="41"/>
        <v>11</v>
      </c>
      <c r="D1328" t="s">
        <v>1113</v>
      </c>
      <c r="E1328" t="s">
        <v>173</v>
      </c>
      <c r="F1328" t="s">
        <v>28</v>
      </c>
      <c r="G1328" t="s">
        <v>64</v>
      </c>
      <c r="H1328" t="s">
        <v>1450</v>
      </c>
      <c r="I1328" s="2">
        <v>27.9</v>
      </c>
      <c r="J1328" s="3">
        <v>5</v>
      </c>
      <c r="K1328" s="2">
        <v>6.98</v>
      </c>
    </row>
    <row r="1329" spans="1:11" x14ac:dyDescent="0.35">
      <c r="A1329" s="1">
        <v>42316</v>
      </c>
      <c r="B1329" s="3">
        <f t="shared" si="40"/>
        <v>2015</v>
      </c>
      <c r="C1329" s="3">
        <f t="shared" si="41"/>
        <v>11</v>
      </c>
      <c r="D1329" t="s">
        <v>164</v>
      </c>
      <c r="E1329" t="s">
        <v>1451</v>
      </c>
      <c r="F1329" t="s">
        <v>13</v>
      </c>
      <c r="G1329" t="s">
        <v>23</v>
      </c>
      <c r="H1329" t="s">
        <v>916</v>
      </c>
      <c r="I1329" s="2">
        <v>263.95999999999998</v>
      </c>
      <c r="J1329" s="3">
        <v>4</v>
      </c>
      <c r="K1329" s="2">
        <v>76.55</v>
      </c>
    </row>
    <row r="1330" spans="1:11" x14ac:dyDescent="0.35">
      <c r="A1330" s="1">
        <v>42316</v>
      </c>
      <c r="B1330" s="3">
        <f t="shared" si="40"/>
        <v>2015</v>
      </c>
      <c r="C1330" s="3">
        <f t="shared" si="41"/>
        <v>11</v>
      </c>
      <c r="D1330" t="s">
        <v>1083</v>
      </c>
      <c r="E1330" t="s">
        <v>22</v>
      </c>
      <c r="F1330" t="s">
        <v>28</v>
      </c>
      <c r="G1330" t="s">
        <v>38</v>
      </c>
      <c r="H1330" t="s">
        <v>1452</v>
      </c>
      <c r="I1330" s="2">
        <v>67.150000000000006</v>
      </c>
      <c r="J1330" s="3">
        <v>5</v>
      </c>
      <c r="K1330" s="2">
        <v>16.79</v>
      </c>
    </row>
    <row r="1331" spans="1:11" x14ac:dyDescent="0.35">
      <c r="A1331" s="1">
        <v>42316</v>
      </c>
      <c r="B1331" s="3">
        <f t="shared" si="40"/>
        <v>2015</v>
      </c>
      <c r="C1331" s="3">
        <f t="shared" si="41"/>
        <v>11</v>
      </c>
      <c r="D1331" t="s">
        <v>1083</v>
      </c>
      <c r="E1331" t="s">
        <v>22</v>
      </c>
      <c r="F1331" t="s">
        <v>13</v>
      </c>
      <c r="G1331" t="s">
        <v>23</v>
      </c>
      <c r="H1331" t="s">
        <v>1231</v>
      </c>
      <c r="I1331" s="2">
        <v>549.98</v>
      </c>
      <c r="J1331" s="3">
        <v>2</v>
      </c>
      <c r="K1331" s="2">
        <v>142.99</v>
      </c>
    </row>
    <row r="1332" spans="1:11" x14ac:dyDescent="0.35">
      <c r="A1332" s="1">
        <v>42316</v>
      </c>
      <c r="B1332" s="3">
        <f t="shared" si="40"/>
        <v>2015</v>
      </c>
      <c r="C1332" s="3">
        <f t="shared" si="41"/>
        <v>11</v>
      </c>
      <c r="D1332" t="s">
        <v>1083</v>
      </c>
      <c r="E1332" t="s">
        <v>22</v>
      </c>
      <c r="F1332" t="s">
        <v>18</v>
      </c>
      <c r="G1332" t="s">
        <v>36</v>
      </c>
      <c r="H1332" t="s">
        <v>1453</v>
      </c>
      <c r="I1332" s="2">
        <v>11.82</v>
      </c>
      <c r="J1332" s="3">
        <v>3</v>
      </c>
      <c r="K1332" s="2">
        <v>4.7300000000000004</v>
      </c>
    </row>
    <row r="1333" spans="1:11" x14ac:dyDescent="0.35">
      <c r="A1333" s="1">
        <v>42316</v>
      </c>
      <c r="B1333" s="3">
        <f t="shared" si="40"/>
        <v>2015</v>
      </c>
      <c r="C1333" s="3">
        <f t="shared" si="41"/>
        <v>11</v>
      </c>
      <c r="D1333" t="s">
        <v>1083</v>
      </c>
      <c r="E1333" t="s">
        <v>22</v>
      </c>
      <c r="F1333" t="s">
        <v>13</v>
      </c>
      <c r="G1333" t="s">
        <v>204</v>
      </c>
      <c r="H1333" t="s">
        <v>1454</v>
      </c>
      <c r="I1333" s="2">
        <v>4643.8</v>
      </c>
      <c r="J1333" s="3">
        <v>4</v>
      </c>
      <c r="K1333" s="2">
        <v>2229.02</v>
      </c>
    </row>
    <row r="1334" spans="1:11" x14ac:dyDescent="0.35">
      <c r="A1334" s="1">
        <v>42316</v>
      </c>
      <c r="B1334" s="3">
        <f t="shared" si="40"/>
        <v>2015</v>
      </c>
      <c r="C1334" s="3">
        <f t="shared" si="41"/>
        <v>11</v>
      </c>
      <c r="D1334" t="s">
        <v>1083</v>
      </c>
      <c r="E1334" t="s">
        <v>22</v>
      </c>
      <c r="F1334" t="s">
        <v>18</v>
      </c>
      <c r="G1334" t="s">
        <v>19</v>
      </c>
      <c r="H1334" t="s">
        <v>149</v>
      </c>
      <c r="I1334" s="2">
        <v>577.76</v>
      </c>
      <c r="J1334" s="3">
        <v>2</v>
      </c>
      <c r="K1334" s="2">
        <v>115.55</v>
      </c>
    </row>
    <row r="1335" spans="1:11" x14ac:dyDescent="0.35">
      <c r="A1335" s="1">
        <v>42316</v>
      </c>
      <c r="B1335" s="3">
        <f t="shared" si="40"/>
        <v>2015</v>
      </c>
      <c r="C1335" s="3">
        <f t="shared" si="41"/>
        <v>11</v>
      </c>
      <c r="D1335" t="s">
        <v>1368</v>
      </c>
      <c r="E1335" t="s">
        <v>81</v>
      </c>
      <c r="F1335" t="s">
        <v>28</v>
      </c>
      <c r="G1335" t="s">
        <v>33</v>
      </c>
      <c r="H1335" t="s">
        <v>1455</v>
      </c>
      <c r="I1335" s="2">
        <v>31.5</v>
      </c>
      <c r="J1335" s="3">
        <v>11</v>
      </c>
      <c r="K1335" s="2">
        <v>11.81</v>
      </c>
    </row>
    <row r="1336" spans="1:11" x14ac:dyDescent="0.35">
      <c r="A1336" s="1">
        <v>42316</v>
      </c>
      <c r="B1336" s="3">
        <f t="shared" si="40"/>
        <v>2015</v>
      </c>
      <c r="C1336" s="3">
        <f t="shared" si="41"/>
        <v>11</v>
      </c>
      <c r="D1336" t="s">
        <v>1368</v>
      </c>
      <c r="E1336" t="s">
        <v>81</v>
      </c>
      <c r="F1336" t="s">
        <v>28</v>
      </c>
      <c r="G1336" t="s">
        <v>46</v>
      </c>
      <c r="H1336" t="s">
        <v>1456</v>
      </c>
      <c r="I1336" s="2">
        <v>5.04</v>
      </c>
      <c r="J1336" s="3">
        <v>1</v>
      </c>
      <c r="K1336" s="2">
        <v>1.64</v>
      </c>
    </row>
    <row r="1337" spans="1:11" x14ac:dyDescent="0.35">
      <c r="A1337" s="1">
        <v>42316</v>
      </c>
      <c r="B1337" s="3">
        <f t="shared" si="40"/>
        <v>2015</v>
      </c>
      <c r="C1337" s="3">
        <f t="shared" si="41"/>
        <v>11</v>
      </c>
      <c r="D1337" t="s">
        <v>1368</v>
      </c>
      <c r="E1337" t="s">
        <v>81</v>
      </c>
      <c r="F1337" t="s">
        <v>28</v>
      </c>
      <c r="G1337" t="s">
        <v>48</v>
      </c>
      <c r="H1337" t="s">
        <v>869</v>
      </c>
      <c r="I1337" s="2">
        <v>39.880000000000003</v>
      </c>
      <c r="J1337" s="3">
        <v>7</v>
      </c>
      <c r="K1337" s="2">
        <v>-29.24</v>
      </c>
    </row>
    <row r="1338" spans="1:11" x14ac:dyDescent="0.35">
      <c r="A1338" s="1">
        <v>42316</v>
      </c>
      <c r="B1338" s="3">
        <f t="shared" si="40"/>
        <v>2015</v>
      </c>
      <c r="C1338" s="3">
        <f t="shared" si="41"/>
        <v>11</v>
      </c>
      <c r="D1338" t="s">
        <v>1368</v>
      </c>
      <c r="E1338" t="s">
        <v>81</v>
      </c>
      <c r="F1338" t="s">
        <v>18</v>
      </c>
      <c r="G1338" t="s">
        <v>36</v>
      </c>
      <c r="H1338" t="s">
        <v>886</v>
      </c>
      <c r="I1338" s="2">
        <v>4.71</v>
      </c>
      <c r="J1338" s="3">
        <v>1</v>
      </c>
      <c r="K1338" s="2">
        <v>1.41</v>
      </c>
    </row>
    <row r="1339" spans="1:11" x14ac:dyDescent="0.35">
      <c r="A1339" s="1">
        <v>42316</v>
      </c>
      <c r="B1339" s="3">
        <f t="shared" si="40"/>
        <v>2015</v>
      </c>
      <c r="C1339" s="3">
        <f t="shared" si="41"/>
        <v>11</v>
      </c>
      <c r="D1339" t="s">
        <v>70</v>
      </c>
      <c r="E1339" t="s">
        <v>1395</v>
      </c>
      <c r="F1339" t="s">
        <v>18</v>
      </c>
      <c r="G1339" t="s">
        <v>237</v>
      </c>
      <c r="H1339" t="s">
        <v>1457</v>
      </c>
      <c r="I1339" s="2">
        <v>4404.8999999999996</v>
      </c>
      <c r="J1339" s="3">
        <v>5</v>
      </c>
      <c r="K1339" s="2">
        <v>1013.13</v>
      </c>
    </row>
    <row r="1340" spans="1:11" x14ac:dyDescent="0.35">
      <c r="A1340" s="1">
        <v>42346</v>
      </c>
      <c r="B1340" s="3">
        <f t="shared" si="40"/>
        <v>2015</v>
      </c>
      <c r="C1340" s="3">
        <f t="shared" si="41"/>
        <v>12</v>
      </c>
      <c r="D1340" t="s">
        <v>1458</v>
      </c>
      <c r="E1340" t="s">
        <v>32</v>
      </c>
      <c r="F1340" t="s">
        <v>28</v>
      </c>
      <c r="G1340" t="s">
        <v>29</v>
      </c>
      <c r="H1340" t="s">
        <v>610</v>
      </c>
      <c r="I1340" s="2">
        <v>360.71</v>
      </c>
      <c r="J1340" s="3">
        <v>11</v>
      </c>
      <c r="K1340" s="2">
        <v>130.76</v>
      </c>
    </row>
    <row r="1341" spans="1:11" x14ac:dyDescent="0.35">
      <c r="A1341" s="1">
        <v>42346</v>
      </c>
      <c r="B1341" s="3">
        <f t="shared" si="40"/>
        <v>2015</v>
      </c>
      <c r="C1341" s="3">
        <f t="shared" si="41"/>
        <v>12</v>
      </c>
      <c r="D1341" t="s">
        <v>1458</v>
      </c>
      <c r="E1341" t="s">
        <v>32</v>
      </c>
      <c r="F1341" t="s">
        <v>13</v>
      </c>
      <c r="G1341" t="s">
        <v>23</v>
      </c>
      <c r="H1341" t="s">
        <v>836</v>
      </c>
      <c r="I1341" s="2">
        <v>1718.4</v>
      </c>
      <c r="J1341" s="3">
        <v>6</v>
      </c>
      <c r="K1341" s="2">
        <v>150.36000000000001</v>
      </c>
    </row>
    <row r="1342" spans="1:11" x14ac:dyDescent="0.35">
      <c r="A1342" s="1">
        <v>42346</v>
      </c>
      <c r="B1342" s="3">
        <f t="shared" si="40"/>
        <v>2015</v>
      </c>
      <c r="C1342" s="3">
        <f t="shared" si="41"/>
        <v>12</v>
      </c>
      <c r="D1342" t="s">
        <v>1290</v>
      </c>
      <c r="E1342" t="s">
        <v>32</v>
      </c>
      <c r="F1342" t="s">
        <v>13</v>
      </c>
      <c r="G1342" t="s">
        <v>23</v>
      </c>
      <c r="H1342" t="s">
        <v>1459</v>
      </c>
      <c r="I1342" s="2">
        <v>119.96</v>
      </c>
      <c r="J1342" s="3">
        <v>5</v>
      </c>
      <c r="K1342" s="2">
        <v>12</v>
      </c>
    </row>
    <row r="1343" spans="1:11" x14ac:dyDescent="0.35">
      <c r="A1343" s="1">
        <v>42346</v>
      </c>
      <c r="B1343" s="3">
        <f t="shared" si="40"/>
        <v>2015</v>
      </c>
      <c r="C1343" s="3">
        <f t="shared" si="41"/>
        <v>12</v>
      </c>
      <c r="D1343" t="s">
        <v>1460</v>
      </c>
      <c r="E1343" t="s">
        <v>45</v>
      </c>
      <c r="F1343" t="s">
        <v>28</v>
      </c>
      <c r="G1343" t="s">
        <v>38</v>
      </c>
      <c r="H1343" t="s">
        <v>946</v>
      </c>
      <c r="I1343" s="2">
        <v>221.96</v>
      </c>
      <c r="J1343" s="3">
        <v>2</v>
      </c>
      <c r="K1343" s="2">
        <v>4.4400000000000004</v>
      </c>
    </row>
    <row r="1344" spans="1:11" x14ac:dyDescent="0.35">
      <c r="A1344" s="1">
        <v>42346</v>
      </c>
      <c r="B1344" s="3">
        <f t="shared" si="40"/>
        <v>2015</v>
      </c>
      <c r="C1344" s="3">
        <f t="shared" si="41"/>
        <v>12</v>
      </c>
      <c r="D1344" t="s">
        <v>1460</v>
      </c>
      <c r="E1344" t="s">
        <v>45</v>
      </c>
      <c r="F1344" t="s">
        <v>13</v>
      </c>
      <c r="G1344" t="s">
        <v>14</v>
      </c>
      <c r="H1344" t="s">
        <v>1461</v>
      </c>
      <c r="I1344" s="2">
        <v>236</v>
      </c>
      <c r="J1344" s="3">
        <v>4</v>
      </c>
      <c r="K1344" s="2">
        <v>40.119999999999997</v>
      </c>
    </row>
    <row r="1345" spans="1:11" x14ac:dyDescent="0.35">
      <c r="A1345" s="1">
        <v>42346</v>
      </c>
      <c r="B1345" s="3">
        <f t="shared" si="40"/>
        <v>2015</v>
      </c>
      <c r="C1345" s="3">
        <f t="shared" si="41"/>
        <v>12</v>
      </c>
      <c r="D1345" t="s">
        <v>1462</v>
      </c>
      <c r="E1345" t="s">
        <v>103</v>
      </c>
      <c r="F1345" t="s">
        <v>28</v>
      </c>
      <c r="G1345" t="s">
        <v>29</v>
      </c>
      <c r="H1345" t="s">
        <v>116</v>
      </c>
      <c r="I1345" s="2">
        <v>15.7</v>
      </c>
      <c r="J1345" s="3">
        <v>3</v>
      </c>
      <c r="K1345" s="2">
        <v>5.0999999999999996</v>
      </c>
    </row>
    <row r="1346" spans="1:11" x14ac:dyDescent="0.35">
      <c r="A1346" s="1">
        <v>42013</v>
      </c>
      <c r="B1346" s="3">
        <f t="shared" ref="B1346:B1409" si="42">YEAR(A1346)</f>
        <v>2015</v>
      </c>
      <c r="C1346" s="3">
        <f t="shared" ref="C1346:C1409" si="43">MONTH(A1346)</f>
        <v>1</v>
      </c>
      <c r="D1346" t="s">
        <v>1463</v>
      </c>
      <c r="E1346" t="s">
        <v>118</v>
      </c>
      <c r="F1346" t="s">
        <v>28</v>
      </c>
      <c r="G1346" t="s">
        <v>29</v>
      </c>
      <c r="H1346" t="s">
        <v>123</v>
      </c>
      <c r="I1346" s="2">
        <v>106.32</v>
      </c>
      <c r="J1346" s="3">
        <v>3</v>
      </c>
      <c r="K1346" s="2">
        <v>49.97</v>
      </c>
    </row>
    <row r="1347" spans="1:11" x14ac:dyDescent="0.35">
      <c r="A1347" s="1">
        <v>42013</v>
      </c>
      <c r="B1347" s="3">
        <f t="shared" si="42"/>
        <v>2015</v>
      </c>
      <c r="C1347" s="3">
        <f t="shared" si="43"/>
        <v>1</v>
      </c>
      <c r="D1347" t="s">
        <v>1463</v>
      </c>
      <c r="E1347" t="s">
        <v>118</v>
      </c>
      <c r="F1347" t="s">
        <v>28</v>
      </c>
      <c r="G1347" t="s">
        <v>58</v>
      </c>
      <c r="H1347" t="s">
        <v>1464</v>
      </c>
      <c r="I1347" s="2">
        <v>163.44</v>
      </c>
      <c r="J1347" s="3">
        <v>3</v>
      </c>
      <c r="K1347" s="2">
        <v>45.76</v>
      </c>
    </row>
    <row r="1348" spans="1:11" x14ac:dyDescent="0.35">
      <c r="A1348" s="1">
        <v>42013</v>
      </c>
      <c r="B1348" s="3">
        <f t="shared" si="42"/>
        <v>2015</v>
      </c>
      <c r="C1348" s="3">
        <f t="shared" si="43"/>
        <v>1</v>
      </c>
      <c r="D1348" t="s">
        <v>1463</v>
      </c>
      <c r="E1348" t="s">
        <v>118</v>
      </c>
      <c r="F1348" t="s">
        <v>28</v>
      </c>
      <c r="G1348" t="s">
        <v>64</v>
      </c>
      <c r="H1348" t="s">
        <v>1465</v>
      </c>
      <c r="I1348" s="2">
        <v>42.76</v>
      </c>
      <c r="J1348" s="3">
        <v>2</v>
      </c>
      <c r="K1348" s="2">
        <v>11.12</v>
      </c>
    </row>
    <row r="1349" spans="1:11" x14ac:dyDescent="0.35">
      <c r="A1349" s="1">
        <v>42013</v>
      </c>
      <c r="B1349" s="3">
        <f t="shared" si="42"/>
        <v>2015</v>
      </c>
      <c r="C1349" s="3">
        <f t="shared" si="43"/>
        <v>1</v>
      </c>
      <c r="D1349" t="s">
        <v>1463</v>
      </c>
      <c r="E1349" t="s">
        <v>118</v>
      </c>
      <c r="F1349" t="s">
        <v>28</v>
      </c>
      <c r="G1349" t="s">
        <v>29</v>
      </c>
      <c r="H1349" t="s">
        <v>1466</v>
      </c>
      <c r="I1349" s="2">
        <v>51.55</v>
      </c>
      <c r="J1349" s="3">
        <v>5</v>
      </c>
      <c r="K1349" s="2">
        <v>24.23</v>
      </c>
    </row>
    <row r="1350" spans="1:11" x14ac:dyDescent="0.35">
      <c r="A1350" s="1">
        <v>42044</v>
      </c>
      <c r="B1350" s="3">
        <f t="shared" si="42"/>
        <v>2015</v>
      </c>
      <c r="C1350" s="3">
        <f t="shared" si="43"/>
        <v>2</v>
      </c>
      <c r="D1350" t="s">
        <v>1250</v>
      </c>
      <c r="E1350" t="s">
        <v>32</v>
      </c>
      <c r="F1350" t="s">
        <v>13</v>
      </c>
      <c r="G1350" t="s">
        <v>14</v>
      </c>
      <c r="H1350" t="s">
        <v>749</v>
      </c>
      <c r="I1350" s="2">
        <v>20.8</v>
      </c>
      <c r="J1350" s="3">
        <v>2</v>
      </c>
      <c r="K1350" s="2">
        <v>6.5</v>
      </c>
    </row>
    <row r="1351" spans="1:11" x14ac:dyDescent="0.35">
      <c r="A1351" s="1">
        <v>42044</v>
      </c>
      <c r="B1351" s="3">
        <f t="shared" si="42"/>
        <v>2015</v>
      </c>
      <c r="C1351" s="3">
        <f t="shared" si="43"/>
        <v>2</v>
      </c>
      <c r="D1351" t="s">
        <v>1118</v>
      </c>
      <c r="E1351" t="s">
        <v>32</v>
      </c>
      <c r="F1351" t="s">
        <v>28</v>
      </c>
      <c r="G1351" t="s">
        <v>46</v>
      </c>
      <c r="H1351" t="s">
        <v>559</v>
      </c>
      <c r="I1351" s="2">
        <v>40.1</v>
      </c>
      <c r="J1351" s="3">
        <v>4</v>
      </c>
      <c r="K1351" s="2">
        <v>13.53</v>
      </c>
    </row>
    <row r="1352" spans="1:11" x14ac:dyDescent="0.35">
      <c r="A1352" s="1">
        <v>42044</v>
      </c>
      <c r="B1352" s="3">
        <f t="shared" si="42"/>
        <v>2015</v>
      </c>
      <c r="C1352" s="3">
        <f t="shared" si="43"/>
        <v>2</v>
      </c>
      <c r="D1352" t="s">
        <v>1118</v>
      </c>
      <c r="E1352" t="s">
        <v>32</v>
      </c>
      <c r="F1352" t="s">
        <v>18</v>
      </c>
      <c r="G1352" t="s">
        <v>36</v>
      </c>
      <c r="H1352" t="s">
        <v>847</v>
      </c>
      <c r="I1352" s="2">
        <v>40.78</v>
      </c>
      <c r="J1352" s="3">
        <v>2</v>
      </c>
      <c r="K1352" s="2">
        <v>-30.59</v>
      </c>
    </row>
    <row r="1353" spans="1:11" x14ac:dyDescent="0.35">
      <c r="A1353" s="1">
        <v>42044</v>
      </c>
      <c r="B1353" s="3">
        <f t="shared" si="42"/>
        <v>2015</v>
      </c>
      <c r="C1353" s="3">
        <f t="shared" si="43"/>
        <v>2</v>
      </c>
      <c r="D1353" t="s">
        <v>1320</v>
      </c>
      <c r="E1353" t="s">
        <v>45</v>
      </c>
      <c r="F1353" t="s">
        <v>18</v>
      </c>
      <c r="G1353" t="s">
        <v>19</v>
      </c>
      <c r="H1353" t="s">
        <v>305</v>
      </c>
      <c r="I1353" s="2">
        <v>203.92</v>
      </c>
      <c r="J1353" s="3">
        <v>5</v>
      </c>
      <c r="K1353" s="2">
        <v>22.94</v>
      </c>
    </row>
    <row r="1354" spans="1:11" x14ac:dyDescent="0.35">
      <c r="A1354" s="1">
        <v>42044</v>
      </c>
      <c r="B1354" s="3">
        <f t="shared" si="42"/>
        <v>2015</v>
      </c>
      <c r="C1354" s="3">
        <f t="shared" si="43"/>
        <v>2</v>
      </c>
      <c r="D1354" t="s">
        <v>933</v>
      </c>
      <c r="E1354" t="s">
        <v>26</v>
      </c>
      <c r="F1354" t="s">
        <v>13</v>
      </c>
      <c r="G1354" t="s">
        <v>14</v>
      </c>
      <c r="H1354" t="s">
        <v>673</v>
      </c>
      <c r="I1354" s="2">
        <v>479.95</v>
      </c>
      <c r="J1354" s="3">
        <v>6</v>
      </c>
      <c r="K1354" s="2">
        <v>89.99</v>
      </c>
    </row>
    <row r="1355" spans="1:11" x14ac:dyDescent="0.35">
      <c r="A1355" s="1">
        <v>42072</v>
      </c>
      <c r="B1355" s="3">
        <f t="shared" si="42"/>
        <v>2015</v>
      </c>
      <c r="C1355" s="3">
        <f t="shared" si="43"/>
        <v>3</v>
      </c>
      <c r="D1355" t="s">
        <v>1368</v>
      </c>
      <c r="E1355" t="s">
        <v>32</v>
      </c>
      <c r="F1355" t="s">
        <v>13</v>
      </c>
      <c r="G1355" t="s">
        <v>14</v>
      </c>
      <c r="H1355" t="s">
        <v>395</v>
      </c>
      <c r="I1355" s="2">
        <v>113.52</v>
      </c>
      <c r="J1355" s="3">
        <v>5</v>
      </c>
      <c r="K1355" s="2">
        <v>29.8</v>
      </c>
    </row>
    <row r="1356" spans="1:11" x14ac:dyDescent="0.35">
      <c r="A1356" s="1">
        <v>42072</v>
      </c>
      <c r="B1356" s="3">
        <f t="shared" si="42"/>
        <v>2015</v>
      </c>
      <c r="C1356" s="3">
        <f t="shared" si="43"/>
        <v>3</v>
      </c>
      <c r="D1356" t="s">
        <v>1368</v>
      </c>
      <c r="E1356" t="s">
        <v>32</v>
      </c>
      <c r="F1356" t="s">
        <v>13</v>
      </c>
      <c r="G1356" t="s">
        <v>23</v>
      </c>
      <c r="H1356" t="s">
        <v>515</v>
      </c>
      <c r="I1356" s="2">
        <v>359.88</v>
      </c>
      <c r="J1356" s="3">
        <v>3</v>
      </c>
      <c r="K1356" s="2">
        <v>22.49</v>
      </c>
    </row>
    <row r="1357" spans="1:11" x14ac:dyDescent="0.35">
      <c r="A1357" s="1">
        <v>42072</v>
      </c>
      <c r="B1357" s="3">
        <f t="shared" si="42"/>
        <v>2015</v>
      </c>
      <c r="C1357" s="3">
        <f t="shared" si="43"/>
        <v>3</v>
      </c>
      <c r="D1357" t="s">
        <v>1467</v>
      </c>
      <c r="E1357" t="s">
        <v>81</v>
      </c>
      <c r="F1357" t="s">
        <v>28</v>
      </c>
      <c r="G1357" t="s">
        <v>46</v>
      </c>
      <c r="H1357" t="s">
        <v>299</v>
      </c>
      <c r="I1357" s="2">
        <v>4.6100000000000003</v>
      </c>
      <c r="J1357" s="3">
        <v>2</v>
      </c>
      <c r="K1357" s="2">
        <v>1.67</v>
      </c>
    </row>
    <row r="1358" spans="1:11" x14ac:dyDescent="0.35">
      <c r="A1358" s="1">
        <v>42103</v>
      </c>
      <c r="B1358" s="3">
        <f t="shared" si="42"/>
        <v>2015</v>
      </c>
      <c r="C1358" s="3">
        <f t="shared" si="43"/>
        <v>4</v>
      </c>
      <c r="D1358" t="s">
        <v>893</v>
      </c>
      <c r="E1358" t="s">
        <v>45</v>
      </c>
      <c r="F1358" t="s">
        <v>18</v>
      </c>
      <c r="G1358" t="s">
        <v>42</v>
      </c>
      <c r="H1358" t="s">
        <v>1468</v>
      </c>
      <c r="I1358" s="2">
        <v>369.91</v>
      </c>
      <c r="J1358" s="3">
        <v>3</v>
      </c>
      <c r="K1358" s="2">
        <v>-13.87</v>
      </c>
    </row>
    <row r="1359" spans="1:11" x14ac:dyDescent="0.35">
      <c r="A1359" s="1">
        <v>42103</v>
      </c>
      <c r="B1359" s="3">
        <f t="shared" si="42"/>
        <v>2015</v>
      </c>
      <c r="C1359" s="3">
        <f t="shared" si="43"/>
        <v>4</v>
      </c>
      <c r="D1359" t="s">
        <v>1469</v>
      </c>
      <c r="E1359" t="s">
        <v>22</v>
      </c>
      <c r="F1359" t="s">
        <v>28</v>
      </c>
      <c r="G1359" t="s">
        <v>38</v>
      </c>
      <c r="H1359" t="s">
        <v>776</v>
      </c>
      <c r="I1359" s="2">
        <v>17.940000000000001</v>
      </c>
      <c r="J1359" s="3">
        <v>3</v>
      </c>
      <c r="K1359" s="2">
        <v>3.05</v>
      </c>
    </row>
    <row r="1360" spans="1:11" x14ac:dyDescent="0.35">
      <c r="A1360" s="1">
        <v>42103</v>
      </c>
      <c r="B1360" s="3">
        <f t="shared" si="42"/>
        <v>2015</v>
      </c>
      <c r="C1360" s="3">
        <f t="shared" si="43"/>
        <v>4</v>
      </c>
      <c r="D1360" t="s">
        <v>1470</v>
      </c>
      <c r="E1360" t="s">
        <v>323</v>
      </c>
      <c r="F1360" t="s">
        <v>28</v>
      </c>
      <c r="G1360" t="s">
        <v>58</v>
      </c>
      <c r="H1360" t="s">
        <v>1471</v>
      </c>
      <c r="I1360" s="2">
        <v>370.14</v>
      </c>
      <c r="J1360" s="3">
        <v>3</v>
      </c>
      <c r="K1360" s="2">
        <v>144.35</v>
      </c>
    </row>
    <row r="1361" spans="1:11" x14ac:dyDescent="0.35">
      <c r="A1361" s="1">
        <v>42133</v>
      </c>
      <c r="B1361" s="3">
        <f t="shared" si="42"/>
        <v>2015</v>
      </c>
      <c r="C1361" s="3">
        <f t="shared" si="43"/>
        <v>5</v>
      </c>
      <c r="D1361" t="s">
        <v>985</v>
      </c>
      <c r="E1361" t="s">
        <v>118</v>
      </c>
      <c r="F1361" t="s">
        <v>28</v>
      </c>
      <c r="G1361" t="s">
        <v>48</v>
      </c>
      <c r="H1361" t="s">
        <v>419</v>
      </c>
      <c r="I1361" s="2">
        <v>48.81</v>
      </c>
      <c r="J1361" s="3">
        <v>3</v>
      </c>
      <c r="K1361" s="2">
        <v>23.92</v>
      </c>
    </row>
    <row r="1362" spans="1:11" x14ac:dyDescent="0.35">
      <c r="A1362" s="1">
        <v>42164</v>
      </c>
      <c r="B1362" s="3">
        <f t="shared" si="42"/>
        <v>2015</v>
      </c>
      <c r="C1362" s="3">
        <f t="shared" si="43"/>
        <v>6</v>
      </c>
      <c r="D1362" t="s">
        <v>1472</v>
      </c>
      <c r="E1362" t="s">
        <v>173</v>
      </c>
      <c r="F1362" t="s">
        <v>28</v>
      </c>
      <c r="G1362" t="s">
        <v>48</v>
      </c>
      <c r="H1362" t="s">
        <v>464</v>
      </c>
      <c r="I1362" s="2">
        <v>113.1</v>
      </c>
      <c r="J1362" s="3">
        <v>3</v>
      </c>
      <c r="K1362" s="2">
        <v>56.55</v>
      </c>
    </row>
    <row r="1363" spans="1:11" x14ac:dyDescent="0.35">
      <c r="A1363" s="1">
        <v>42164</v>
      </c>
      <c r="B1363" s="3">
        <f t="shared" si="42"/>
        <v>2015</v>
      </c>
      <c r="C1363" s="3">
        <f t="shared" si="43"/>
        <v>6</v>
      </c>
      <c r="D1363" t="s">
        <v>279</v>
      </c>
      <c r="E1363" t="s">
        <v>71</v>
      </c>
      <c r="F1363" t="s">
        <v>28</v>
      </c>
      <c r="G1363" t="s">
        <v>29</v>
      </c>
      <c r="H1363" t="s">
        <v>459</v>
      </c>
      <c r="I1363" s="2">
        <v>12.96</v>
      </c>
      <c r="J1363" s="3">
        <v>2</v>
      </c>
      <c r="K1363" s="2">
        <v>6.22</v>
      </c>
    </row>
    <row r="1364" spans="1:11" x14ac:dyDescent="0.35">
      <c r="A1364" s="1">
        <v>42164</v>
      </c>
      <c r="B1364" s="3">
        <f t="shared" si="42"/>
        <v>2015</v>
      </c>
      <c r="C1364" s="3">
        <f t="shared" si="43"/>
        <v>6</v>
      </c>
      <c r="D1364" t="s">
        <v>1473</v>
      </c>
      <c r="E1364" t="s">
        <v>871</v>
      </c>
      <c r="F1364" t="s">
        <v>18</v>
      </c>
      <c r="G1364" t="s">
        <v>36</v>
      </c>
      <c r="H1364" t="s">
        <v>174</v>
      </c>
      <c r="I1364" s="2">
        <v>355.36</v>
      </c>
      <c r="J1364" s="3">
        <v>4</v>
      </c>
      <c r="K1364" s="2">
        <v>92.39</v>
      </c>
    </row>
    <row r="1365" spans="1:11" x14ac:dyDescent="0.35">
      <c r="A1365" s="1">
        <v>42164</v>
      </c>
      <c r="B1365" s="3">
        <f t="shared" si="42"/>
        <v>2015</v>
      </c>
      <c r="C1365" s="3">
        <f t="shared" si="43"/>
        <v>6</v>
      </c>
      <c r="D1365" t="s">
        <v>1473</v>
      </c>
      <c r="E1365" t="s">
        <v>871</v>
      </c>
      <c r="F1365" t="s">
        <v>13</v>
      </c>
      <c r="G1365" t="s">
        <v>23</v>
      </c>
      <c r="H1365" t="s">
        <v>1474</v>
      </c>
      <c r="I1365" s="2">
        <v>140.38</v>
      </c>
      <c r="J1365" s="3">
        <v>3</v>
      </c>
      <c r="K1365" s="2">
        <v>8.77</v>
      </c>
    </row>
    <row r="1366" spans="1:11" x14ac:dyDescent="0.35">
      <c r="A1366" s="1">
        <v>42164</v>
      </c>
      <c r="B1366" s="3">
        <f t="shared" si="42"/>
        <v>2015</v>
      </c>
      <c r="C1366" s="3">
        <f t="shared" si="43"/>
        <v>6</v>
      </c>
      <c r="D1366" t="s">
        <v>1475</v>
      </c>
      <c r="E1366" t="s">
        <v>77</v>
      </c>
      <c r="F1366" t="s">
        <v>28</v>
      </c>
      <c r="G1366" t="s">
        <v>48</v>
      </c>
      <c r="H1366" t="s">
        <v>681</v>
      </c>
      <c r="I1366" s="2">
        <v>64.2</v>
      </c>
      <c r="J1366" s="3">
        <v>5</v>
      </c>
      <c r="K1366" s="2">
        <v>-42.8</v>
      </c>
    </row>
    <row r="1367" spans="1:11" x14ac:dyDescent="0.35">
      <c r="A1367" s="1">
        <v>42164</v>
      </c>
      <c r="B1367" s="3">
        <f t="shared" si="42"/>
        <v>2015</v>
      </c>
      <c r="C1367" s="3">
        <f t="shared" si="43"/>
        <v>6</v>
      </c>
      <c r="D1367" t="s">
        <v>1475</v>
      </c>
      <c r="E1367" t="s">
        <v>77</v>
      </c>
      <c r="F1367" t="s">
        <v>28</v>
      </c>
      <c r="G1367" t="s">
        <v>48</v>
      </c>
      <c r="H1367" t="s">
        <v>1476</v>
      </c>
      <c r="I1367" s="2">
        <v>38.520000000000003</v>
      </c>
      <c r="J1367" s="3">
        <v>3</v>
      </c>
      <c r="K1367" s="2">
        <v>-26.96</v>
      </c>
    </row>
    <row r="1368" spans="1:11" x14ac:dyDescent="0.35">
      <c r="A1368" s="1">
        <v>42164</v>
      </c>
      <c r="B1368" s="3">
        <f t="shared" si="42"/>
        <v>2015</v>
      </c>
      <c r="C1368" s="3">
        <f t="shared" si="43"/>
        <v>6</v>
      </c>
      <c r="D1368" t="s">
        <v>1475</v>
      </c>
      <c r="E1368" t="s">
        <v>77</v>
      </c>
      <c r="F1368" t="s">
        <v>13</v>
      </c>
      <c r="G1368" t="s">
        <v>14</v>
      </c>
      <c r="H1368" t="s">
        <v>1477</v>
      </c>
      <c r="I1368" s="2">
        <v>72.599999999999994</v>
      </c>
      <c r="J1368" s="3">
        <v>5</v>
      </c>
      <c r="K1368" s="2">
        <v>-8.17</v>
      </c>
    </row>
    <row r="1369" spans="1:11" x14ac:dyDescent="0.35">
      <c r="A1369" s="1">
        <v>42194</v>
      </c>
      <c r="B1369" s="3">
        <f t="shared" si="42"/>
        <v>2015</v>
      </c>
      <c r="C1369" s="3">
        <f t="shared" si="43"/>
        <v>7</v>
      </c>
      <c r="D1369" t="s">
        <v>1097</v>
      </c>
      <c r="E1369" t="s">
        <v>51</v>
      </c>
      <c r="F1369" t="s">
        <v>28</v>
      </c>
      <c r="G1369" t="s">
        <v>29</v>
      </c>
      <c r="H1369" t="s">
        <v>1478</v>
      </c>
      <c r="I1369" s="2">
        <v>6.58</v>
      </c>
      <c r="J1369" s="3">
        <v>2</v>
      </c>
      <c r="K1369" s="2">
        <v>3.03</v>
      </c>
    </row>
    <row r="1370" spans="1:11" x14ac:dyDescent="0.35">
      <c r="A1370" s="1">
        <v>42194</v>
      </c>
      <c r="B1370" s="3">
        <f t="shared" si="42"/>
        <v>2015</v>
      </c>
      <c r="C1370" s="3">
        <f t="shared" si="43"/>
        <v>7</v>
      </c>
      <c r="D1370" t="s">
        <v>1097</v>
      </c>
      <c r="E1370" t="s">
        <v>51</v>
      </c>
      <c r="F1370" t="s">
        <v>28</v>
      </c>
      <c r="G1370" t="s">
        <v>48</v>
      </c>
      <c r="H1370" t="s">
        <v>686</v>
      </c>
      <c r="I1370" s="2">
        <v>122.94</v>
      </c>
      <c r="J1370" s="3">
        <v>3</v>
      </c>
      <c r="K1370" s="2">
        <v>59.01</v>
      </c>
    </row>
    <row r="1371" spans="1:11" x14ac:dyDescent="0.35">
      <c r="A1371" s="1">
        <v>42194</v>
      </c>
      <c r="B1371" s="3">
        <f t="shared" si="42"/>
        <v>2015</v>
      </c>
      <c r="C1371" s="3">
        <f t="shared" si="43"/>
        <v>7</v>
      </c>
      <c r="D1371" t="s">
        <v>450</v>
      </c>
      <c r="E1371" t="s">
        <v>326</v>
      </c>
      <c r="F1371" t="s">
        <v>28</v>
      </c>
      <c r="G1371" t="s">
        <v>64</v>
      </c>
      <c r="H1371" t="s">
        <v>1439</v>
      </c>
      <c r="I1371" s="2">
        <v>5.16</v>
      </c>
      <c r="J1371" s="3">
        <v>3</v>
      </c>
      <c r="K1371" s="2">
        <v>0.84</v>
      </c>
    </row>
    <row r="1372" spans="1:11" x14ac:dyDescent="0.35">
      <c r="A1372" s="1">
        <v>42194</v>
      </c>
      <c r="B1372" s="3">
        <f t="shared" si="42"/>
        <v>2015</v>
      </c>
      <c r="C1372" s="3">
        <f t="shared" si="43"/>
        <v>7</v>
      </c>
      <c r="D1372" t="s">
        <v>1438</v>
      </c>
      <c r="E1372" t="s">
        <v>249</v>
      </c>
      <c r="F1372" t="s">
        <v>28</v>
      </c>
      <c r="G1372" t="s">
        <v>33</v>
      </c>
      <c r="H1372" t="s">
        <v>1479</v>
      </c>
      <c r="I1372" s="2">
        <v>15.8</v>
      </c>
      <c r="J1372" s="3">
        <v>4</v>
      </c>
      <c r="K1372" s="2">
        <v>5.0599999999999996</v>
      </c>
    </row>
    <row r="1373" spans="1:11" x14ac:dyDescent="0.35">
      <c r="A1373" s="1">
        <v>42194</v>
      </c>
      <c r="B1373" s="3">
        <f t="shared" si="42"/>
        <v>2015</v>
      </c>
      <c r="C1373" s="3">
        <f t="shared" si="43"/>
        <v>7</v>
      </c>
      <c r="D1373" t="s">
        <v>1438</v>
      </c>
      <c r="E1373" t="s">
        <v>249</v>
      </c>
      <c r="F1373" t="s">
        <v>13</v>
      </c>
      <c r="G1373" t="s">
        <v>204</v>
      </c>
      <c r="H1373" t="s">
        <v>1480</v>
      </c>
      <c r="I1373" s="2">
        <v>464.97</v>
      </c>
      <c r="J1373" s="3">
        <v>3</v>
      </c>
      <c r="K1373" s="2">
        <v>209.24</v>
      </c>
    </row>
    <row r="1374" spans="1:11" x14ac:dyDescent="0.35">
      <c r="A1374" s="1">
        <v>42194</v>
      </c>
      <c r="B1374" s="3">
        <f t="shared" si="42"/>
        <v>2015</v>
      </c>
      <c r="C1374" s="3">
        <f t="shared" si="43"/>
        <v>7</v>
      </c>
      <c r="D1374" t="s">
        <v>1438</v>
      </c>
      <c r="E1374" t="s">
        <v>249</v>
      </c>
      <c r="F1374" t="s">
        <v>18</v>
      </c>
      <c r="G1374" t="s">
        <v>36</v>
      </c>
      <c r="H1374" t="s">
        <v>1481</v>
      </c>
      <c r="I1374" s="2">
        <v>181.96</v>
      </c>
      <c r="J1374" s="3">
        <v>2</v>
      </c>
      <c r="K1374" s="2">
        <v>20.02</v>
      </c>
    </row>
    <row r="1375" spans="1:11" x14ac:dyDescent="0.35">
      <c r="A1375" s="1">
        <v>42194</v>
      </c>
      <c r="B1375" s="3">
        <f t="shared" si="42"/>
        <v>2015</v>
      </c>
      <c r="C1375" s="3">
        <f t="shared" si="43"/>
        <v>7</v>
      </c>
      <c r="D1375" t="s">
        <v>1438</v>
      </c>
      <c r="E1375" t="s">
        <v>249</v>
      </c>
      <c r="F1375" t="s">
        <v>28</v>
      </c>
      <c r="G1375" t="s">
        <v>46</v>
      </c>
      <c r="H1375" t="s">
        <v>1482</v>
      </c>
      <c r="I1375" s="2">
        <v>12.39</v>
      </c>
      <c r="J1375" s="3">
        <v>3</v>
      </c>
      <c r="K1375" s="2">
        <v>5.7</v>
      </c>
    </row>
    <row r="1376" spans="1:11" x14ac:dyDescent="0.35">
      <c r="A1376" s="1">
        <v>42194</v>
      </c>
      <c r="B1376" s="3">
        <f t="shared" si="42"/>
        <v>2015</v>
      </c>
      <c r="C1376" s="3">
        <f t="shared" si="43"/>
        <v>7</v>
      </c>
      <c r="D1376" t="s">
        <v>1438</v>
      </c>
      <c r="E1376" t="s">
        <v>249</v>
      </c>
      <c r="F1376" t="s">
        <v>28</v>
      </c>
      <c r="G1376" t="s">
        <v>48</v>
      </c>
      <c r="H1376" t="s">
        <v>992</v>
      </c>
      <c r="I1376" s="2">
        <v>84.09</v>
      </c>
      <c r="J1376" s="3">
        <v>3</v>
      </c>
      <c r="K1376" s="2">
        <v>42.05</v>
      </c>
    </row>
    <row r="1377" spans="1:11" x14ac:dyDescent="0.35">
      <c r="A1377" s="1">
        <v>42194</v>
      </c>
      <c r="B1377" s="3">
        <f t="shared" si="42"/>
        <v>2015</v>
      </c>
      <c r="C1377" s="3">
        <f t="shared" si="43"/>
        <v>7</v>
      </c>
      <c r="D1377" t="s">
        <v>1438</v>
      </c>
      <c r="E1377" t="s">
        <v>249</v>
      </c>
      <c r="F1377" t="s">
        <v>28</v>
      </c>
      <c r="G1377" t="s">
        <v>64</v>
      </c>
      <c r="H1377" t="s">
        <v>976</v>
      </c>
      <c r="I1377" s="2">
        <v>79.36</v>
      </c>
      <c r="J1377" s="3">
        <v>4</v>
      </c>
      <c r="K1377" s="2">
        <v>32.54</v>
      </c>
    </row>
    <row r="1378" spans="1:11" x14ac:dyDescent="0.35">
      <c r="A1378" s="1">
        <v>42194</v>
      </c>
      <c r="B1378" s="3">
        <f t="shared" si="42"/>
        <v>2015</v>
      </c>
      <c r="C1378" s="3">
        <f t="shared" si="43"/>
        <v>7</v>
      </c>
      <c r="D1378" t="s">
        <v>1438</v>
      </c>
      <c r="E1378" t="s">
        <v>249</v>
      </c>
      <c r="F1378" t="s">
        <v>28</v>
      </c>
      <c r="G1378" t="s">
        <v>48</v>
      </c>
      <c r="H1378" t="s">
        <v>1483</v>
      </c>
      <c r="I1378" s="2">
        <v>153.36000000000001</v>
      </c>
      <c r="J1378" s="3">
        <v>9</v>
      </c>
      <c r="K1378" s="2">
        <v>70.55</v>
      </c>
    </row>
    <row r="1379" spans="1:11" x14ac:dyDescent="0.35">
      <c r="A1379" s="1">
        <v>42194</v>
      </c>
      <c r="B1379" s="3">
        <f t="shared" si="42"/>
        <v>2015</v>
      </c>
      <c r="C1379" s="3">
        <f t="shared" si="43"/>
        <v>7</v>
      </c>
      <c r="D1379" t="s">
        <v>1438</v>
      </c>
      <c r="E1379" t="s">
        <v>249</v>
      </c>
      <c r="F1379" t="s">
        <v>28</v>
      </c>
      <c r="G1379" t="s">
        <v>48</v>
      </c>
      <c r="H1379" t="s">
        <v>1484</v>
      </c>
      <c r="I1379" s="2">
        <v>43.68</v>
      </c>
      <c r="J1379" s="3">
        <v>6</v>
      </c>
      <c r="K1379" s="2">
        <v>21.4</v>
      </c>
    </row>
    <row r="1380" spans="1:11" x14ac:dyDescent="0.35">
      <c r="A1380" s="1">
        <v>42194</v>
      </c>
      <c r="B1380" s="3">
        <f t="shared" si="42"/>
        <v>2015</v>
      </c>
      <c r="C1380" s="3">
        <f t="shared" si="43"/>
        <v>7</v>
      </c>
      <c r="D1380" t="s">
        <v>1438</v>
      </c>
      <c r="E1380" t="s">
        <v>249</v>
      </c>
      <c r="F1380" t="s">
        <v>28</v>
      </c>
      <c r="G1380" t="s">
        <v>38</v>
      </c>
      <c r="H1380" t="s">
        <v>1485</v>
      </c>
      <c r="I1380" s="2">
        <v>98.21</v>
      </c>
      <c r="J1380" s="3">
        <v>7</v>
      </c>
      <c r="K1380" s="2">
        <v>28.48</v>
      </c>
    </row>
    <row r="1381" spans="1:11" x14ac:dyDescent="0.35">
      <c r="A1381" s="1">
        <v>42194</v>
      </c>
      <c r="B1381" s="3">
        <f t="shared" si="42"/>
        <v>2015</v>
      </c>
      <c r="C1381" s="3">
        <f t="shared" si="43"/>
        <v>7</v>
      </c>
      <c r="D1381" t="s">
        <v>246</v>
      </c>
      <c r="E1381" t="s">
        <v>89</v>
      </c>
      <c r="F1381" t="s">
        <v>13</v>
      </c>
      <c r="G1381" t="s">
        <v>23</v>
      </c>
      <c r="H1381" t="s">
        <v>1486</v>
      </c>
      <c r="I1381" s="2">
        <v>269.98</v>
      </c>
      <c r="J1381" s="3">
        <v>3</v>
      </c>
      <c r="K1381" s="2">
        <v>40.5</v>
      </c>
    </row>
    <row r="1382" spans="1:11" x14ac:dyDescent="0.35">
      <c r="A1382" s="1">
        <v>42194</v>
      </c>
      <c r="B1382" s="3">
        <f t="shared" si="42"/>
        <v>2015</v>
      </c>
      <c r="C1382" s="3">
        <f t="shared" si="43"/>
        <v>7</v>
      </c>
      <c r="D1382" t="s">
        <v>970</v>
      </c>
      <c r="E1382" t="s">
        <v>32</v>
      </c>
      <c r="F1382" t="s">
        <v>28</v>
      </c>
      <c r="G1382" t="s">
        <v>58</v>
      </c>
      <c r="H1382" t="s">
        <v>1487</v>
      </c>
      <c r="I1382" s="2">
        <v>48.63</v>
      </c>
      <c r="J1382" s="3">
        <v>2</v>
      </c>
      <c r="K1382" s="2">
        <v>-121.58</v>
      </c>
    </row>
    <row r="1383" spans="1:11" x14ac:dyDescent="0.35">
      <c r="A1383" s="1">
        <v>42225</v>
      </c>
      <c r="B1383" s="3">
        <f t="shared" si="42"/>
        <v>2015</v>
      </c>
      <c r="C1383" s="3">
        <f t="shared" si="43"/>
        <v>8</v>
      </c>
      <c r="D1383" t="s">
        <v>1239</v>
      </c>
      <c r="E1383" t="s">
        <v>71</v>
      </c>
      <c r="F1383" t="s">
        <v>28</v>
      </c>
      <c r="G1383" t="s">
        <v>64</v>
      </c>
      <c r="H1383" t="s">
        <v>1488</v>
      </c>
      <c r="I1383" s="2">
        <v>2.2000000000000002</v>
      </c>
      <c r="J1383" s="3">
        <v>1</v>
      </c>
      <c r="K1383" s="2">
        <v>0.97</v>
      </c>
    </row>
    <row r="1384" spans="1:11" x14ac:dyDescent="0.35">
      <c r="A1384" s="1">
        <v>42225</v>
      </c>
      <c r="B1384" s="3">
        <f t="shared" si="42"/>
        <v>2015</v>
      </c>
      <c r="C1384" s="3">
        <f t="shared" si="43"/>
        <v>8</v>
      </c>
      <c r="D1384" t="s">
        <v>1239</v>
      </c>
      <c r="E1384" t="s">
        <v>71</v>
      </c>
      <c r="F1384" t="s">
        <v>18</v>
      </c>
      <c r="G1384" t="s">
        <v>42</v>
      </c>
      <c r="H1384" t="s">
        <v>672</v>
      </c>
      <c r="I1384" s="2">
        <v>622.45000000000005</v>
      </c>
      <c r="J1384" s="3">
        <v>5</v>
      </c>
      <c r="K1384" s="2">
        <v>136.94</v>
      </c>
    </row>
    <row r="1385" spans="1:11" x14ac:dyDescent="0.35">
      <c r="A1385" s="1">
        <v>42225</v>
      </c>
      <c r="B1385" s="3">
        <f t="shared" si="42"/>
        <v>2015</v>
      </c>
      <c r="C1385" s="3">
        <f t="shared" si="43"/>
        <v>8</v>
      </c>
      <c r="D1385" t="s">
        <v>1239</v>
      </c>
      <c r="E1385" t="s">
        <v>71</v>
      </c>
      <c r="F1385" t="s">
        <v>28</v>
      </c>
      <c r="G1385" t="s">
        <v>38</v>
      </c>
      <c r="H1385" t="s">
        <v>585</v>
      </c>
      <c r="I1385" s="2">
        <v>21.98</v>
      </c>
      <c r="J1385" s="3">
        <v>1</v>
      </c>
      <c r="K1385" s="2">
        <v>0.22</v>
      </c>
    </row>
    <row r="1386" spans="1:11" x14ac:dyDescent="0.35">
      <c r="A1386" s="1">
        <v>42225</v>
      </c>
      <c r="B1386" s="3">
        <f t="shared" si="42"/>
        <v>2015</v>
      </c>
      <c r="C1386" s="3">
        <f t="shared" si="43"/>
        <v>8</v>
      </c>
      <c r="D1386" t="s">
        <v>1336</v>
      </c>
      <c r="E1386" t="s">
        <v>22</v>
      </c>
      <c r="F1386" t="s">
        <v>13</v>
      </c>
      <c r="G1386" t="s">
        <v>23</v>
      </c>
      <c r="H1386" t="s">
        <v>1418</v>
      </c>
      <c r="I1386" s="2">
        <v>307.98</v>
      </c>
      <c r="J1386" s="3">
        <v>2</v>
      </c>
      <c r="K1386" s="2">
        <v>89.31</v>
      </c>
    </row>
    <row r="1387" spans="1:11" x14ac:dyDescent="0.35">
      <c r="A1387" s="1">
        <v>42225</v>
      </c>
      <c r="B1387" s="3">
        <f t="shared" si="42"/>
        <v>2015</v>
      </c>
      <c r="C1387" s="3">
        <f t="shared" si="43"/>
        <v>8</v>
      </c>
      <c r="D1387" t="s">
        <v>1336</v>
      </c>
      <c r="E1387" t="s">
        <v>22</v>
      </c>
      <c r="F1387" t="s">
        <v>18</v>
      </c>
      <c r="G1387" t="s">
        <v>42</v>
      </c>
      <c r="H1387" t="s">
        <v>1489</v>
      </c>
      <c r="I1387" s="2">
        <v>382.81</v>
      </c>
      <c r="J1387" s="3">
        <v>9</v>
      </c>
      <c r="K1387" s="2">
        <v>-153.12</v>
      </c>
    </row>
    <row r="1388" spans="1:11" x14ac:dyDescent="0.35">
      <c r="A1388" s="1">
        <v>42225</v>
      </c>
      <c r="B1388" s="3">
        <f t="shared" si="42"/>
        <v>2015</v>
      </c>
      <c r="C1388" s="3">
        <f t="shared" si="43"/>
        <v>8</v>
      </c>
      <c r="D1388" t="s">
        <v>1336</v>
      </c>
      <c r="E1388" t="s">
        <v>22</v>
      </c>
      <c r="F1388" t="s">
        <v>28</v>
      </c>
      <c r="G1388" t="s">
        <v>38</v>
      </c>
      <c r="H1388" t="s">
        <v>574</v>
      </c>
      <c r="I1388" s="2">
        <v>41.96</v>
      </c>
      <c r="J1388" s="3">
        <v>2</v>
      </c>
      <c r="K1388" s="2">
        <v>2.94</v>
      </c>
    </row>
    <row r="1389" spans="1:11" x14ac:dyDescent="0.35">
      <c r="A1389" s="1">
        <v>42225</v>
      </c>
      <c r="B1389" s="3">
        <f t="shared" si="42"/>
        <v>2015</v>
      </c>
      <c r="C1389" s="3">
        <f t="shared" si="43"/>
        <v>8</v>
      </c>
      <c r="D1389" t="s">
        <v>1336</v>
      </c>
      <c r="E1389" t="s">
        <v>22</v>
      </c>
      <c r="F1389" t="s">
        <v>28</v>
      </c>
      <c r="G1389" t="s">
        <v>48</v>
      </c>
      <c r="H1389" t="s">
        <v>1252</v>
      </c>
      <c r="I1389" s="2">
        <v>1217.57</v>
      </c>
      <c r="J1389" s="3">
        <v>2</v>
      </c>
      <c r="K1389" s="2">
        <v>456.59</v>
      </c>
    </row>
    <row r="1390" spans="1:11" x14ac:dyDescent="0.35">
      <c r="A1390" s="1">
        <v>42225</v>
      </c>
      <c r="B1390" s="3">
        <f t="shared" si="42"/>
        <v>2015</v>
      </c>
      <c r="C1390" s="3">
        <f t="shared" si="43"/>
        <v>8</v>
      </c>
      <c r="D1390" t="s">
        <v>1336</v>
      </c>
      <c r="E1390" t="s">
        <v>22</v>
      </c>
      <c r="F1390" t="s">
        <v>18</v>
      </c>
      <c r="G1390" t="s">
        <v>36</v>
      </c>
      <c r="H1390" t="s">
        <v>1490</v>
      </c>
      <c r="I1390" s="2">
        <v>47.04</v>
      </c>
      <c r="J1390" s="3">
        <v>3</v>
      </c>
      <c r="K1390" s="2">
        <v>18.350000000000001</v>
      </c>
    </row>
    <row r="1391" spans="1:11" x14ac:dyDescent="0.35">
      <c r="A1391" s="1">
        <v>42225</v>
      </c>
      <c r="B1391" s="3">
        <f t="shared" si="42"/>
        <v>2015</v>
      </c>
      <c r="C1391" s="3">
        <f t="shared" si="43"/>
        <v>8</v>
      </c>
      <c r="D1391" t="s">
        <v>1336</v>
      </c>
      <c r="E1391" t="s">
        <v>22</v>
      </c>
      <c r="F1391" t="s">
        <v>18</v>
      </c>
      <c r="G1391" t="s">
        <v>36</v>
      </c>
      <c r="H1391" t="s">
        <v>1036</v>
      </c>
      <c r="I1391" s="2">
        <v>6.16</v>
      </c>
      <c r="J1391" s="3">
        <v>2</v>
      </c>
      <c r="K1391" s="2">
        <v>2.96</v>
      </c>
    </row>
    <row r="1392" spans="1:11" x14ac:dyDescent="0.35">
      <c r="A1392" s="1">
        <v>42225</v>
      </c>
      <c r="B1392" s="3">
        <f t="shared" si="42"/>
        <v>2015</v>
      </c>
      <c r="C1392" s="3">
        <f t="shared" si="43"/>
        <v>8</v>
      </c>
      <c r="D1392" t="s">
        <v>1336</v>
      </c>
      <c r="E1392" t="s">
        <v>22</v>
      </c>
      <c r="F1392" t="s">
        <v>13</v>
      </c>
      <c r="G1392" t="s">
        <v>23</v>
      </c>
      <c r="H1392" t="s">
        <v>321</v>
      </c>
      <c r="I1392" s="2">
        <v>979.95</v>
      </c>
      <c r="J1392" s="3">
        <v>5</v>
      </c>
      <c r="K1392" s="2">
        <v>274.39</v>
      </c>
    </row>
    <row r="1393" spans="1:11" x14ac:dyDescent="0.35">
      <c r="A1393" s="1">
        <v>42225</v>
      </c>
      <c r="B1393" s="3">
        <f t="shared" si="42"/>
        <v>2015</v>
      </c>
      <c r="C1393" s="3">
        <f t="shared" si="43"/>
        <v>8</v>
      </c>
      <c r="D1393" t="s">
        <v>1336</v>
      </c>
      <c r="E1393" t="s">
        <v>22</v>
      </c>
      <c r="F1393" t="s">
        <v>28</v>
      </c>
      <c r="G1393" t="s">
        <v>29</v>
      </c>
      <c r="H1393" t="s">
        <v>1399</v>
      </c>
      <c r="I1393" s="2">
        <v>143.69999999999999</v>
      </c>
      <c r="J1393" s="3">
        <v>3</v>
      </c>
      <c r="K1393" s="2">
        <v>68.98</v>
      </c>
    </row>
    <row r="1394" spans="1:11" x14ac:dyDescent="0.35">
      <c r="A1394" s="1">
        <v>42225</v>
      </c>
      <c r="B1394" s="3">
        <f t="shared" si="42"/>
        <v>2015</v>
      </c>
      <c r="C1394" s="3">
        <f t="shared" si="43"/>
        <v>8</v>
      </c>
      <c r="D1394" t="s">
        <v>1336</v>
      </c>
      <c r="E1394" t="s">
        <v>22</v>
      </c>
      <c r="F1394" t="s">
        <v>28</v>
      </c>
      <c r="G1394" t="s">
        <v>33</v>
      </c>
      <c r="H1394" t="s">
        <v>90</v>
      </c>
      <c r="I1394" s="2">
        <v>10.65</v>
      </c>
      <c r="J1394" s="3">
        <v>3</v>
      </c>
      <c r="K1394" s="2">
        <v>5.01</v>
      </c>
    </row>
    <row r="1395" spans="1:11" x14ac:dyDescent="0.35">
      <c r="A1395" s="1">
        <v>42225</v>
      </c>
      <c r="B1395" s="3">
        <f t="shared" si="42"/>
        <v>2015</v>
      </c>
      <c r="C1395" s="3">
        <f t="shared" si="43"/>
        <v>8</v>
      </c>
      <c r="D1395" t="s">
        <v>1336</v>
      </c>
      <c r="E1395" t="s">
        <v>22</v>
      </c>
      <c r="F1395" t="s">
        <v>13</v>
      </c>
      <c r="G1395" t="s">
        <v>14</v>
      </c>
      <c r="H1395" t="s">
        <v>1491</v>
      </c>
      <c r="I1395" s="2">
        <v>247.8</v>
      </c>
      <c r="J1395" s="3">
        <v>4</v>
      </c>
      <c r="K1395" s="2">
        <v>34.69</v>
      </c>
    </row>
    <row r="1396" spans="1:11" x14ac:dyDescent="0.35">
      <c r="A1396" s="1">
        <v>42225</v>
      </c>
      <c r="B1396" s="3">
        <f t="shared" si="42"/>
        <v>2015</v>
      </c>
      <c r="C1396" s="3">
        <f t="shared" si="43"/>
        <v>8</v>
      </c>
      <c r="D1396" t="s">
        <v>669</v>
      </c>
      <c r="E1396" t="s">
        <v>77</v>
      </c>
      <c r="F1396" t="s">
        <v>28</v>
      </c>
      <c r="G1396" t="s">
        <v>46</v>
      </c>
      <c r="H1396" t="s">
        <v>1492</v>
      </c>
      <c r="I1396" s="2">
        <v>4.6100000000000003</v>
      </c>
      <c r="J1396" s="3">
        <v>2</v>
      </c>
      <c r="K1396" s="2">
        <v>1.67</v>
      </c>
    </row>
    <row r="1397" spans="1:11" x14ac:dyDescent="0.35">
      <c r="A1397" s="1">
        <v>42225</v>
      </c>
      <c r="B1397" s="3">
        <f t="shared" si="42"/>
        <v>2015</v>
      </c>
      <c r="C1397" s="3">
        <f t="shared" si="43"/>
        <v>8</v>
      </c>
      <c r="D1397" t="s">
        <v>21</v>
      </c>
      <c r="E1397" t="s">
        <v>12</v>
      </c>
      <c r="F1397" t="s">
        <v>18</v>
      </c>
      <c r="G1397" t="s">
        <v>237</v>
      </c>
      <c r="H1397" t="s">
        <v>1493</v>
      </c>
      <c r="I1397" s="2">
        <v>687.4</v>
      </c>
      <c r="J1397" s="3">
        <v>5</v>
      </c>
      <c r="K1397" s="2">
        <v>48.12</v>
      </c>
    </row>
    <row r="1398" spans="1:11" x14ac:dyDescent="0.35">
      <c r="A1398" s="1">
        <v>42225</v>
      </c>
      <c r="B1398" s="3">
        <f t="shared" si="42"/>
        <v>2015</v>
      </c>
      <c r="C1398" s="3">
        <f t="shared" si="43"/>
        <v>8</v>
      </c>
      <c r="D1398" t="s">
        <v>1494</v>
      </c>
      <c r="E1398" t="s">
        <v>22</v>
      </c>
      <c r="F1398" t="s">
        <v>18</v>
      </c>
      <c r="G1398" t="s">
        <v>36</v>
      </c>
      <c r="H1398" t="s">
        <v>494</v>
      </c>
      <c r="I1398" s="2">
        <v>10.02</v>
      </c>
      <c r="J1398" s="3">
        <v>3</v>
      </c>
      <c r="K1398" s="2">
        <v>4.41</v>
      </c>
    </row>
    <row r="1399" spans="1:11" x14ac:dyDescent="0.35">
      <c r="A1399" s="1">
        <v>42225</v>
      </c>
      <c r="B1399" s="3">
        <f t="shared" si="42"/>
        <v>2015</v>
      </c>
      <c r="C1399" s="3">
        <f t="shared" si="43"/>
        <v>8</v>
      </c>
      <c r="D1399" t="s">
        <v>1494</v>
      </c>
      <c r="E1399" t="s">
        <v>22</v>
      </c>
      <c r="F1399" t="s">
        <v>28</v>
      </c>
      <c r="G1399" t="s">
        <v>29</v>
      </c>
      <c r="H1399" t="s">
        <v>1495</v>
      </c>
      <c r="I1399" s="2">
        <v>144.12</v>
      </c>
      <c r="J1399" s="3">
        <v>3</v>
      </c>
      <c r="K1399" s="2">
        <v>69.180000000000007</v>
      </c>
    </row>
    <row r="1400" spans="1:11" x14ac:dyDescent="0.35">
      <c r="A1400" s="1">
        <v>42286</v>
      </c>
      <c r="B1400" s="3">
        <f t="shared" si="42"/>
        <v>2015</v>
      </c>
      <c r="C1400" s="3">
        <f t="shared" si="43"/>
        <v>10</v>
      </c>
      <c r="D1400" t="s">
        <v>1101</v>
      </c>
      <c r="E1400" t="s">
        <v>173</v>
      </c>
      <c r="F1400" t="s">
        <v>28</v>
      </c>
      <c r="G1400" t="s">
        <v>38</v>
      </c>
      <c r="H1400" t="s">
        <v>812</v>
      </c>
      <c r="I1400" s="2">
        <v>30.84</v>
      </c>
      <c r="J1400" s="3">
        <v>2</v>
      </c>
      <c r="K1400" s="2">
        <v>8.33</v>
      </c>
    </row>
    <row r="1401" spans="1:11" x14ac:dyDescent="0.35">
      <c r="A1401" s="1">
        <v>42286</v>
      </c>
      <c r="B1401" s="3">
        <f t="shared" si="42"/>
        <v>2015</v>
      </c>
      <c r="C1401" s="3">
        <f t="shared" si="43"/>
        <v>10</v>
      </c>
      <c r="D1401" t="s">
        <v>736</v>
      </c>
      <c r="E1401" t="s">
        <v>22</v>
      </c>
      <c r="F1401" t="s">
        <v>13</v>
      </c>
      <c r="G1401" t="s">
        <v>23</v>
      </c>
      <c r="H1401" t="s">
        <v>899</v>
      </c>
      <c r="I1401" s="2">
        <v>631.96</v>
      </c>
      <c r="J1401" s="3">
        <v>4</v>
      </c>
      <c r="K1401" s="2">
        <v>303.33999999999997</v>
      </c>
    </row>
    <row r="1402" spans="1:11" x14ac:dyDescent="0.35">
      <c r="A1402" s="1">
        <v>42286</v>
      </c>
      <c r="B1402" s="3">
        <f t="shared" si="42"/>
        <v>2015</v>
      </c>
      <c r="C1402" s="3">
        <f t="shared" si="43"/>
        <v>10</v>
      </c>
      <c r="D1402" t="s">
        <v>736</v>
      </c>
      <c r="E1402" t="s">
        <v>22</v>
      </c>
      <c r="F1402" t="s">
        <v>28</v>
      </c>
      <c r="G1402" t="s">
        <v>29</v>
      </c>
      <c r="H1402" t="s">
        <v>773</v>
      </c>
      <c r="I1402" s="2">
        <v>23.92</v>
      </c>
      <c r="J1402" s="3">
        <v>4</v>
      </c>
      <c r="K1402" s="2">
        <v>10.76</v>
      </c>
    </row>
    <row r="1403" spans="1:11" x14ac:dyDescent="0.35">
      <c r="A1403" s="1">
        <v>42286</v>
      </c>
      <c r="B1403" s="3">
        <f t="shared" si="42"/>
        <v>2015</v>
      </c>
      <c r="C1403" s="3">
        <f t="shared" si="43"/>
        <v>10</v>
      </c>
      <c r="D1403" t="s">
        <v>771</v>
      </c>
      <c r="E1403" t="s">
        <v>71</v>
      </c>
      <c r="F1403" t="s">
        <v>13</v>
      </c>
      <c r="G1403" t="s">
        <v>14</v>
      </c>
      <c r="H1403" t="s">
        <v>1238</v>
      </c>
      <c r="I1403" s="2">
        <v>619.95000000000005</v>
      </c>
      <c r="J1403" s="3">
        <v>5</v>
      </c>
      <c r="K1403" s="2">
        <v>111.59</v>
      </c>
    </row>
    <row r="1404" spans="1:11" x14ac:dyDescent="0.35">
      <c r="A1404" s="1">
        <v>42286</v>
      </c>
      <c r="B1404" s="3">
        <f t="shared" si="42"/>
        <v>2015</v>
      </c>
      <c r="C1404" s="3">
        <f t="shared" si="43"/>
        <v>10</v>
      </c>
      <c r="D1404" t="s">
        <v>771</v>
      </c>
      <c r="E1404" t="s">
        <v>71</v>
      </c>
      <c r="F1404" t="s">
        <v>13</v>
      </c>
      <c r="G1404" t="s">
        <v>23</v>
      </c>
      <c r="H1404" t="s">
        <v>1496</v>
      </c>
      <c r="I1404" s="2">
        <v>29.16</v>
      </c>
      <c r="J1404" s="3">
        <v>3</v>
      </c>
      <c r="K1404" s="2">
        <v>8.4600000000000009</v>
      </c>
    </row>
    <row r="1405" spans="1:11" x14ac:dyDescent="0.35">
      <c r="A1405" s="1">
        <v>42286</v>
      </c>
      <c r="B1405" s="3">
        <f t="shared" si="42"/>
        <v>2015</v>
      </c>
      <c r="C1405" s="3">
        <f t="shared" si="43"/>
        <v>10</v>
      </c>
      <c r="D1405" t="s">
        <v>771</v>
      </c>
      <c r="E1405" t="s">
        <v>71</v>
      </c>
      <c r="F1405" t="s">
        <v>28</v>
      </c>
      <c r="G1405" t="s">
        <v>158</v>
      </c>
      <c r="H1405" t="s">
        <v>159</v>
      </c>
      <c r="I1405" s="2">
        <v>57.96</v>
      </c>
      <c r="J1405" s="3">
        <v>7</v>
      </c>
      <c r="K1405" s="2">
        <v>27.24</v>
      </c>
    </row>
    <row r="1406" spans="1:11" x14ac:dyDescent="0.35">
      <c r="A1406" s="1">
        <v>42286</v>
      </c>
      <c r="B1406" s="3">
        <f t="shared" si="42"/>
        <v>2015</v>
      </c>
      <c r="C1406" s="3">
        <f t="shared" si="43"/>
        <v>10</v>
      </c>
      <c r="D1406" t="s">
        <v>771</v>
      </c>
      <c r="E1406" t="s">
        <v>71</v>
      </c>
      <c r="F1406" t="s">
        <v>28</v>
      </c>
      <c r="G1406" t="s">
        <v>58</v>
      </c>
      <c r="H1406" t="s">
        <v>176</v>
      </c>
      <c r="I1406" s="2">
        <v>29.4</v>
      </c>
      <c r="J1406" s="3">
        <v>3</v>
      </c>
      <c r="K1406" s="2">
        <v>5.23</v>
      </c>
    </row>
    <row r="1407" spans="1:11" x14ac:dyDescent="0.35">
      <c r="A1407" s="1">
        <v>42286</v>
      </c>
      <c r="B1407" s="3">
        <f t="shared" si="42"/>
        <v>2015</v>
      </c>
      <c r="C1407" s="3">
        <f t="shared" si="43"/>
        <v>10</v>
      </c>
      <c r="D1407" t="s">
        <v>1497</v>
      </c>
      <c r="E1407" t="s">
        <v>77</v>
      </c>
      <c r="F1407" t="s">
        <v>28</v>
      </c>
      <c r="G1407" t="s">
        <v>48</v>
      </c>
      <c r="H1407" t="s">
        <v>53</v>
      </c>
      <c r="I1407" s="2">
        <v>1.87</v>
      </c>
      <c r="J1407" s="3">
        <v>2</v>
      </c>
      <c r="K1407" s="2">
        <v>-1.31</v>
      </c>
    </row>
    <row r="1408" spans="1:11" x14ac:dyDescent="0.35">
      <c r="A1408" s="1">
        <v>42286</v>
      </c>
      <c r="B1408" s="3">
        <f t="shared" si="42"/>
        <v>2015</v>
      </c>
      <c r="C1408" s="3">
        <f t="shared" si="43"/>
        <v>10</v>
      </c>
      <c r="D1408" t="s">
        <v>1497</v>
      </c>
      <c r="E1408" t="s">
        <v>77</v>
      </c>
      <c r="F1408" t="s">
        <v>28</v>
      </c>
      <c r="G1408" t="s">
        <v>48</v>
      </c>
      <c r="H1408" t="s">
        <v>1498</v>
      </c>
      <c r="I1408" s="2">
        <v>11.21</v>
      </c>
      <c r="J1408" s="3">
        <v>2</v>
      </c>
      <c r="K1408" s="2">
        <v>-8.6</v>
      </c>
    </row>
    <row r="1409" spans="1:11" x14ac:dyDescent="0.35">
      <c r="A1409" s="1">
        <v>42286</v>
      </c>
      <c r="B1409" s="3">
        <f t="shared" si="42"/>
        <v>2015</v>
      </c>
      <c r="C1409" s="3">
        <f t="shared" si="43"/>
        <v>10</v>
      </c>
      <c r="D1409" t="s">
        <v>1497</v>
      </c>
      <c r="E1409" t="s">
        <v>77</v>
      </c>
      <c r="F1409" t="s">
        <v>28</v>
      </c>
      <c r="G1409" t="s">
        <v>64</v>
      </c>
      <c r="H1409" t="s">
        <v>1499</v>
      </c>
      <c r="I1409" s="2">
        <v>37.380000000000003</v>
      </c>
      <c r="J1409" s="3">
        <v>8</v>
      </c>
      <c r="K1409" s="2">
        <v>7.48</v>
      </c>
    </row>
    <row r="1410" spans="1:11" x14ac:dyDescent="0.35">
      <c r="A1410" s="1">
        <v>42286</v>
      </c>
      <c r="B1410" s="3">
        <f t="shared" ref="B1410:B1473" si="44">YEAR(A1410)</f>
        <v>2015</v>
      </c>
      <c r="C1410" s="3">
        <f t="shared" ref="C1410:C1473" si="45">MONTH(A1410)</f>
        <v>10</v>
      </c>
      <c r="D1410" t="s">
        <v>1500</v>
      </c>
      <c r="E1410" t="s">
        <v>71</v>
      </c>
      <c r="F1410" t="s">
        <v>18</v>
      </c>
      <c r="G1410" t="s">
        <v>19</v>
      </c>
      <c r="H1410" t="s">
        <v>1501</v>
      </c>
      <c r="I1410" s="2">
        <v>389.97</v>
      </c>
      <c r="J1410" s="3">
        <v>3</v>
      </c>
      <c r="K1410" s="2">
        <v>35.1</v>
      </c>
    </row>
    <row r="1411" spans="1:11" x14ac:dyDescent="0.35">
      <c r="A1411" s="1">
        <v>42286</v>
      </c>
      <c r="B1411" s="3">
        <f t="shared" si="44"/>
        <v>2015</v>
      </c>
      <c r="C1411" s="3">
        <f t="shared" si="45"/>
        <v>10</v>
      </c>
      <c r="D1411" t="s">
        <v>1500</v>
      </c>
      <c r="E1411" t="s">
        <v>71</v>
      </c>
      <c r="F1411" t="s">
        <v>28</v>
      </c>
      <c r="G1411" t="s">
        <v>58</v>
      </c>
      <c r="H1411" t="s">
        <v>1502</v>
      </c>
      <c r="I1411" s="2">
        <v>269.91000000000003</v>
      </c>
      <c r="J1411" s="3">
        <v>5</v>
      </c>
      <c r="K1411" s="2">
        <v>53.98</v>
      </c>
    </row>
    <row r="1412" spans="1:11" x14ac:dyDescent="0.35">
      <c r="A1412" s="1">
        <v>42317</v>
      </c>
      <c r="B1412" s="3">
        <f t="shared" si="44"/>
        <v>2015</v>
      </c>
      <c r="C1412" s="3">
        <f t="shared" si="45"/>
        <v>11</v>
      </c>
      <c r="D1412" t="s">
        <v>1503</v>
      </c>
      <c r="E1412" t="s">
        <v>89</v>
      </c>
      <c r="F1412" t="s">
        <v>28</v>
      </c>
      <c r="G1412" t="s">
        <v>29</v>
      </c>
      <c r="H1412" t="s">
        <v>1504</v>
      </c>
      <c r="I1412" s="2">
        <v>11.35</v>
      </c>
      <c r="J1412" s="3">
        <v>3</v>
      </c>
      <c r="K1412" s="2">
        <v>4.12</v>
      </c>
    </row>
    <row r="1413" spans="1:11" x14ac:dyDescent="0.35">
      <c r="A1413" s="1">
        <v>42317</v>
      </c>
      <c r="B1413" s="3">
        <f t="shared" si="44"/>
        <v>2015</v>
      </c>
      <c r="C1413" s="3">
        <f t="shared" si="45"/>
        <v>11</v>
      </c>
      <c r="D1413" t="s">
        <v>1505</v>
      </c>
      <c r="E1413" t="s">
        <v>190</v>
      </c>
      <c r="F1413" t="s">
        <v>28</v>
      </c>
      <c r="G1413" t="s">
        <v>48</v>
      </c>
      <c r="H1413" t="s">
        <v>1506</v>
      </c>
      <c r="I1413" s="2">
        <v>17.22</v>
      </c>
      <c r="J1413" s="3">
        <v>3</v>
      </c>
      <c r="K1413" s="2">
        <v>7.92</v>
      </c>
    </row>
    <row r="1414" spans="1:11" x14ac:dyDescent="0.35">
      <c r="A1414" s="1">
        <v>42317</v>
      </c>
      <c r="B1414" s="3">
        <f t="shared" si="44"/>
        <v>2015</v>
      </c>
      <c r="C1414" s="3">
        <f t="shared" si="45"/>
        <v>11</v>
      </c>
      <c r="D1414" t="s">
        <v>1505</v>
      </c>
      <c r="E1414" t="s">
        <v>190</v>
      </c>
      <c r="F1414" t="s">
        <v>18</v>
      </c>
      <c r="G1414" t="s">
        <v>42</v>
      </c>
      <c r="H1414" t="s">
        <v>1507</v>
      </c>
      <c r="I1414" s="2">
        <v>1024.3800000000001</v>
      </c>
      <c r="J1414" s="3">
        <v>7</v>
      </c>
      <c r="K1414" s="2">
        <v>215.12</v>
      </c>
    </row>
    <row r="1415" spans="1:11" x14ac:dyDescent="0.35">
      <c r="A1415" s="1">
        <v>42317</v>
      </c>
      <c r="B1415" s="3">
        <f t="shared" si="44"/>
        <v>2015</v>
      </c>
      <c r="C1415" s="3">
        <f t="shared" si="45"/>
        <v>11</v>
      </c>
      <c r="D1415" t="s">
        <v>1505</v>
      </c>
      <c r="E1415" t="s">
        <v>190</v>
      </c>
      <c r="F1415" t="s">
        <v>28</v>
      </c>
      <c r="G1415" t="s">
        <v>158</v>
      </c>
      <c r="H1415" t="s">
        <v>557</v>
      </c>
      <c r="I1415" s="2">
        <v>26.22</v>
      </c>
      <c r="J1415" s="3">
        <v>3</v>
      </c>
      <c r="K1415" s="2">
        <v>12.32</v>
      </c>
    </row>
    <row r="1416" spans="1:11" x14ac:dyDescent="0.35">
      <c r="A1416" s="1">
        <v>42317</v>
      </c>
      <c r="B1416" s="3">
        <f t="shared" si="44"/>
        <v>2015</v>
      </c>
      <c r="C1416" s="3">
        <f t="shared" si="45"/>
        <v>11</v>
      </c>
      <c r="D1416" t="s">
        <v>1505</v>
      </c>
      <c r="E1416" t="s">
        <v>190</v>
      </c>
      <c r="F1416" t="s">
        <v>28</v>
      </c>
      <c r="G1416" t="s">
        <v>29</v>
      </c>
      <c r="H1416" t="s">
        <v>1508</v>
      </c>
      <c r="I1416" s="2">
        <v>17.34</v>
      </c>
      <c r="J1416" s="3">
        <v>3</v>
      </c>
      <c r="K1416" s="2">
        <v>8.5</v>
      </c>
    </row>
    <row r="1417" spans="1:11" x14ac:dyDescent="0.35">
      <c r="A1417" s="1">
        <v>42317</v>
      </c>
      <c r="B1417" s="3">
        <f t="shared" si="44"/>
        <v>2015</v>
      </c>
      <c r="C1417" s="3">
        <f t="shared" si="45"/>
        <v>11</v>
      </c>
      <c r="D1417" t="s">
        <v>936</v>
      </c>
      <c r="E1417" t="s">
        <v>22</v>
      </c>
      <c r="F1417" t="s">
        <v>13</v>
      </c>
      <c r="G1417" t="s">
        <v>204</v>
      </c>
      <c r="H1417" t="s">
        <v>1454</v>
      </c>
      <c r="I1417" s="2">
        <v>2321.9</v>
      </c>
      <c r="J1417" s="3">
        <v>2</v>
      </c>
      <c r="K1417" s="2">
        <v>1114.51</v>
      </c>
    </row>
    <row r="1418" spans="1:11" x14ac:dyDescent="0.35">
      <c r="A1418" s="1">
        <v>42317</v>
      </c>
      <c r="B1418" s="3">
        <f t="shared" si="44"/>
        <v>2015</v>
      </c>
      <c r="C1418" s="3">
        <f t="shared" si="45"/>
        <v>11</v>
      </c>
      <c r="D1418" t="s">
        <v>936</v>
      </c>
      <c r="E1418" t="s">
        <v>22</v>
      </c>
      <c r="F1418" t="s">
        <v>28</v>
      </c>
      <c r="G1418" t="s">
        <v>38</v>
      </c>
      <c r="H1418" t="s">
        <v>776</v>
      </c>
      <c r="I1418" s="2">
        <v>17.940000000000001</v>
      </c>
      <c r="J1418" s="3">
        <v>3</v>
      </c>
      <c r="K1418" s="2">
        <v>3.05</v>
      </c>
    </row>
    <row r="1419" spans="1:11" x14ac:dyDescent="0.35">
      <c r="A1419" s="1">
        <v>42317</v>
      </c>
      <c r="B1419" s="3">
        <f t="shared" si="44"/>
        <v>2015</v>
      </c>
      <c r="C1419" s="3">
        <f t="shared" si="45"/>
        <v>11</v>
      </c>
      <c r="D1419" t="s">
        <v>1509</v>
      </c>
      <c r="E1419" t="s">
        <v>22</v>
      </c>
      <c r="F1419" t="s">
        <v>28</v>
      </c>
      <c r="G1419" t="s">
        <v>38</v>
      </c>
      <c r="H1419" t="s">
        <v>1089</v>
      </c>
      <c r="I1419" s="2">
        <v>244.55</v>
      </c>
      <c r="J1419" s="3">
        <v>5</v>
      </c>
      <c r="K1419" s="2">
        <v>4.8899999999999997</v>
      </c>
    </row>
    <row r="1420" spans="1:11" x14ac:dyDescent="0.35">
      <c r="A1420" s="1">
        <v>42317</v>
      </c>
      <c r="B1420" s="3">
        <f t="shared" si="44"/>
        <v>2015</v>
      </c>
      <c r="C1420" s="3">
        <f t="shared" si="45"/>
        <v>11</v>
      </c>
      <c r="D1420" t="s">
        <v>1509</v>
      </c>
      <c r="E1420" t="s">
        <v>22</v>
      </c>
      <c r="F1420" t="s">
        <v>28</v>
      </c>
      <c r="G1420" t="s">
        <v>158</v>
      </c>
      <c r="H1420" t="s">
        <v>1510</v>
      </c>
      <c r="I1420" s="2">
        <v>12.24</v>
      </c>
      <c r="J1420" s="3">
        <v>6</v>
      </c>
      <c r="K1420" s="2">
        <v>5.75</v>
      </c>
    </row>
    <row r="1421" spans="1:11" x14ac:dyDescent="0.35">
      <c r="A1421" s="1">
        <v>42317</v>
      </c>
      <c r="B1421" s="3">
        <f t="shared" si="44"/>
        <v>2015</v>
      </c>
      <c r="C1421" s="3">
        <f t="shared" si="45"/>
        <v>11</v>
      </c>
      <c r="D1421" t="s">
        <v>1509</v>
      </c>
      <c r="E1421" t="s">
        <v>22</v>
      </c>
      <c r="F1421" t="s">
        <v>13</v>
      </c>
      <c r="G1421" t="s">
        <v>14</v>
      </c>
      <c r="H1421" t="s">
        <v>1511</v>
      </c>
      <c r="I1421" s="2">
        <v>13.98</v>
      </c>
      <c r="J1421" s="3">
        <v>2</v>
      </c>
      <c r="K1421" s="2">
        <v>6.01</v>
      </c>
    </row>
    <row r="1422" spans="1:11" x14ac:dyDescent="0.35">
      <c r="A1422" s="1">
        <v>42317</v>
      </c>
      <c r="B1422" s="3">
        <f t="shared" si="44"/>
        <v>2015</v>
      </c>
      <c r="C1422" s="3">
        <f t="shared" si="45"/>
        <v>11</v>
      </c>
      <c r="D1422" t="s">
        <v>1509</v>
      </c>
      <c r="E1422" t="s">
        <v>22</v>
      </c>
      <c r="F1422" t="s">
        <v>13</v>
      </c>
      <c r="G1422" t="s">
        <v>14</v>
      </c>
      <c r="H1422" t="s">
        <v>1348</v>
      </c>
      <c r="I1422" s="2">
        <v>899.95</v>
      </c>
      <c r="J1422" s="3">
        <v>5</v>
      </c>
      <c r="K1422" s="2">
        <v>54</v>
      </c>
    </row>
    <row r="1423" spans="1:11" x14ac:dyDescent="0.35">
      <c r="A1423" s="1">
        <v>42317</v>
      </c>
      <c r="B1423" s="3">
        <f t="shared" si="44"/>
        <v>2015</v>
      </c>
      <c r="C1423" s="3">
        <f t="shared" si="45"/>
        <v>11</v>
      </c>
      <c r="D1423" t="s">
        <v>1512</v>
      </c>
      <c r="E1423" t="s">
        <v>45</v>
      </c>
      <c r="F1423" t="s">
        <v>28</v>
      </c>
      <c r="G1423" t="s">
        <v>33</v>
      </c>
      <c r="H1423" t="s">
        <v>1513</v>
      </c>
      <c r="I1423" s="2">
        <v>2.48</v>
      </c>
      <c r="J1423" s="3">
        <v>2</v>
      </c>
      <c r="K1423" s="2">
        <v>1.17</v>
      </c>
    </row>
    <row r="1424" spans="1:11" x14ac:dyDescent="0.35">
      <c r="A1424" s="1">
        <v>42317</v>
      </c>
      <c r="B1424" s="3">
        <f t="shared" si="44"/>
        <v>2015</v>
      </c>
      <c r="C1424" s="3">
        <f t="shared" si="45"/>
        <v>11</v>
      </c>
      <c r="D1424" t="s">
        <v>1472</v>
      </c>
      <c r="E1424" t="s">
        <v>575</v>
      </c>
      <c r="F1424" t="s">
        <v>28</v>
      </c>
      <c r="G1424" t="s">
        <v>48</v>
      </c>
      <c r="H1424" t="s">
        <v>1054</v>
      </c>
      <c r="I1424" s="2">
        <v>10.74</v>
      </c>
      <c r="J1424" s="3">
        <v>3</v>
      </c>
      <c r="K1424" s="2">
        <v>5.16</v>
      </c>
    </row>
    <row r="1425" spans="1:11" x14ac:dyDescent="0.35">
      <c r="A1425" s="1">
        <v>42347</v>
      </c>
      <c r="B1425" s="3">
        <f t="shared" si="44"/>
        <v>2015</v>
      </c>
      <c r="C1425" s="3">
        <f t="shared" si="45"/>
        <v>12</v>
      </c>
      <c r="D1425" t="s">
        <v>1514</v>
      </c>
      <c r="E1425" t="s">
        <v>575</v>
      </c>
      <c r="F1425" t="s">
        <v>28</v>
      </c>
      <c r="G1425" t="s">
        <v>29</v>
      </c>
      <c r="H1425" t="s">
        <v>1304</v>
      </c>
      <c r="I1425" s="2">
        <v>34.020000000000003</v>
      </c>
      <c r="J1425" s="3">
        <v>3</v>
      </c>
      <c r="K1425" s="2">
        <v>16.670000000000002</v>
      </c>
    </row>
    <row r="1426" spans="1:11" x14ac:dyDescent="0.35">
      <c r="A1426" s="1">
        <v>42014</v>
      </c>
      <c r="B1426" s="3">
        <f t="shared" si="44"/>
        <v>2015</v>
      </c>
      <c r="C1426" s="3">
        <f t="shared" si="45"/>
        <v>1</v>
      </c>
      <c r="D1426" t="s">
        <v>1515</v>
      </c>
      <c r="E1426" t="s">
        <v>22</v>
      </c>
      <c r="F1426" t="s">
        <v>18</v>
      </c>
      <c r="G1426" t="s">
        <v>42</v>
      </c>
      <c r="H1426" t="s">
        <v>1516</v>
      </c>
      <c r="I1426" s="2">
        <v>1018.1</v>
      </c>
      <c r="J1426" s="3">
        <v>4</v>
      </c>
      <c r="K1426" s="2">
        <v>-373.3</v>
      </c>
    </row>
    <row r="1427" spans="1:11" x14ac:dyDescent="0.35">
      <c r="A1427" s="1">
        <v>42045</v>
      </c>
      <c r="B1427" s="3">
        <f t="shared" si="44"/>
        <v>2015</v>
      </c>
      <c r="C1427" s="3">
        <f t="shared" si="45"/>
        <v>2</v>
      </c>
      <c r="D1427" t="s">
        <v>510</v>
      </c>
      <c r="E1427" t="s">
        <v>89</v>
      </c>
      <c r="F1427" t="s">
        <v>28</v>
      </c>
      <c r="G1427" t="s">
        <v>38</v>
      </c>
      <c r="H1427" t="s">
        <v>1132</v>
      </c>
      <c r="I1427" s="2">
        <v>77.239999999999995</v>
      </c>
      <c r="J1427" s="3">
        <v>5</v>
      </c>
      <c r="K1427" s="2">
        <v>7.72</v>
      </c>
    </row>
    <row r="1428" spans="1:11" x14ac:dyDescent="0.35">
      <c r="A1428" s="1">
        <v>42073</v>
      </c>
      <c r="B1428" s="3">
        <f t="shared" si="44"/>
        <v>2015</v>
      </c>
      <c r="C1428" s="3">
        <f t="shared" si="45"/>
        <v>3</v>
      </c>
      <c r="D1428" t="s">
        <v>727</v>
      </c>
      <c r="E1428" t="s">
        <v>32</v>
      </c>
      <c r="F1428" t="s">
        <v>28</v>
      </c>
      <c r="G1428" t="s">
        <v>48</v>
      </c>
      <c r="H1428" t="s">
        <v>1517</v>
      </c>
      <c r="I1428" s="2">
        <v>1.1100000000000001</v>
      </c>
      <c r="J1428" s="3">
        <v>2</v>
      </c>
      <c r="K1428" s="2">
        <v>-1.89</v>
      </c>
    </row>
    <row r="1429" spans="1:11" x14ac:dyDescent="0.35">
      <c r="A1429" s="1">
        <v>42073</v>
      </c>
      <c r="B1429" s="3">
        <f t="shared" si="44"/>
        <v>2015</v>
      </c>
      <c r="C1429" s="3">
        <f t="shared" si="45"/>
        <v>3</v>
      </c>
      <c r="D1429" t="s">
        <v>361</v>
      </c>
      <c r="E1429" t="s">
        <v>249</v>
      </c>
      <c r="F1429" t="s">
        <v>28</v>
      </c>
      <c r="G1429" t="s">
        <v>38</v>
      </c>
      <c r="H1429" t="s">
        <v>711</v>
      </c>
      <c r="I1429" s="2">
        <v>89.82</v>
      </c>
      <c r="J1429" s="3">
        <v>6</v>
      </c>
      <c r="K1429" s="2">
        <v>25.15</v>
      </c>
    </row>
    <row r="1430" spans="1:11" x14ac:dyDescent="0.35">
      <c r="A1430" s="1">
        <v>42104</v>
      </c>
      <c r="B1430" s="3">
        <f t="shared" si="44"/>
        <v>2015</v>
      </c>
      <c r="C1430" s="3">
        <f t="shared" si="45"/>
        <v>4</v>
      </c>
      <c r="D1430" t="s">
        <v>818</v>
      </c>
      <c r="E1430" t="s">
        <v>45</v>
      </c>
      <c r="F1430" t="s">
        <v>28</v>
      </c>
      <c r="G1430" t="s">
        <v>48</v>
      </c>
      <c r="H1430" t="s">
        <v>1298</v>
      </c>
      <c r="I1430" s="2">
        <v>12.83</v>
      </c>
      <c r="J1430" s="3">
        <v>2</v>
      </c>
      <c r="K1430" s="2">
        <v>4.33</v>
      </c>
    </row>
    <row r="1431" spans="1:11" x14ac:dyDescent="0.35">
      <c r="A1431" s="1">
        <v>42104</v>
      </c>
      <c r="B1431" s="3">
        <f t="shared" si="44"/>
        <v>2015</v>
      </c>
      <c r="C1431" s="3">
        <f t="shared" si="45"/>
        <v>4</v>
      </c>
      <c r="D1431" t="s">
        <v>1518</v>
      </c>
      <c r="E1431" t="s">
        <v>22</v>
      </c>
      <c r="F1431" t="s">
        <v>28</v>
      </c>
      <c r="G1431" t="s">
        <v>38</v>
      </c>
      <c r="H1431" t="s">
        <v>1519</v>
      </c>
      <c r="I1431" s="2">
        <v>142.04</v>
      </c>
      <c r="J1431" s="3">
        <v>4</v>
      </c>
      <c r="K1431" s="2">
        <v>38.35</v>
      </c>
    </row>
    <row r="1432" spans="1:11" x14ac:dyDescent="0.35">
      <c r="A1432" s="1">
        <v>42104</v>
      </c>
      <c r="B1432" s="3">
        <f t="shared" si="44"/>
        <v>2015</v>
      </c>
      <c r="C1432" s="3">
        <f t="shared" si="45"/>
        <v>4</v>
      </c>
      <c r="D1432" t="s">
        <v>1518</v>
      </c>
      <c r="E1432" t="s">
        <v>22</v>
      </c>
      <c r="F1432" t="s">
        <v>28</v>
      </c>
      <c r="G1432" t="s">
        <v>64</v>
      </c>
      <c r="H1432" t="s">
        <v>1520</v>
      </c>
      <c r="I1432" s="2">
        <v>14.67</v>
      </c>
      <c r="J1432" s="3">
        <v>3</v>
      </c>
      <c r="K1432" s="2">
        <v>6.01</v>
      </c>
    </row>
    <row r="1433" spans="1:11" x14ac:dyDescent="0.35">
      <c r="A1433" s="1">
        <v>42134</v>
      </c>
      <c r="B1433" s="3">
        <f t="shared" si="44"/>
        <v>2015</v>
      </c>
      <c r="C1433" s="3">
        <f t="shared" si="45"/>
        <v>5</v>
      </c>
      <c r="D1433" t="s">
        <v>463</v>
      </c>
      <c r="E1433" t="s">
        <v>26</v>
      </c>
      <c r="F1433" t="s">
        <v>28</v>
      </c>
      <c r="G1433" t="s">
        <v>58</v>
      </c>
      <c r="H1433" t="s">
        <v>1521</v>
      </c>
      <c r="I1433" s="2">
        <v>70.97</v>
      </c>
      <c r="J1433" s="3">
        <v>5</v>
      </c>
      <c r="K1433" s="2">
        <v>-191.62</v>
      </c>
    </row>
    <row r="1434" spans="1:11" x14ac:dyDescent="0.35">
      <c r="A1434" s="1">
        <v>42134</v>
      </c>
      <c r="B1434" s="3">
        <f t="shared" si="44"/>
        <v>2015</v>
      </c>
      <c r="C1434" s="3">
        <f t="shared" si="45"/>
        <v>5</v>
      </c>
      <c r="D1434" t="s">
        <v>463</v>
      </c>
      <c r="E1434" t="s">
        <v>26</v>
      </c>
      <c r="F1434" t="s">
        <v>28</v>
      </c>
      <c r="G1434" t="s">
        <v>64</v>
      </c>
      <c r="H1434" t="s">
        <v>477</v>
      </c>
      <c r="I1434" s="2">
        <v>36.78</v>
      </c>
      <c r="J1434" s="3">
        <v>2</v>
      </c>
      <c r="K1434" s="2">
        <v>3.68</v>
      </c>
    </row>
    <row r="1435" spans="1:11" x14ac:dyDescent="0.35">
      <c r="A1435" s="1">
        <v>42134</v>
      </c>
      <c r="B1435" s="3">
        <f t="shared" si="44"/>
        <v>2015</v>
      </c>
      <c r="C1435" s="3">
        <f t="shared" si="45"/>
        <v>5</v>
      </c>
      <c r="D1435" t="s">
        <v>1522</v>
      </c>
      <c r="E1435" t="s">
        <v>103</v>
      </c>
      <c r="F1435" t="s">
        <v>13</v>
      </c>
      <c r="G1435" t="s">
        <v>14</v>
      </c>
      <c r="H1435" t="s">
        <v>634</v>
      </c>
      <c r="I1435" s="2">
        <v>46.69</v>
      </c>
      <c r="J1435" s="3">
        <v>4</v>
      </c>
      <c r="K1435" s="2">
        <v>-2.92</v>
      </c>
    </row>
    <row r="1436" spans="1:11" x14ac:dyDescent="0.35">
      <c r="A1436" s="1">
        <v>42195</v>
      </c>
      <c r="B1436" s="3">
        <f t="shared" si="44"/>
        <v>2015</v>
      </c>
      <c r="C1436" s="3">
        <f t="shared" si="45"/>
        <v>7</v>
      </c>
      <c r="D1436" t="s">
        <v>186</v>
      </c>
      <c r="E1436" t="s">
        <v>211</v>
      </c>
      <c r="F1436" t="s">
        <v>28</v>
      </c>
      <c r="G1436" t="s">
        <v>48</v>
      </c>
      <c r="H1436" t="s">
        <v>1067</v>
      </c>
      <c r="I1436" s="2">
        <v>3.37</v>
      </c>
      <c r="J1436" s="3">
        <v>3</v>
      </c>
      <c r="K1436" s="2">
        <v>-2.2400000000000002</v>
      </c>
    </row>
    <row r="1437" spans="1:11" x14ac:dyDescent="0.35">
      <c r="A1437" s="1">
        <v>42195</v>
      </c>
      <c r="B1437" s="3">
        <f t="shared" si="44"/>
        <v>2015</v>
      </c>
      <c r="C1437" s="3">
        <f t="shared" si="45"/>
        <v>7</v>
      </c>
      <c r="D1437" t="s">
        <v>1264</v>
      </c>
      <c r="E1437" t="s">
        <v>45</v>
      </c>
      <c r="F1437" t="s">
        <v>28</v>
      </c>
      <c r="G1437" t="s">
        <v>48</v>
      </c>
      <c r="H1437" t="s">
        <v>513</v>
      </c>
      <c r="I1437" s="2">
        <v>39.92</v>
      </c>
      <c r="J1437" s="3">
        <v>2</v>
      </c>
      <c r="K1437" s="2">
        <v>12.97</v>
      </c>
    </row>
    <row r="1438" spans="1:11" x14ac:dyDescent="0.35">
      <c r="A1438" s="1">
        <v>42226</v>
      </c>
      <c r="B1438" s="3">
        <f t="shared" si="44"/>
        <v>2015</v>
      </c>
      <c r="C1438" s="3">
        <f t="shared" si="45"/>
        <v>8</v>
      </c>
      <c r="D1438" t="s">
        <v>227</v>
      </c>
      <c r="E1438" t="s">
        <v>55</v>
      </c>
      <c r="F1438" t="s">
        <v>28</v>
      </c>
      <c r="G1438" t="s">
        <v>46</v>
      </c>
      <c r="H1438" t="s">
        <v>532</v>
      </c>
      <c r="I1438" s="2">
        <v>3.75</v>
      </c>
      <c r="J1438" s="3">
        <v>1</v>
      </c>
      <c r="K1438" s="2">
        <v>1.8</v>
      </c>
    </row>
    <row r="1439" spans="1:11" x14ac:dyDescent="0.35">
      <c r="A1439" s="1">
        <v>42226</v>
      </c>
      <c r="B1439" s="3">
        <f t="shared" si="44"/>
        <v>2015</v>
      </c>
      <c r="C1439" s="3">
        <f t="shared" si="45"/>
        <v>8</v>
      </c>
      <c r="D1439" t="s">
        <v>227</v>
      </c>
      <c r="E1439" t="s">
        <v>55</v>
      </c>
      <c r="F1439" t="s">
        <v>28</v>
      </c>
      <c r="G1439" t="s">
        <v>46</v>
      </c>
      <c r="H1439" t="s">
        <v>1523</v>
      </c>
      <c r="I1439" s="2">
        <v>41.4</v>
      </c>
      <c r="J1439" s="3">
        <v>4</v>
      </c>
      <c r="K1439" s="2">
        <v>19.87</v>
      </c>
    </row>
    <row r="1440" spans="1:11" x14ac:dyDescent="0.35">
      <c r="A1440" s="1">
        <v>42226</v>
      </c>
      <c r="B1440" s="3">
        <f t="shared" si="44"/>
        <v>2015</v>
      </c>
      <c r="C1440" s="3">
        <f t="shared" si="45"/>
        <v>8</v>
      </c>
      <c r="D1440" t="s">
        <v>227</v>
      </c>
      <c r="E1440" t="s">
        <v>55</v>
      </c>
      <c r="F1440" t="s">
        <v>28</v>
      </c>
      <c r="G1440" t="s">
        <v>64</v>
      </c>
      <c r="H1440" t="s">
        <v>1524</v>
      </c>
      <c r="I1440" s="2">
        <v>29.79</v>
      </c>
      <c r="J1440" s="3">
        <v>3</v>
      </c>
      <c r="K1440" s="2">
        <v>12.51</v>
      </c>
    </row>
    <row r="1441" spans="1:11" x14ac:dyDescent="0.35">
      <c r="A1441" s="1">
        <v>42226</v>
      </c>
      <c r="B1441" s="3">
        <f t="shared" si="44"/>
        <v>2015</v>
      </c>
      <c r="C1441" s="3">
        <f t="shared" si="45"/>
        <v>8</v>
      </c>
      <c r="D1441" t="s">
        <v>412</v>
      </c>
      <c r="E1441" t="s">
        <v>107</v>
      </c>
      <c r="F1441" t="s">
        <v>13</v>
      </c>
      <c r="G1441" t="s">
        <v>23</v>
      </c>
      <c r="H1441" t="s">
        <v>971</v>
      </c>
      <c r="I1441" s="2">
        <v>438.37</v>
      </c>
      <c r="J1441" s="3">
        <v>4</v>
      </c>
      <c r="K1441" s="2">
        <v>38.36</v>
      </c>
    </row>
    <row r="1442" spans="1:11" x14ac:dyDescent="0.35">
      <c r="A1442" s="1">
        <v>42226</v>
      </c>
      <c r="B1442" s="3">
        <f t="shared" si="44"/>
        <v>2015</v>
      </c>
      <c r="C1442" s="3">
        <f t="shared" si="45"/>
        <v>8</v>
      </c>
      <c r="D1442" t="s">
        <v>412</v>
      </c>
      <c r="E1442" t="s">
        <v>107</v>
      </c>
      <c r="F1442" t="s">
        <v>13</v>
      </c>
      <c r="G1442" t="s">
        <v>23</v>
      </c>
      <c r="H1442" t="s">
        <v>1318</v>
      </c>
      <c r="I1442" s="2">
        <v>139.94</v>
      </c>
      <c r="J1442" s="3">
        <v>7</v>
      </c>
      <c r="K1442" s="2">
        <v>-31.49</v>
      </c>
    </row>
    <row r="1443" spans="1:11" x14ac:dyDescent="0.35">
      <c r="A1443" s="1">
        <v>42226</v>
      </c>
      <c r="B1443" s="3">
        <f t="shared" si="44"/>
        <v>2015</v>
      </c>
      <c r="C1443" s="3">
        <f t="shared" si="45"/>
        <v>8</v>
      </c>
      <c r="D1443" t="s">
        <v>412</v>
      </c>
      <c r="E1443" t="s">
        <v>107</v>
      </c>
      <c r="F1443" t="s">
        <v>28</v>
      </c>
      <c r="G1443" t="s">
        <v>58</v>
      </c>
      <c r="H1443" t="s">
        <v>520</v>
      </c>
      <c r="I1443" s="2">
        <v>133.47</v>
      </c>
      <c r="J1443" s="3">
        <v>4</v>
      </c>
      <c r="K1443" s="2">
        <v>15.02</v>
      </c>
    </row>
    <row r="1444" spans="1:11" x14ac:dyDescent="0.35">
      <c r="A1444" s="1">
        <v>42226</v>
      </c>
      <c r="B1444" s="3">
        <f t="shared" si="44"/>
        <v>2015</v>
      </c>
      <c r="C1444" s="3">
        <f t="shared" si="45"/>
        <v>8</v>
      </c>
      <c r="D1444" t="s">
        <v>1525</v>
      </c>
      <c r="E1444" t="s">
        <v>71</v>
      </c>
      <c r="F1444" t="s">
        <v>28</v>
      </c>
      <c r="G1444" t="s">
        <v>48</v>
      </c>
      <c r="H1444" t="s">
        <v>1526</v>
      </c>
      <c r="I1444" s="2">
        <v>64.75</v>
      </c>
      <c r="J1444" s="3">
        <v>5</v>
      </c>
      <c r="K1444" s="2">
        <v>29.14</v>
      </c>
    </row>
    <row r="1445" spans="1:11" x14ac:dyDescent="0.35">
      <c r="A1445" s="1">
        <v>42257</v>
      </c>
      <c r="B1445" s="3">
        <f t="shared" si="44"/>
        <v>2015</v>
      </c>
      <c r="C1445" s="3">
        <f t="shared" si="45"/>
        <v>9</v>
      </c>
      <c r="D1445" t="s">
        <v>1379</v>
      </c>
      <c r="E1445" t="s">
        <v>45</v>
      </c>
      <c r="F1445" t="s">
        <v>28</v>
      </c>
      <c r="G1445" t="s">
        <v>215</v>
      </c>
      <c r="H1445" t="s">
        <v>538</v>
      </c>
      <c r="I1445" s="2">
        <v>51.52</v>
      </c>
      <c r="J1445" s="3">
        <v>4</v>
      </c>
      <c r="K1445" s="2">
        <v>1.55</v>
      </c>
    </row>
    <row r="1446" spans="1:11" x14ac:dyDescent="0.35">
      <c r="A1446" s="1">
        <v>42257</v>
      </c>
      <c r="B1446" s="3">
        <f t="shared" si="44"/>
        <v>2015</v>
      </c>
      <c r="C1446" s="3">
        <f t="shared" si="45"/>
        <v>9</v>
      </c>
      <c r="D1446" t="s">
        <v>424</v>
      </c>
      <c r="E1446" t="s">
        <v>339</v>
      </c>
      <c r="F1446" t="s">
        <v>28</v>
      </c>
      <c r="G1446" t="s">
        <v>29</v>
      </c>
      <c r="H1446" t="s">
        <v>1527</v>
      </c>
      <c r="I1446" s="2">
        <v>14.94</v>
      </c>
      <c r="J1446" s="3">
        <v>3</v>
      </c>
      <c r="K1446" s="2">
        <v>7.02</v>
      </c>
    </row>
    <row r="1447" spans="1:11" x14ac:dyDescent="0.35">
      <c r="A1447" s="1">
        <v>42257</v>
      </c>
      <c r="B1447" s="3">
        <f t="shared" si="44"/>
        <v>2015</v>
      </c>
      <c r="C1447" s="3">
        <f t="shared" si="45"/>
        <v>9</v>
      </c>
      <c r="D1447" t="s">
        <v>975</v>
      </c>
      <c r="E1447" t="s">
        <v>51</v>
      </c>
      <c r="F1447" t="s">
        <v>28</v>
      </c>
      <c r="G1447" t="s">
        <v>58</v>
      </c>
      <c r="H1447" t="s">
        <v>168</v>
      </c>
      <c r="I1447" s="2">
        <v>61.96</v>
      </c>
      <c r="J1447" s="3">
        <v>2</v>
      </c>
      <c r="K1447" s="2">
        <v>16.11</v>
      </c>
    </row>
    <row r="1448" spans="1:11" x14ac:dyDescent="0.35">
      <c r="A1448" s="1">
        <v>42257</v>
      </c>
      <c r="B1448" s="3">
        <f t="shared" si="44"/>
        <v>2015</v>
      </c>
      <c r="C1448" s="3">
        <f t="shared" si="45"/>
        <v>9</v>
      </c>
      <c r="D1448" t="s">
        <v>975</v>
      </c>
      <c r="E1448" t="s">
        <v>51</v>
      </c>
      <c r="F1448" t="s">
        <v>18</v>
      </c>
      <c r="G1448" t="s">
        <v>237</v>
      </c>
      <c r="H1448" t="s">
        <v>1094</v>
      </c>
      <c r="I1448" s="2">
        <v>361.96</v>
      </c>
      <c r="J1448" s="3">
        <v>2</v>
      </c>
      <c r="K1448" s="2">
        <v>83.25</v>
      </c>
    </row>
    <row r="1449" spans="1:11" x14ac:dyDescent="0.35">
      <c r="A1449" s="1">
        <v>42257</v>
      </c>
      <c r="B1449" s="3">
        <f t="shared" si="44"/>
        <v>2015</v>
      </c>
      <c r="C1449" s="3">
        <f t="shared" si="45"/>
        <v>9</v>
      </c>
      <c r="D1449" t="s">
        <v>975</v>
      </c>
      <c r="E1449" t="s">
        <v>51</v>
      </c>
      <c r="F1449" t="s">
        <v>28</v>
      </c>
      <c r="G1449" t="s">
        <v>29</v>
      </c>
      <c r="H1449" t="s">
        <v>1341</v>
      </c>
      <c r="I1449" s="2">
        <v>278.82</v>
      </c>
      <c r="J1449" s="3">
        <v>9</v>
      </c>
      <c r="K1449" s="2">
        <v>125.47</v>
      </c>
    </row>
    <row r="1450" spans="1:11" x14ac:dyDescent="0.35">
      <c r="A1450" s="1">
        <v>42257</v>
      </c>
      <c r="B1450" s="3">
        <f t="shared" si="44"/>
        <v>2015</v>
      </c>
      <c r="C1450" s="3">
        <f t="shared" si="45"/>
        <v>9</v>
      </c>
      <c r="D1450" t="s">
        <v>246</v>
      </c>
      <c r="E1450" t="s">
        <v>17</v>
      </c>
      <c r="F1450" t="s">
        <v>28</v>
      </c>
      <c r="G1450" t="s">
        <v>38</v>
      </c>
      <c r="H1450" t="s">
        <v>1528</v>
      </c>
      <c r="I1450" s="2">
        <v>353.88</v>
      </c>
      <c r="J1450" s="3">
        <v>6</v>
      </c>
      <c r="K1450" s="2">
        <v>17.690000000000001</v>
      </c>
    </row>
    <row r="1451" spans="1:11" x14ac:dyDescent="0.35">
      <c r="A1451" s="1">
        <v>42257</v>
      </c>
      <c r="B1451" s="3">
        <f t="shared" si="44"/>
        <v>2015</v>
      </c>
      <c r="C1451" s="3">
        <f t="shared" si="45"/>
        <v>9</v>
      </c>
      <c r="D1451" t="s">
        <v>1529</v>
      </c>
      <c r="E1451" t="s">
        <v>22</v>
      </c>
      <c r="F1451" t="s">
        <v>28</v>
      </c>
      <c r="G1451" t="s">
        <v>64</v>
      </c>
      <c r="H1451" t="s">
        <v>1530</v>
      </c>
      <c r="I1451" s="2">
        <v>6.08</v>
      </c>
      <c r="J1451" s="3">
        <v>2</v>
      </c>
      <c r="K1451" s="2">
        <v>2.0699999999999998</v>
      </c>
    </row>
    <row r="1452" spans="1:11" x14ac:dyDescent="0.35">
      <c r="A1452" s="1">
        <v>42257</v>
      </c>
      <c r="B1452" s="3">
        <f t="shared" si="44"/>
        <v>2015</v>
      </c>
      <c r="C1452" s="3">
        <f t="shared" si="45"/>
        <v>9</v>
      </c>
      <c r="D1452" t="s">
        <v>1118</v>
      </c>
      <c r="E1452" t="s">
        <v>45</v>
      </c>
      <c r="F1452" t="s">
        <v>18</v>
      </c>
      <c r="G1452" t="s">
        <v>36</v>
      </c>
      <c r="H1452" t="s">
        <v>1531</v>
      </c>
      <c r="I1452" s="2">
        <v>106.68</v>
      </c>
      <c r="J1452" s="3">
        <v>6</v>
      </c>
      <c r="K1452" s="2">
        <v>33.07</v>
      </c>
    </row>
    <row r="1453" spans="1:11" x14ac:dyDescent="0.35">
      <c r="A1453" s="1">
        <v>42257</v>
      </c>
      <c r="B1453" s="3">
        <f t="shared" si="44"/>
        <v>2015</v>
      </c>
      <c r="C1453" s="3">
        <f t="shared" si="45"/>
        <v>9</v>
      </c>
      <c r="D1453" t="s">
        <v>1532</v>
      </c>
      <c r="E1453" t="s">
        <v>32</v>
      </c>
      <c r="F1453" t="s">
        <v>18</v>
      </c>
      <c r="G1453" t="s">
        <v>19</v>
      </c>
      <c r="H1453" t="s">
        <v>1533</v>
      </c>
      <c r="I1453" s="2">
        <v>179.89</v>
      </c>
      <c r="J1453" s="3">
        <v>1</v>
      </c>
      <c r="K1453" s="2">
        <v>-2.57</v>
      </c>
    </row>
    <row r="1454" spans="1:11" x14ac:dyDescent="0.35">
      <c r="A1454" s="1">
        <v>42287</v>
      </c>
      <c r="B1454" s="3">
        <f t="shared" si="44"/>
        <v>2015</v>
      </c>
      <c r="C1454" s="3">
        <f t="shared" si="45"/>
        <v>10</v>
      </c>
      <c r="D1454" t="s">
        <v>745</v>
      </c>
      <c r="E1454" t="s">
        <v>45</v>
      </c>
      <c r="F1454" t="s">
        <v>28</v>
      </c>
      <c r="G1454" t="s">
        <v>29</v>
      </c>
      <c r="H1454" t="s">
        <v>1534</v>
      </c>
      <c r="I1454" s="2">
        <v>45.36</v>
      </c>
      <c r="J1454" s="3">
        <v>7</v>
      </c>
      <c r="K1454" s="2">
        <v>21.77</v>
      </c>
    </row>
    <row r="1455" spans="1:11" x14ac:dyDescent="0.35">
      <c r="A1455" s="1">
        <v>42287</v>
      </c>
      <c r="B1455" s="3">
        <f t="shared" si="44"/>
        <v>2015</v>
      </c>
      <c r="C1455" s="3">
        <f t="shared" si="45"/>
        <v>10</v>
      </c>
      <c r="D1455" t="s">
        <v>1109</v>
      </c>
      <c r="E1455" t="s">
        <v>77</v>
      </c>
      <c r="F1455" t="s">
        <v>28</v>
      </c>
      <c r="G1455" t="s">
        <v>38</v>
      </c>
      <c r="H1455" t="s">
        <v>930</v>
      </c>
      <c r="I1455" s="2">
        <v>1801.63</v>
      </c>
      <c r="J1455" s="3">
        <v>6</v>
      </c>
      <c r="K1455" s="2">
        <v>-337.81</v>
      </c>
    </row>
    <row r="1456" spans="1:11" x14ac:dyDescent="0.35">
      <c r="A1456" s="1">
        <v>42287</v>
      </c>
      <c r="B1456" s="3">
        <f t="shared" si="44"/>
        <v>2015</v>
      </c>
      <c r="C1456" s="3">
        <f t="shared" si="45"/>
        <v>10</v>
      </c>
      <c r="D1456" t="s">
        <v>235</v>
      </c>
      <c r="E1456" t="s">
        <v>26</v>
      </c>
      <c r="F1456" t="s">
        <v>28</v>
      </c>
      <c r="G1456" t="s">
        <v>64</v>
      </c>
      <c r="H1456" t="s">
        <v>1024</v>
      </c>
      <c r="I1456" s="2">
        <v>8.02</v>
      </c>
      <c r="J1456" s="3">
        <v>3</v>
      </c>
      <c r="K1456" s="2">
        <v>1</v>
      </c>
    </row>
    <row r="1457" spans="1:11" x14ac:dyDescent="0.35">
      <c r="A1457" s="1">
        <v>42287</v>
      </c>
      <c r="B1457" s="3">
        <f t="shared" si="44"/>
        <v>2015</v>
      </c>
      <c r="C1457" s="3">
        <f t="shared" si="45"/>
        <v>10</v>
      </c>
      <c r="D1457" t="s">
        <v>244</v>
      </c>
      <c r="E1457" t="s">
        <v>45</v>
      </c>
      <c r="F1457" t="s">
        <v>18</v>
      </c>
      <c r="G1457" t="s">
        <v>19</v>
      </c>
      <c r="H1457" t="s">
        <v>1535</v>
      </c>
      <c r="I1457" s="2">
        <v>362.14</v>
      </c>
      <c r="J1457" s="3">
        <v>3</v>
      </c>
      <c r="K1457" s="2">
        <v>-54.32</v>
      </c>
    </row>
    <row r="1458" spans="1:11" x14ac:dyDescent="0.35">
      <c r="A1458" s="1">
        <v>42287</v>
      </c>
      <c r="B1458" s="3">
        <f t="shared" si="44"/>
        <v>2015</v>
      </c>
      <c r="C1458" s="3">
        <f t="shared" si="45"/>
        <v>10</v>
      </c>
      <c r="D1458" t="s">
        <v>244</v>
      </c>
      <c r="E1458" t="s">
        <v>45</v>
      </c>
      <c r="F1458" t="s">
        <v>28</v>
      </c>
      <c r="G1458" t="s">
        <v>46</v>
      </c>
      <c r="H1458" t="s">
        <v>1536</v>
      </c>
      <c r="I1458" s="2">
        <v>31.05</v>
      </c>
      <c r="J1458" s="3">
        <v>3</v>
      </c>
      <c r="K1458" s="2">
        <v>14.9</v>
      </c>
    </row>
    <row r="1459" spans="1:11" x14ac:dyDescent="0.35">
      <c r="A1459" s="1">
        <v>42318</v>
      </c>
      <c r="B1459" s="3">
        <f t="shared" si="44"/>
        <v>2015</v>
      </c>
      <c r="C1459" s="3">
        <f t="shared" si="45"/>
        <v>11</v>
      </c>
      <c r="D1459" t="s">
        <v>1406</v>
      </c>
      <c r="E1459" t="s">
        <v>45</v>
      </c>
      <c r="F1459" t="s">
        <v>13</v>
      </c>
      <c r="G1459" t="s">
        <v>14</v>
      </c>
      <c r="H1459" t="s">
        <v>1356</v>
      </c>
      <c r="I1459" s="2">
        <v>79.900000000000006</v>
      </c>
      <c r="J1459" s="3">
        <v>2</v>
      </c>
      <c r="K1459" s="2">
        <v>35.159999999999997</v>
      </c>
    </row>
    <row r="1460" spans="1:11" x14ac:dyDescent="0.35">
      <c r="A1460" s="1">
        <v>42318</v>
      </c>
      <c r="B1460" s="3">
        <f t="shared" si="44"/>
        <v>2015</v>
      </c>
      <c r="C1460" s="3">
        <f t="shared" si="45"/>
        <v>11</v>
      </c>
      <c r="D1460" t="s">
        <v>1537</v>
      </c>
      <c r="E1460" t="s">
        <v>575</v>
      </c>
      <c r="F1460" t="s">
        <v>28</v>
      </c>
      <c r="G1460" t="s">
        <v>38</v>
      </c>
      <c r="H1460" t="s">
        <v>1538</v>
      </c>
      <c r="I1460" s="2">
        <v>714.3</v>
      </c>
      <c r="J1460" s="3">
        <v>5</v>
      </c>
      <c r="K1460" s="2">
        <v>207.15</v>
      </c>
    </row>
    <row r="1461" spans="1:11" x14ac:dyDescent="0.35">
      <c r="A1461" s="1">
        <v>42318</v>
      </c>
      <c r="B1461" s="3">
        <f t="shared" si="44"/>
        <v>2015</v>
      </c>
      <c r="C1461" s="3">
        <f t="shared" si="45"/>
        <v>11</v>
      </c>
      <c r="D1461" t="s">
        <v>1539</v>
      </c>
      <c r="E1461" t="s">
        <v>55</v>
      </c>
      <c r="F1461" t="s">
        <v>28</v>
      </c>
      <c r="G1461" t="s">
        <v>58</v>
      </c>
      <c r="H1461" t="s">
        <v>1219</v>
      </c>
      <c r="I1461" s="2">
        <v>715.64</v>
      </c>
      <c r="J1461" s="3">
        <v>2</v>
      </c>
      <c r="K1461" s="2">
        <v>178.91</v>
      </c>
    </row>
    <row r="1462" spans="1:11" x14ac:dyDescent="0.35">
      <c r="A1462" s="1">
        <v>42318</v>
      </c>
      <c r="B1462" s="3">
        <f t="shared" si="44"/>
        <v>2015</v>
      </c>
      <c r="C1462" s="3">
        <f t="shared" si="45"/>
        <v>11</v>
      </c>
      <c r="D1462" t="s">
        <v>1539</v>
      </c>
      <c r="E1462" t="s">
        <v>55</v>
      </c>
      <c r="F1462" t="s">
        <v>28</v>
      </c>
      <c r="G1462" t="s">
        <v>38</v>
      </c>
      <c r="H1462" t="s">
        <v>797</v>
      </c>
      <c r="I1462" s="2">
        <v>795.51</v>
      </c>
      <c r="J1462" s="3">
        <v>3</v>
      </c>
      <c r="K1462" s="2">
        <v>143.19</v>
      </c>
    </row>
    <row r="1463" spans="1:11" x14ac:dyDescent="0.35">
      <c r="A1463" s="1">
        <v>42318</v>
      </c>
      <c r="B1463" s="3">
        <f t="shared" si="44"/>
        <v>2015</v>
      </c>
      <c r="C1463" s="3">
        <f t="shared" si="45"/>
        <v>11</v>
      </c>
      <c r="D1463" t="s">
        <v>1539</v>
      </c>
      <c r="E1463" t="s">
        <v>55</v>
      </c>
      <c r="F1463" t="s">
        <v>13</v>
      </c>
      <c r="G1463" t="s">
        <v>143</v>
      </c>
      <c r="H1463" t="s">
        <v>144</v>
      </c>
      <c r="I1463" s="2">
        <v>549.99</v>
      </c>
      <c r="J1463" s="3">
        <v>1</v>
      </c>
      <c r="K1463" s="2">
        <v>275</v>
      </c>
    </row>
    <row r="1464" spans="1:11" x14ac:dyDescent="0.35">
      <c r="A1464" s="1">
        <v>42318</v>
      </c>
      <c r="B1464" s="3">
        <f t="shared" si="44"/>
        <v>2015</v>
      </c>
      <c r="C1464" s="3">
        <f t="shared" si="45"/>
        <v>11</v>
      </c>
      <c r="D1464" t="s">
        <v>1539</v>
      </c>
      <c r="E1464" t="s">
        <v>55</v>
      </c>
      <c r="F1464" t="s">
        <v>28</v>
      </c>
      <c r="G1464" t="s">
        <v>48</v>
      </c>
      <c r="H1464" t="s">
        <v>134</v>
      </c>
      <c r="I1464" s="2">
        <v>74.760000000000005</v>
      </c>
      <c r="J1464" s="3">
        <v>3</v>
      </c>
      <c r="K1464" s="2">
        <v>34.39</v>
      </c>
    </row>
    <row r="1465" spans="1:11" x14ac:dyDescent="0.35">
      <c r="A1465" s="1">
        <v>42318</v>
      </c>
      <c r="B1465" s="3">
        <f t="shared" si="44"/>
        <v>2015</v>
      </c>
      <c r="C1465" s="3">
        <f t="shared" si="45"/>
        <v>11</v>
      </c>
      <c r="D1465" t="s">
        <v>1539</v>
      </c>
      <c r="E1465" t="s">
        <v>55</v>
      </c>
      <c r="F1465" t="s">
        <v>18</v>
      </c>
      <c r="G1465" t="s">
        <v>36</v>
      </c>
      <c r="H1465" t="s">
        <v>1223</v>
      </c>
      <c r="I1465" s="2">
        <v>29.22</v>
      </c>
      <c r="J1465" s="3">
        <v>3</v>
      </c>
      <c r="K1465" s="2">
        <v>12.86</v>
      </c>
    </row>
    <row r="1466" spans="1:11" x14ac:dyDescent="0.35">
      <c r="A1466" s="1">
        <v>42318</v>
      </c>
      <c r="B1466" s="3">
        <f t="shared" si="44"/>
        <v>2015</v>
      </c>
      <c r="C1466" s="3">
        <f t="shared" si="45"/>
        <v>11</v>
      </c>
      <c r="D1466" t="s">
        <v>169</v>
      </c>
      <c r="E1466" t="s">
        <v>89</v>
      </c>
      <c r="F1466" t="s">
        <v>28</v>
      </c>
      <c r="G1466" t="s">
        <v>38</v>
      </c>
      <c r="H1466" t="s">
        <v>1187</v>
      </c>
      <c r="I1466" s="2">
        <v>577.58000000000004</v>
      </c>
      <c r="J1466" s="3">
        <v>6</v>
      </c>
      <c r="K1466" s="2">
        <v>43.32</v>
      </c>
    </row>
    <row r="1467" spans="1:11" x14ac:dyDescent="0.35">
      <c r="A1467" s="1">
        <v>42348</v>
      </c>
      <c r="B1467" s="3">
        <f t="shared" si="44"/>
        <v>2015</v>
      </c>
      <c r="C1467" s="3">
        <f t="shared" si="45"/>
        <v>12</v>
      </c>
      <c r="D1467" t="s">
        <v>1083</v>
      </c>
      <c r="E1467" t="s">
        <v>71</v>
      </c>
      <c r="F1467" t="s">
        <v>28</v>
      </c>
      <c r="G1467" t="s">
        <v>64</v>
      </c>
      <c r="H1467" t="s">
        <v>863</v>
      </c>
      <c r="I1467" s="2">
        <v>3.9</v>
      </c>
      <c r="J1467" s="3">
        <v>2</v>
      </c>
      <c r="K1467" s="2">
        <v>1.52</v>
      </c>
    </row>
    <row r="1468" spans="1:11" x14ac:dyDescent="0.35">
      <c r="A1468" s="1">
        <v>42348</v>
      </c>
      <c r="B1468" s="3">
        <f t="shared" si="44"/>
        <v>2015</v>
      </c>
      <c r="C1468" s="3">
        <f t="shared" si="45"/>
        <v>12</v>
      </c>
      <c r="D1468" t="s">
        <v>1083</v>
      </c>
      <c r="E1468" t="s">
        <v>71</v>
      </c>
      <c r="F1468" t="s">
        <v>18</v>
      </c>
      <c r="G1468" t="s">
        <v>42</v>
      </c>
      <c r="H1468" t="s">
        <v>1388</v>
      </c>
      <c r="I1468" s="2">
        <v>801.96</v>
      </c>
      <c r="J1468" s="3">
        <v>2</v>
      </c>
      <c r="K1468" s="2">
        <v>200.49</v>
      </c>
    </row>
    <row r="1469" spans="1:11" x14ac:dyDescent="0.35">
      <c r="A1469" s="1">
        <v>42348</v>
      </c>
      <c r="B1469" s="3">
        <f t="shared" si="44"/>
        <v>2015</v>
      </c>
      <c r="C1469" s="3">
        <f t="shared" si="45"/>
        <v>12</v>
      </c>
      <c r="D1469" t="s">
        <v>1083</v>
      </c>
      <c r="E1469" t="s">
        <v>71</v>
      </c>
      <c r="F1469" t="s">
        <v>18</v>
      </c>
      <c r="G1469" t="s">
        <v>19</v>
      </c>
      <c r="H1469" t="s">
        <v>725</v>
      </c>
      <c r="I1469" s="2">
        <v>191.96</v>
      </c>
      <c r="J1469" s="3">
        <v>2</v>
      </c>
      <c r="K1469" s="2">
        <v>32.630000000000003</v>
      </c>
    </row>
    <row r="1470" spans="1:11" x14ac:dyDescent="0.35">
      <c r="A1470" s="1">
        <v>42348</v>
      </c>
      <c r="B1470" s="3">
        <f t="shared" si="44"/>
        <v>2015</v>
      </c>
      <c r="C1470" s="3">
        <f t="shared" si="45"/>
        <v>12</v>
      </c>
      <c r="D1470" t="s">
        <v>1083</v>
      </c>
      <c r="E1470" t="s">
        <v>71</v>
      </c>
      <c r="F1470" t="s">
        <v>28</v>
      </c>
      <c r="G1470" t="s">
        <v>46</v>
      </c>
      <c r="H1470" t="s">
        <v>1540</v>
      </c>
      <c r="I1470" s="2">
        <v>2.61</v>
      </c>
      <c r="J1470" s="3">
        <v>1</v>
      </c>
      <c r="K1470" s="2">
        <v>1.2</v>
      </c>
    </row>
    <row r="1471" spans="1:11" x14ac:dyDescent="0.35">
      <c r="A1471" s="1">
        <v>42348</v>
      </c>
      <c r="B1471" s="3">
        <f t="shared" si="44"/>
        <v>2015</v>
      </c>
      <c r="C1471" s="3">
        <f t="shared" si="45"/>
        <v>12</v>
      </c>
      <c r="D1471" t="s">
        <v>1541</v>
      </c>
      <c r="E1471" t="s">
        <v>165</v>
      </c>
      <c r="F1471" t="s">
        <v>28</v>
      </c>
      <c r="G1471" t="s">
        <v>64</v>
      </c>
      <c r="H1471" t="s">
        <v>1542</v>
      </c>
      <c r="I1471" s="2">
        <v>1.78</v>
      </c>
      <c r="J1471" s="3">
        <v>1</v>
      </c>
      <c r="K1471" s="2">
        <v>0.5</v>
      </c>
    </row>
    <row r="1472" spans="1:11" x14ac:dyDescent="0.35">
      <c r="A1472" s="1">
        <v>42348</v>
      </c>
      <c r="B1472" s="3">
        <f t="shared" si="44"/>
        <v>2015</v>
      </c>
      <c r="C1472" s="3">
        <f t="shared" si="45"/>
        <v>12</v>
      </c>
      <c r="D1472" t="s">
        <v>1541</v>
      </c>
      <c r="E1472" t="s">
        <v>165</v>
      </c>
      <c r="F1472" t="s">
        <v>28</v>
      </c>
      <c r="G1472" t="s">
        <v>29</v>
      </c>
      <c r="H1472" t="s">
        <v>1543</v>
      </c>
      <c r="I1472" s="2">
        <v>25.92</v>
      </c>
      <c r="J1472" s="3">
        <v>4</v>
      </c>
      <c r="K1472" s="2">
        <v>12.44</v>
      </c>
    </row>
    <row r="1473" spans="1:11" x14ac:dyDescent="0.35">
      <c r="A1473" s="1">
        <v>42348</v>
      </c>
      <c r="B1473" s="3">
        <f t="shared" si="44"/>
        <v>2015</v>
      </c>
      <c r="C1473" s="3">
        <f t="shared" si="45"/>
        <v>12</v>
      </c>
      <c r="D1473" t="s">
        <v>1541</v>
      </c>
      <c r="E1473" t="s">
        <v>165</v>
      </c>
      <c r="F1473" t="s">
        <v>13</v>
      </c>
      <c r="G1473" t="s">
        <v>14</v>
      </c>
      <c r="H1473" t="s">
        <v>1544</v>
      </c>
      <c r="I1473" s="2">
        <v>101.94</v>
      </c>
      <c r="J1473" s="3">
        <v>6</v>
      </c>
      <c r="K1473" s="2">
        <v>21.41</v>
      </c>
    </row>
    <row r="1474" spans="1:11" x14ac:dyDescent="0.35">
      <c r="A1474" s="1">
        <v>42348</v>
      </c>
      <c r="B1474" s="3">
        <f t="shared" ref="B1474:B1537" si="46">YEAR(A1474)</f>
        <v>2015</v>
      </c>
      <c r="C1474" s="3">
        <f t="shared" ref="C1474:C1537" si="47">MONTH(A1474)</f>
        <v>12</v>
      </c>
      <c r="D1474" t="s">
        <v>695</v>
      </c>
      <c r="E1474" t="s">
        <v>22</v>
      </c>
      <c r="F1474" t="s">
        <v>28</v>
      </c>
      <c r="G1474" t="s">
        <v>46</v>
      </c>
      <c r="H1474" t="s">
        <v>1545</v>
      </c>
      <c r="I1474" s="2">
        <v>7.31</v>
      </c>
      <c r="J1474" s="3">
        <v>1</v>
      </c>
      <c r="K1474" s="2">
        <v>3.44</v>
      </c>
    </row>
    <row r="1475" spans="1:11" x14ac:dyDescent="0.35">
      <c r="A1475" s="1">
        <v>42348</v>
      </c>
      <c r="B1475" s="3">
        <f t="shared" si="46"/>
        <v>2015</v>
      </c>
      <c r="C1475" s="3">
        <f t="shared" si="47"/>
        <v>12</v>
      </c>
      <c r="D1475" t="s">
        <v>695</v>
      </c>
      <c r="E1475" t="s">
        <v>22</v>
      </c>
      <c r="F1475" t="s">
        <v>13</v>
      </c>
      <c r="G1475" t="s">
        <v>143</v>
      </c>
      <c r="H1475" t="s">
        <v>1349</v>
      </c>
      <c r="I1475" s="2">
        <v>799.98</v>
      </c>
      <c r="J1475" s="3">
        <v>2</v>
      </c>
      <c r="K1475" s="2">
        <v>250</v>
      </c>
    </row>
    <row r="1476" spans="1:11" x14ac:dyDescent="0.35">
      <c r="A1476" s="1">
        <v>42348</v>
      </c>
      <c r="B1476" s="3">
        <f t="shared" si="46"/>
        <v>2015</v>
      </c>
      <c r="C1476" s="3">
        <f t="shared" si="47"/>
        <v>12</v>
      </c>
      <c r="D1476" t="s">
        <v>695</v>
      </c>
      <c r="E1476" t="s">
        <v>22</v>
      </c>
      <c r="F1476" t="s">
        <v>28</v>
      </c>
      <c r="G1476" t="s">
        <v>29</v>
      </c>
      <c r="H1476" t="s">
        <v>1546</v>
      </c>
      <c r="I1476" s="2">
        <v>41.28</v>
      </c>
      <c r="J1476" s="3">
        <v>6</v>
      </c>
      <c r="K1476" s="2">
        <v>18.989999999999998</v>
      </c>
    </row>
    <row r="1477" spans="1:11" x14ac:dyDescent="0.35">
      <c r="A1477" s="1">
        <v>42348</v>
      </c>
      <c r="B1477" s="3">
        <f t="shared" si="46"/>
        <v>2015</v>
      </c>
      <c r="C1477" s="3">
        <f t="shared" si="47"/>
        <v>12</v>
      </c>
      <c r="D1477" t="s">
        <v>695</v>
      </c>
      <c r="E1477" t="s">
        <v>22</v>
      </c>
      <c r="F1477" t="s">
        <v>28</v>
      </c>
      <c r="G1477" t="s">
        <v>29</v>
      </c>
      <c r="H1477" t="s">
        <v>1547</v>
      </c>
      <c r="I1477" s="2">
        <v>184.66</v>
      </c>
      <c r="J1477" s="3">
        <v>7</v>
      </c>
      <c r="K1477" s="2">
        <v>84.94</v>
      </c>
    </row>
    <row r="1478" spans="1:11" x14ac:dyDescent="0.35">
      <c r="A1478" s="1">
        <v>42348</v>
      </c>
      <c r="B1478" s="3">
        <f t="shared" si="46"/>
        <v>2015</v>
      </c>
      <c r="C1478" s="3">
        <f t="shared" si="47"/>
        <v>12</v>
      </c>
      <c r="D1478" t="s">
        <v>1317</v>
      </c>
      <c r="E1478" t="s">
        <v>249</v>
      </c>
      <c r="F1478" t="s">
        <v>28</v>
      </c>
      <c r="G1478" t="s">
        <v>64</v>
      </c>
      <c r="H1478" t="s">
        <v>1530</v>
      </c>
      <c r="I1478" s="2">
        <v>27.36</v>
      </c>
      <c r="J1478" s="3">
        <v>9</v>
      </c>
      <c r="K1478" s="2">
        <v>9.3000000000000007</v>
      </c>
    </row>
    <row r="1479" spans="1:11" x14ac:dyDescent="0.35">
      <c r="A1479" s="1">
        <v>42348</v>
      </c>
      <c r="B1479" s="3">
        <f t="shared" si="46"/>
        <v>2015</v>
      </c>
      <c r="C1479" s="3">
        <f t="shared" si="47"/>
        <v>12</v>
      </c>
      <c r="D1479" t="s">
        <v>1317</v>
      </c>
      <c r="E1479" t="s">
        <v>249</v>
      </c>
      <c r="F1479" t="s">
        <v>28</v>
      </c>
      <c r="G1479" t="s">
        <v>29</v>
      </c>
      <c r="H1479" t="s">
        <v>813</v>
      </c>
      <c r="I1479" s="2">
        <v>44.75</v>
      </c>
      <c r="J1479" s="3">
        <v>5</v>
      </c>
      <c r="K1479" s="2">
        <v>20.59</v>
      </c>
    </row>
    <row r="1480" spans="1:11" x14ac:dyDescent="0.35">
      <c r="A1480" s="1">
        <v>42348</v>
      </c>
      <c r="B1480" s="3">
        <f t="shared" si="46"/>
        <v>2015</v>
      </c>
      <c r="C1480" s="3">
        <f t="shared" si="47"/>
        <v>12</v>
      </c>
      <c r="D1480" t="s">
        <v>1317</v>
      </c>
      <c r="E1480" t="s">
        <v>249</v>
      </c>
      <c r="F1480" t="s">
        <v>13</v>
      </c>
      <c r="G1480" t="s">
        <v>23</v>
      </c>
      <c r="H1480" t="s">
        <v>851</v>
      </c>
      <c r="I1480" s="2">
        <v>134.99</v>
      </c>
      <c r="J1480" s="3">
        <v>1</v>
      </c>
      <c r="K1480" s="2">
        <v>36.450000000000003</v>
      </c>
    </row>
    <row r="1481" spans="1:11" x14ac:dyDescent="0.35">
      <c r="A1481" s="1">
        <v>42348</v>
      </c>
      <c r="B1481" s="3">
        <f t="shared" si="46"/>
        <v>2015</v>
      </c>
      <c r="C1481" s="3">
        <f t="shared" si="47"/>
        <v>12</v>
      </c>
      <c r="D1481" t="s">
        <v>1317</v>
      </c>
      <c r="E1481" t="s">
        <v>249</v>
      </c>
      <c r="F1481" t="s">
        <v>28</v>
      </c>
      <c r="G1481" t="s">
        <v>29</v>
      </c>
      <c r="H1481" t="s">
        <v>822</v>
      </c>
      <c r="I1481" s="2">
        <v>26.4</v>
      </c>
      <c r="J1481" s="3">
        <v>5</v>
      </c>
      <c r="K1481" s="2">
        <v>12.67</v>
      </c>
    </row>
    <row r="1482" spans="1:11" x14ac:dyDescent="0.35">
      <c r="A1482" s="1">
        <v>42348</v>
      </c>
      <c r="B1482" s="3">
        <f t="shared" si="46"/>
        <v>2015</v>
      </c>
      <c r="C1482" s="3">
        <f t="shared" si="47"/>
        <v>12</v>
      </c>
      <c r="D1482" t="s">
        <v>1317</v>
      </c>
      <c r="E1482" t="s">
        <v>249</v>
      </c>
      <c r="F1482" t="s">
        <v>18</v>
      </c>
      <c r="G1482" t="s">
        <v>19</v>
      </c>
      <c r="H1482" t="s">
        <v>1433</v>
      </c>
      <c r="I1482" s="2">
        <v>542.94000000000005</v>
      </c>
      <c r="J1482" s="3">
        <v>3</v>
      </c>
      <c r="K1482" s="2">
        <v>141.16</v>
      </c>
    </row>
    <row r="1483" spans="1:11" x14ac:dyDescent="0.35">
      <c r="A1483" s="1">
        <v>42348</v>
      </c>
      <c r="B1483" s="3">
        <f t="shared" si="46"/>
        <v>2015</v>
      </c>
      <c r="C1483" s="3">
        <f t="shared" si="47"/>
        <v>12</v>
      </c>
      <c r="D1483" t="s">
        <v>1548</v>
      </c>
      <c r="E1483" t="s">
        <v>45</v>
      </c>
      <c r="F1483" t="s">
        <v>28</v>
      </c>
      <c r="G1483" t="s">
        <v>64</v>
      </c>
      <c r="H1483" t="s">
        <v>953</v>
      </c>
      <c r="I1483" s="2">
        <v>56.3</v>
      </c>
      <c r="J1483" s="3">
        <v>2</v>
      </c>
      <c r="K1483" s="2">
        <v>15.76</v>
      </c>
    </row>
    <row r="1484" spans="1:11" x14ac:dyDescent="0.35">
      <c r="A1484" s="1">
        <v>42348</v>
      </c>
      <c r="B1484" s="3">
        <f t="shared" si="46"/>
        <v>2015</v>
      </c>
      <c r="C1484" s="3">
        <f t="shared" si="47"/>
        <v>12</v>
      </c>
      <c r="D1484" t="s">
        <v>1549</v>
      </c>
      <c r="E1484" t="s">
        <v>26</v>
      </c>
      <c r="F1484" t="s">
        <v>28</v>
      </c>
      <c r="G1484" t="s">
        <v>58</v>
      </c>
      <c r="H1484" t="s">
        <v>1550</v>
      </c>
      <c r="I1484" s="2">
        <v>53.09</v>
      </c>
      <c r="J1484" s="3">
        <v>7</v>
      </c>
      <c r="K1484" s="2">
        <v>-108.83</v>
      </c>
    </row>
    <row r="1485" spans="1:11" x14ac:dyDescent="0.35">
      <c r="A1485" s="1">
        <v>42348</v>
      </c>
      <c r="B1485" s="3">
        <f t="shared" si="46"/>
        <v>2015</v>
      </c>
      <c r="C1485" s="3">
        <f t="shared" si="47"/>
        <v>12</v>
      </c>
      <c r="D1485" t="s">
        <v>1334</v>
      </c>
      <c r="E1485" t="s">
        <v>45</v>
      </c>
      <c r="F1485" t="s">
        <v>28</v>
      </c>
      <c r="G1485" t="s">
        <v>46</v>
      </c>
      <c r="H1485" t="s">
        <v>1492</v>
      </c>
      <c r="I1485" s="2">
        <v>5.76</v>
      </c>
      <c r="J1485" s="3">
        <v>2</v>
      </c>
      <c r="K1485" s="2">
        <v>2.82</v>
      </c>
    </row>
    <row r="1486" spans="1:11" x14ac:dyDescent="0.35">
      <c r="A1486" s="1">
        <v>42348</v>
      </c>
      <c r="B1486" s="3">
        <f t="shared" si="46"/>
        <v>2015</v>
      </c>
      <c r="C1486" s="3">
        <f t="shared" si="47"/>
        <v>12</v>
      </c>
      <c r="D1486" t="s">
        <v>1551</v>
      </c>
      <c r="E1486" t="s">
        <v>131</v>
      </c>
      <c r="F1486" t="s">
        <v>13</v>
      </c>
      <c r="G1486" t="s">
        <v>14</v>
      </c>
      <c r="H1486" t="s">
        <v>496</v>
      </c>
      <c r="I1486" s="2">
        <v>25.49</v>
      </c>
      <c r="J1486" s="3">
        <v>2</v>
      </c>
      <c r="K1486" s="2">
        <v>4.46</v>
      </c>
    </row>
    <row r="1487" spans="1:11" x14ac:dyDescent="0.35">
      <c r="A1487" s="1">
        <v>42105</v>
      </c>
      <c r="B1487" s="3">
        <f t="shared" si="46"/>
        <v>2015</v>
      </c>
      <c r="C1487" s="3">
        <f t="shared" si="47"/>
        <v>4</v>
      </c>
      <c r="D1487" t="s">
        <v>897</v>
      </c>
      <c r="E1487" t="s">
        <v>22</v>
      </c>
      <c r="F1487" t="s">
        <v>13</v>
      </c>
      <c r="G1487" t="s">
        <v>14</v>
      </c>
      <c r="H1487" t="s">
        <v>395</v>
      </c>
      <c r="I1487" s="2">
        <v>85.14</v>
      </c>
      <c r="J1487" s="3">
        <v>3</v>
      </c>
      <c r="K1487" s="2">
        <v>34.909999999999997</v>
      </c>
    </row>
    <row r="1488" spans="1:11" x14ac:dyDescent="0.35">
      <c r="A1488" s="1">
        <v>42105</v>
      </c>
      <c r="B1488" s="3">
        <f t="shared" si="46"/>
        <v>2015</v>
      </c>
      <c r="C1488" s="3">
        <f t="shared" si="47"/>
        <v>4</v>
      </c>
      <c r="D1488" t="s">
        <v>897</v>
      </c>
      <c r="E1488" t="s">
        <v>22</v>
      </c>
      <c r="F1488" t="s">
        <v>13</v>
      </c>
      <c r="G1488" t="s">
        <v>23</v>
      </c>
      <c r="H1488" t="s">
        <v>1552</v>
      </c>
      <c r="I1488" s="2">
        <v>21.99</v>
      </c>
      <c r="J1488" s="3">
        <v>1</v>
      </c>
      <c r="K1488" s="2">
        <v>10.56</v>
      </c>
    </row>
    <row r="1489" spans="1:11" x14ac:dyDescent="0.35">
      <c r="A1489" s="1">
        <v>42105</v>
      </c>
      <c r="B1489" s="3">
        <f t="shared" si="46"/>
        <v>2015</v>
      </c>
      <c r="C1489" s="3">
        <f t="shared" si="47"/>
        <v>4</v>
      </c>
      <c r="D1489" t="s">
        <v>897</v>
      </c>
      <c r="E1489" t="s">
        <v>22</v>
      </c>
      <c r="F1489" t="s">
        <v>28</v>
      </c>
      <c r="G1489" t="s">
        <v>58</v>
      </c>
      <c r="H1489" t="s">
        <v>1553</v>
      </c>
      <c r="I1489" s="2">
        <v>406.6</v>
      </c>
      <c r="J1489" s="3">
        <v>5</v>
      </c>
      <c r="K1489" s="2">
        <v>113.85</v>
      </c>
    </row>
    <row r="1490" spans="1:11" x14ac:dyDescent="0.35">
      <c r="A1490" s="1">
        <v>42105</v>
      </c>
      <c r="B1490" s="3">
        <f t="shared" si="46"/>
        <v>2015</v>
      </c>
      <c r="C1490" s="3">
        <f t="shared" si="47"/>
        <v>4</v>
      </c>
      <c r="D1490" t="s">
        <v>487</v>
      </c>
      <c r="E1490" t="s">
        <v>77</v>
      </c>
      <c r="F1490" t="s">
        <v>18</v>
      </c>
      <c r="G1490" t="s">
        <v>36</v>
      </c>
      <c r="H1490" t="s">
        <v>1554</v>
      </c>
      <c r="I1490" s="2">
        <v>67.36</v>
      </c>
      <c r="J1490" s="3">
        <v>2</v>
      </c>
      <c r="K1490" s="2">
        <v>10.1</v>
      </c>
    </row>
    <row r="1491" spans="1:11" x14ac:dyDescent="0.35">
      <c r="A1491" s="1">
        <v>42105</v>
      </c>
      <c r="B1491" s="3">
        <f t="shared" si="46"/>
        <v>2015</v>
      </c>
      <c r="C1491" s="3">
        <f t="shared" si="47"/>
        <v>4</v>
      </c>
      <c r="D1491" t="s">
        <v>487</v>
      </c>
      <c r="E1491" t="s">
        <v>77</v>
      </c>
      <c r="F1491" t="s">
        <v>18</v>
      </c>
      <c r="G1491" t="s">
        <v>36</v>
      </c>
      <c r="H1491" t="s">
        <v>1555</v>
      </c>
      <c r="I1491" s="2">
        <v>54.53</v>
      </c>
      <c r="J1491" s="3">
        <v>3</v>
      </c>
      <c r="K1491" s="2">
        <v>14.31</v>
      </c>
    </row>
    <row r="1492" spans="1:11" x14ac:dyDescent="0.35">
      <c r="A1492" s="1">
        <v>42105</v>
      </c>
      <c r="B1492" s="3">
        <f t="shared" si="46"/>
        <v>2015</v>
      </c>
      <c r="C1492" s="3">
        <f t="shared" si="47"/>
        <v>4</v>
      </c>
      <c r="D1492" t="s">
        <v>1556</v>
      </c>
      <c r="E1492" t="s">
        <v>45</v>
      </c>
      <c r="F1492" t="s">
        <v>13</v>
      </c>
      <c r="G1492" t="s">
        <v>143</v>
      </c>
      <c r="H1492" t="s">
        <v>1557</v>
      </c>
      <c r="I1492" s="2">
        <v>639.97</v>
      </c>
      <c r="J1492" s="3">
        <v>4</v>
      </c>
      <c r="K1492" s="2">
        <v>215.99</v>
      </c>
    </row>
    <row r="1493" spans="1:11" x14ac:dyDescent="0.35">
      <c r="A1493" s="1">
        <v>42105</v>
      </c>
      <c r="B1493" s="3">
        <f t="shared" si="46"/>
        <v>2015</v>
      </c>
      <c r="C1493" s="3">
        <f t="shared" si="47"/>
        <v>4</v>
      </c>
      <c r="D1493" t="s">
        <v>1556</v>
      </c>
      <c r="E1493" t="s">
        <v>45</v>
      </c>
      <c r="F1493" t="s">
        <v>28</v>
      </c>
      <c r="G1493" t="s">
        <v>29</v>
      </c>
      <c r="H1493" t="s">
        <v>123</v>
      </c>
      <c r="I1493" s="2">
        <v>52.76</v>
      </c>
      <c r="J1493" s="3">
        <v>2</v>
      </c>
      <c r="K1493" s="2">
        <v>24.27</v>
      </c>
    </row>
    <row r="1494" spans="1:11" x14ac:dyDescent="0.35">
      <c r="A1494" s="1">
        <v>42135</v>
      </c>
      <c r="B1494" s="3">
        <f t="shared" si="46"/>
        <v>2015</v>
      </c>
      <c r="C1494" s="3">
        <f t="shared" si="47"/>
        <v>5</v>
      </c>
      <c r="D1494" t="s">
        <v>1558</v>
      </c>
      <c r="E1494" t="s">
        <v>211</v>
      </c>
      <c r="F1494" t="s">
        <v>18</v>
      </c>
      <c r="G1494" t="s">
        <v>19</v>
      </c>
      <c r="H1494" t="s">
        <v>1559</v>
      </c>
      <c r="I1494" s="2">
        <v>191.97</v>
      </c>
      <c r="J1494" s="3">
        <v>7</v>
      </c>
      <c r="K1494" s="2">
        <v>16.8</v>
      </c>
    </row>
    <row r="1495" spans="1:11" x14ac:dyDescent="0.35">
      <c r="A1495" s="1">
        <v>42166</v>
      </c>
      <c r="B1495" s="3">
        <f t="shared" si="46"/>
        <v>2015</v>
      </c>
      <c r="C1495" s="3">
        <f t="shared" si="47"/>
        <v>6</v>
      </c>
      <c r="D1495" t="s">
        <v>1560</v>
      </c>
      <c r="E1495" t="s">
        <v>362</v>
      </c>
      <c r="F1495" t="s">
        <v>13</v>
      </c>
      <c r="G1495" t="s">
        <v>14</v>
      </c>
      <c r="H1495" t="s">
        <v>218</v>
      </c>
      <c r="I1495" s="2">
        <v>53.7</v>
      </c>
      <c r="J1495" s="3">
        <v>6</v>
      </c>
      <c r="K1495" s="2">
        <v>10.199999999999999</v>
      </c>
    </row>
    <row r="1496" spans="1:11" x14ac:dyDescent="0.35">
      <c r="A1496" s="1">
        <v>42166</v>
      </c>
      <c r="B1496" s="3">
        <f t="shared" si="46"/>
        <v>2015</v>
      </c>
      <c r="C1496" s="3">
        <f t="shared" si="47"/>
        <v>6</v>
      </c>
      <c r="D1496" t="s">
        <v>1560</v>
      </c>
      <c r="E1496" t="s">
        <v>362</v>
      </c>
      <c r="F1496" t="s">
        <v>28</v>
      </c>
      <c r="G1496" t="s">
        <v>48</v>
      </c>
      <c r="H1496" t="s">
        <v>1332</v>
      </c>
      <c r="I1496" s="2">
        <v>36.26</v>
      </c>
      <c r="J1496" s="3">
        <v>7</v>
      </c>
      <c r="K1496" s="2">
        <v>16.68</v>
      </c>
    </row>
    <row r="1497" spans="1:11" x14ac:dyDescent="0.35">
      <c r="A1497" s="1">
        <v>42166</v>
      </c>
      <c r="B1497" s="3">
        <f t="shared" si="46"/>
        <v>2015</v>
      </c>
      <c r="C1497" s="3">
        <f t="shared" si="47"/>
        <v>6</v>
      </c>
      <c r="D1497" t="s">
        <v>1560</v>
      </c>
      <c r="E1497" t="s">
        <v>362</v>
      </c>
      <c r="F1497" t="s">
        <v>28</v>
      </c>
      <c r="G1497" t="s">
        <v>64</v>
      </c>
      <c r="H1497" t="s">
        <v>953</v>
      </c>
      <c r="I1497" s="2">
        <v>56.3</v>
      </c>
      <c r="J1497" s="3">
        <v>2</v>
      </c>
      <c r="K1497" s="2">
        <v>15.76</v>
      </c>
    </row>
    <row r="1498" spans="1:11" x14ac:dyDescent="0.35">
      <c r="A1498" s="1">
        <v>42166</v>
      </c>
      <c r="B1498" s="3">
        <f t="shared" si="46"/>
        <v>2015</v>
      </c>
      <c r="C1498" s="3">
        <f t="shared" si="47"/>
        <v>6</v>
      </c>
      <c r="D1498" t="s">
        <v>1560</v>
      </c>
      <c r="E1498" t="s">
        <v>362</v>
      </c>
      <c r="F1498" t="s">
        <v>28</v>
      </c>
      <c r="G1498" t="s">
        <v>29</v>
      </c>
      <c r="H1498" t="s">
        <v>1561</v>
      </c>
      <c r="I1498" s="2">
        <v>32.4</v>
      </c>
      <c r="J1498" s="3">
        <v>5</v>
      </c>
      <c r="K1498" s="2">
        <v>15.55</v>
      </c>
    </row>
    <row r="1499" spans="1:11" x14ac:dyDescent="0.35">
      <c r="A1499" s="1">
        <v>42166</v>
      </c>
      <c r="B1499" s="3">
        <f t="shared" si="46"/>
        <v>2015</v>
      </c>
      <c r="C1499" s="3">
        <f t="shared" si="47"/>
        <v>6</v>
      </c>
      <c r="D1499" t="s">
        <v>1560</v>
      </c>
      <c r="E1499" t="s">
        <v>362</v>
      </c>
      <c r="F1499" t="s">
        <v>18</v>
      </c>
      <c r="G1499" t="s">
        <v>36</v>
      </c>
      <c r="H1499" t="s">
        <v>1562</v>
      </c>
      <c r="I1499" s="2">
        <v>29.16</v>
      </c>
      <c r="J1499" s="3">
        <v>2</v>
      </c>
      <c r="K1499" s="2">
        <v>10.79</v>
      </c>
    </row>
    <row r="1500" spans="1:11" x14ac:dyDescent="0.35">
      <c r="A1500" s="1">
        <v>42166</v>
      </c>
      <c r="B1500" s="3">
        <f t="shared" si="46"/>
        <v>2015</v>
      </c>
      <c r="C1500" s="3">
        <f t="shared" si="47"/>
        <v>6</v>
      </c>
      <c r="D1500" t="s">
        <v>1563</v>
      </c>
      <c r="E1500" t="s">
        <v>77</v>
      </c>
      <c r="F1500" t="s">
        <v>18</v>
      </c>
      <c r="G1500" t="s">
        <v>19</v>
      </c>
      <c r="H1500" t="s">
        <v>1564</v>
      </c>
      <c r="I1500" s="2">
        <v>1123.92</v>
      </c>
      <c r="J1500" s="3">
        <v>5</v>
      </c>
      <c r="K1500" s="2">
        <v>-182.64</v>
      </c>
    </row>
    <row r="1501" spans="1:11" x14ac:dyDescent="0.35">
      <c r="A1501" s="1">
        <v>42166</v>
      </c>
      <c r="B1501" s="3">
        <f t="shared" si="46"/>
        <v>2015</v>
      </c>
      <c r="C1501" s="3">
        <f t="shared" si="47"/>
        <v>6</v>
      </c>
      <c r="D1501" t="s">
        <v>1563</v>
      </c>
      <c r="E1501" t="s">
        <v>77</v>
      </c>
      <c r="F1501" t="s">
        <v>13</v>
      </c>
      <c r="G1501" t="s">
        <v>23</v>
      </c>
      <c r="H1501" t="s">
        <v>1065</v>
      </c>
      <c r="I1501" s="2">
        <v>249.58</v>
      </c>
      <c r="J1501" s="3">
        <v>2</v>
      </c>
      <c r="K1501" s="2">
        <v>31.2</v>
      </c>
    </row>
    <row r="1502" spans="1:11" x14ac:dyDescent="0.35">
      <c r="A1502" s="1">
        <v>42166</v>
      </c>
      <c r="B1502" s="3">
        <f t="shared" si="46"/>
        <v>2015</v>
      </c>
      <c r="C1502" s="3">
        <f t="shared" si="47"/>
        <v>6</v>
      </c>
      <c r="D1502" t="s">
        <v>1563</v>
      </c>
      <c r="E1502" t="s">
        <v>77</v>
      </c>
      <c r="F1502" t="s">
        <v>18</v>
      </c>
      <c r="G1502" t="s">
        <v>36</v>
      </c>
      <c r="H1502" t="s">
        <v>1011</v>
      </c>
      <c r="I1502" s="2">
        <v>48.67</v>
      </c>
      <c r="J1502" s="3">
        <v>3</v>
      </c>
      <c r="K1502" s="2">
        <v>7.3</v>
      </c>
    </row>
    <row r="1503" spans="1:11" x14ac:dyDescent="0.35">
      <c r="A1503" s="1">
        <v>42166</v>
      </c>
      <c r="B1503" s="3">
        <f t="shared" si="46"/>
        <v>2015</v>
      </c>
      <c r="C1503" s="3">
        <f t="shared" si="47"/>
        <v>6</v>
      </c>
      <c r="D1503" t="s">
        <v>1563</v>
      </c>
      <c r="E1503" t="s">
        <v>77</v>
      </c>
      <c r="F1503" t="s">
        <v>28</v>
      </c>
      <c r="G1503" t="s">
        <v>64</v>
      </c>
      <c r="H1503" t="s">
        <v>719</v>
      </c>
      <c r="I1503" s="2">
        <v>60.77</v>
      </c>
      <c r="J1503" s="3">
        <v>2</v>
      </c>
      <c r="K1503" s="2">
        <v>7.6</v>
      </c>
    </row>
    <row r="1504" spans="1:11" x14ac:dyDescent="0.35">
      <c r="A1504" s="1">
        <v>42166</v>
      </c>
      <c r="B1504" s="3">
        <f t="shared" si="46"/>
        <v>2015</v>
      </c>
      <c r="C1504" s="3">
        <f t="shared" si="47"/>
        <v>6</v>
      </c>
      <c r="D1504" t="s">
        <v>1563</v>
      </c>
      <c r="E1504" t="s">
        <v>77</v>
      </c>
      <c r="F1504" t="s">
        <v>28</v>
      </c>
      <c r="G1504" t="s">
        <v>48</v>
      </c>
      <c r="H1504" t="s">
        <v>260</v>
      </c>
      <c r="I1504" s="2">
        <v>78.599999999999994</v>
      </c>
      <c r="J1504" s="3">
        <v>5</v>
      </c>
      <c r="K1504" s="2">
        <v>-62.88</v>
      </c>
    </row>
    <row r="1505" spans="1:11" x14ac:dyDescent="0.35">
      <c r="A1505" s="1">
        <v>42166</v>
      </c>
      <c r="B1505" s="3">
        <f t="shared" si="46"/>
        <v>2015</v>
      </c>
      <c r="C1505" s="3">
        <f t="shared" si="47"/>
        <v>6</v>
      </c>
      <c r="D1505" t="s">
        <v>1563</v>
      </c>
      <c r="E1505" t="s">
        <v>77</v>
      </c>
      <c r="F1505" t="s">
        <v>28</v>
      </c>
      <c r="G1505" t="s">
        <v>48</v>
      </c>
      <c r="H1505" t="s">
        <v>1565</v>
      </c>
      <c r="I1505" s="2">
        <v>3.77</v>
      </c>
      <c r="J1505" s="3">
        <v>2</v>
      </c>
      <c r="K1505" s="2">
        <v>-3.14</v>
      </c>
    </row>
    <row r="1506" spans="1:11" x14ac:dyDescent="0.35">
      <c r="A1506" s="1">
        <v>42166</v>
      </c>
      <c r="B1506" s="3">
        <f t="shared" si="46"/>
        <v>2015</v>
      </c>
      <c r="C1506" s="3">
        <f t="shared" si="47"/>
        <v>6</v>
      </c>
      <c r="D1506" t="s">
        <v>1563</v>
      </c>
      <c r="E1506" t="s">
        <v>77</v>
      </c>
      <c r="F1506" t="s">
        <v>28</v>
      </c>
      <c r="G1506" t="s">
        <v>38</v>
      </c>
      <c r="H1506" t="s">
        <v>1566</v>
      </c>
      <c r="I1506" s="2">
        <v>1036.6199999999999</v>
      </c>
      <c r="J1506" s="3">
        <v>2</v>
      </c>
      <c r="K1506" s="2">
        <v>51.83</v>
      </c>
    </row>
    <row r="1507" spans="1:11" x14ac:dyDescent="0.35">
      <c r="A1507" s="1">
        <v>42166</v>
      </c>
      <c r="B1507" s="3">
        <f t="shared" si="46"/>
        <v>2015</v>
      </c>
      <c r="C1507" s="3">
        <f t="shared" si="47"/>
        <v>6</v>
      </c>
      <c r="D1507" t="s">
        <v>1563</v>
      </c>
      <c r="E1507" t="s">
        <v>77</v>
      </c>
      <c r="F1507" t="s">
        <v>28</v>
      </c>
      <c r="G1507" t="s">
        <v>38</v>
      </c>
      <c r="H1507" t="s">
        <v>934</v>
      </c>
      <c r="I1507" s="2">
        <v>563.80999999999995</v>
      </c>
      <c r="J1507" s="3">
        <v>4</v>
      </c>
      <c r="K1507" s="2">
        <v>21.14</v>
      </c>
    </row>
    <row r="1508" spans="1:11" x14ac:dyDescent="0.35">
      <c r="A1508" s="1">
        <v>42196</v>
      </c>
      <c r="B1508" s="3">
        <f t="shared" si="46"/>
        <v>2015</v>
      </c>
      <c r="C1508" s="3">
        <f t="shared" si="47"/>
        <v>7</v>
      </c>
      <c r="D1508" t="s">
        <v>1567</v>
      </c>
      <c r="E1508" t="s">
        <v>89</v>
      </c>
      <c r="F1508" t="s">
        <v>18</v>
      </c>
      <c r="G1508" t="s">
        <v>36</v>
      </c>
      <c r="H1508" t="s">
        <v>1568</v>
      </c>
      <c r="I1508" s="2">
        <v>289.8</v>
      </c>
      <c r="J1508" s="3">
        <v>7</v>
      </c>
      <c r="K1508" s="2">
        <v>36.229999999999997</v>
      </c>
    </row>
    <row r="1509" spans="1:11" x14ac:dyDescent="0.35">
      <c r="A1509" s="1">
        <v>42196</v>
      </c>
      <c r="B1509" s="3">
        <f t="shared" si="46"/>
        <v>2015</v>
      </c>
      <c r="C1509" s="3">
        <f t="shared" si="47"/>
        <v>7</v>
      </c>
      <c r="D1509" t="s">
        <v>1567</v>
      </c>
      <c r="E1509" t="s">
        <v>89</v>
      </c>
      <c r="F1509" t="s">
        <v>28</v>
      </c>
      <c r="G1509" t="s">
        <v>48</v>
      </c>
      <c r="H1509" t="s">
        <v>1517</v>
      </c>
      <c r="I1509" s="2">
        <v>2.5</v>
      </c>
      <c r="J1509" s="3">
        <v>3</v>
      </c>
      <c r="K1509" s="2">
        <v>-2</v>
      </c>
    </row>
    <row r="1510" spans="1:11" x14ac:dyDescent="0.35">
      <c r="A1510" s="1">
        <v>42196</v>
      </c>
      <c r="B1510" s="3">
        <f t="shared" si="46"/>
        <v>2015</v>
      </c>
      <c r="C1510" s="3">
        <f t="shared" si="47"/>
        <v>7</v>
      </c>
      <c r="D1510" t="s">
        <v>1567</v>
      </c>
      <c r="E1510" t="s">
        <v>89</v>
      </c>
      <c r="F1510" t="s">
        <v>28</v>
      </c>
      <c r="G1510" t="s">
        <v>48</v>
      </c>
      <c r="H1510" t="s">
        <v>1569</v>
      </c>
      <c r="I1510" s="2">
        <v>6.48</v>
      </c>
      <c r="J1510" s="3">
        <v>4</v>
      </c>
      <c r="K1510" s="2">
        <v>-4.75</v>
      </c>
    </row>
    <row r="1511" spans="1:11" x14ac:dyDescent="0.35">
      <c r="A1511" s="1">
        <v>42196</v>
      </c>
      <c r="B1511" s="3">
        <f t="shared" si="46"/>
        <v>2015</v>
      </c>
      <c r="C1511" s="3">
        <f t="shared" si="47"/>
        <v>7</v>
      </c>
      <c r="D1511" t="s">
        <v>1567</v>
      </c>
      <c r="E1511" t="s">
        <v>89</v>
      </c>
      <c r="F1511" t="s">
        <v>18</v>
      </c>
      <c r="G1511" t="s">
        <v>19</v>
      </c>
      <c r="H1511" t="s">
        <v>1570</v>
      </c>
      <c r="I1511" s="2">
        <v>341.49</v>
      </c>
      <c r="J1511" s="3">
        <v>8</v>
      </c>
      <c r="K1511" s="2">
        <v>-73.180000000000007</v>
      </c>
    </row>
    <row r="1512" spans="1:11" x14ac:dyDescent="0.35">
      <c r="A1512" s="1">
        <v>42196</v>
      </c>
      <c r="B1512" s="3">
        <f t="shared" si="46"/>
        <v>2015</v>
      </c>
      <c r="C1512" s="3">
        <f t="shared" si="47"/>
        <v>7</v>
      </c>
      <c r="D1512" t="s">
        <v>1567</v>
      </c>
      <c r="E1512" t="s">
        <v>89</v>
      </c>
      <c r="F1512" t="s">
        <v>28</v>
      </c>
      <c r="G1512" t="s">
        <v>64</v>
      </c>
      <c r="H1512" t="s">
        <v>1322</v>
      </c>
      <c r="I1512" s="2">
        <v>11.12</v>
      </c>
      <c r="J1512" s="3">
        <v>5</v>
      </c>
      <c r="K1512" s="2">
        <v>0.83</v>
      </c>
    </row>
    <row r="1513" spans="1:11" x14ac:dyDescent="0.35">
      <c r="A1513" s="1">
        <v>42196</v>
      </c>
      <c r="B1513" s="3">
        <f t="shared" si="46"/>
        <v>2015</v>
      </c>
      <c r="C1513" s="3">
        <f t="shared" si="47"/>
        <v>7</v>
      </c>
      <c r="D1513" t="s">
        <v>1567</v>
      </c>
      <c r="E1513" t="s">
        <v>89</v>
      </c>
      <c r="F1513" t="s">
        <v>18</v>
      </c>
      <c r="G1513" t="s">
        <v>36</v>
      </c>
      <c r="H1513" t="s">
        <v>127</v>
      </c>
      <c r="I1513" s="2">
        <v>25.34</v>
      </c>
      <c r="J1513" s="3">
        <v>6</v>
      </c>
      <c r="K1513" s="2">
        <v>3.48</v>
      </c>
    </row>
    <row r="1514" spans="1:11" x14ac:dyDescent="0.35">
      <c r="A1514" s="1">
        <v>42196</v>
      </c>
      <c r="B1514" s="3">
        <f t="shared" si="46"/>
        <v>2015</v>
      </c>
      <c r="C1514" s="3">
        <f t="shared" si="47"/>
        <v>7</v>
      </c>
      <c r="D1514" t="s">
        <v>31</v>
      </c>
      <c r="E1514" t="s">
        <v>17</v>
      </c>
      <c r="F1514" t="s">
        <v>28</v>
      </c>
      <c r="G1514" t="s">
        <v>29</v>
      </c>
      <c r="H1514" t="s">
        <v>1571</v>
      </c>
      <c r="I1514" s="2">
        <v>29.97</v>
      </c>
      <c r="J1514" s="3">
        <v>3</v>
      </c>
      <c r="K1514" s="2">
        <v>13.49</v>
      </c>
    </row>
    <row r="1515" spans="1:11" x14ac:dyDescent="0.35">
      <c r="A1515" s="1">
        <v>42196</v>
      </c>
      <c r="B1515" s="3">
        <f t="shared" si="46"/>
        <v>2015</v>
      </c>
      <c r="C1515" s="3">
        <f t="shared" si="47"/>
        <v>7</v>
      </c>
      <c r="D1515" t="s">
        <v>31</v>
      </c>
      <c r="E1515" t="s">
        <v>17</v>
      </c>
      <c r="F1515" t="s">
        <v>28</v>
      </c>
      <c r="G1515" t="s">
        <v>48</v>
      </c>
      <c r="H1515" t="s">
        <v>686</v>
      </c>
      <c r="I1515" s="2">
        <v>98.35</v>
      </c>
      <c r="J1515" s="3">
        <v>3</v>
      </c>
      <c r="K1515" s="2">
        <v>34.42</v>
      </c>
    </row>
    <row r="1516" spans="1:11" x14ac:dyDescent="0.35">
      <c r="A1516" s="1">
        <v>42196</v>
      </c>
      <c r="B1516" s="3">
        <f t="shared" si="46"/>
        <v>2015</v>
      </c>
      <c r="C1516" s="3">
        <f t="shared" si="47"/>
        <v>7</v>
      </c>
      <c r="D1516" t="s">
        <v>1572</v>
      </c>
      <c r="E1516" t="s">
        <v>876</v>
      </c>
      <c r="F1516" t="s">
        <v>18</v>
      </c>
      <c r="G1516" t="s">
        <v>42</v>
      </c>
      <c r="H1516" t="s">
        <v>1573</v>
      </c>
      <c r="I1516" s="2">
        <v>199.84</v>
      </c>
      <c r="J1516" s="3">
        <v>4</v>
      </c>
      <c r="K1516" s="2">
        <v>-37.11</v>
      </c>
    </row>
    <row r="1517" spans="1:11" x14ac:dyDescent="0.35">
      <c r="A1517" s="1">
        <v>42196</v>
      </c>
      <c r="B1517" s="3">
        <f t="shared" si="46"/>
        <v>2015</v>
      </c>
      <c r="C1517" s="3">
        <f t="shared" si="47"/>
        <v>7</v>
      </c>
      <c r="D1517" t="s">
        <v>1572</v>
      </c>
      <c r="E1517" t="s">
        <v>876</v>
      </c>
      <c r="F1517" t="s">
        <v>13</v>
      </c>
      <c r="G1517" t="s">
        <v>23</v>
      </c>
      <c r="H1517" t="s">
        <v>836</v>
      </c>
      <c r="I1517" s="2">
        <v>716</v>
      </c>
      <c r="J1517" s="3">
        <v>2</v>
      </c>
      <c r="K1517" s="2">
        <v>193.32</v>
      </c>
    </row>
    <row r="1518" spans="1:11" x14ac:dyDescent="0.35">
      <c r="A1518" s="1">
        <v>42196</v>
      </c>
      <c r="B1518" s="3">
        <f t="shared" si="46"/>
        <v>2015</v>
      </c>
      <c r="C1518" s="3">
        <f t="shared" si="47"/>
        <v>7</v>
      </c>
      <c r="D1518" t="s">
        <v>1572</v>
      </c>
      <c r="E1518" t="s">
        <v>876</v>
      </c>
      <c r="F1518" t="s">
        <v>28</v>
      </c>
      <c r="G1518" t="s">
        <v>48</v>
      </c>
      <c r="H1518" t="s">
        <v>1574</v>
      </c>
      <c r="I1518" s="2">
        <v>221.06</v>
      </c>
      <c r="J1518" s="3">
        <v>7</v>
      </c>
      <c r="K1518" s="2">
        <v>103.9</v>
      </c>
    </row>
    <row r="1519" spans="1:11" x14ac:dyDescent="0.35">
      <c r="A1519" s="1">
        <v>42227</v>
      </c>
      <c r="B1519" s="3">
        <f t="shared" si="46"/>
        <v>2015</v>
      </c>
      <c r="C1519" s="3">
        <f t="shared" si="47"/>
        <v>8</v>
      </c>
      <c r="D1519" t="s">
        <v>1575</v>
      </c>
      <c r="E1519" t="s">
        <v>81</v>
      </c>
      <c r="F1519" t="s">
        <v>18</v>
      </c>
      <c r="G1519" t="s">
        <v>36</v>
      </c>
      <c r="H1519" t="s">
        <v>626</v>
      </c>
      <c r="I1519" s="2">
        <v>46.15</v>
      </c>
      <c r="J1519" s="3">
        <v>3</v>
      </c>
      <c r="K1519" s="2">
        <v>12.11</v>
      </c>
    </row>
    <row r="1520" spans="1:11" x14ac:dyDescent="0.35">
      <c r="A1520" s="1">
        <v>42227</v>
      </c>
      <c r="B1520" s="3">
        <f t="shared" si="46"/>
        <v>2015</v>
      </c>
      <c r="C1520" s="3">
        <f t="shared" si="47"/>
        <v>8</v>
      </c>
      <c r="D1520" t="s">
        <v>1539</v>
      </c>
      <c r="E1520" t="s">
        <v>22</v>
      </c>
      <c r="F1520" t="s">
        <v>28</v>
      </c>
      <c r="G1520" t="s">
        <v>64</v>
      </c>
      <c r="H1520" t="s">
        <v>597</v>
      </c>
      <c r="I1520" s="2">
        <v>11.96</v>
      </c>
      <c r="J1520" s="3">
        <v>2</v>
      </c>
      <c r="K1520" s="2">
        <v>3.11</v>
      </c>
    </row>
    <row r="1521" spans="1:11" x14ac:dyDescent="0.35">
      <c r="A1521" s="1">
        <v>42227</v>
      </c>
      <c r="B1521" s="3">
        <f t="shared" si="46"/>
        <v>2015</v>
      </c>
      <c r="C1521" s="3">
        <f t="shared" si="47"/>
        <v>8</v>
      </c>
      <c r="D1521" t="s">
        <v>1539</v>
      </c>
      <c r="E1521" t="s">
        <v>22</v>
      </c>
      <c r="F1521" t="s">
        <v>13</v>
      </c>
      <c r="G1521" t="s">
        <v>23</v>
      </c>
      <c r="H1521" t="s">
        <v>1576</v>
      </c>
      <c r="I1521" s="2">
        <v>138</v>
      </c>
      <c r="J1521" s="3">
        <v>2</v>
      </c>
      <c r="K1521" s="2">
        <v>34.5</v>
      </c>
    </row>
    <row r="1522" spans="1:11" x14ac:dyDescent="0.35">
      <c r="A1522" s="1">
        <v>42258</v>
      </c>
      <c r="B1522" s="3">
        <f t="shared" si="46"/>
        <v>2015</v>
      </c>
      <c r="C1522" s="3">
        <f t="shared" si="47"/>
        <v>9</v>
      </c>
      <c r="D1522" t="s">
        <v>282</v>
      </c>
      <c r="E1522" t="s">
        <v>45</v>
      </c>
      <c r="F1522" t="s">
        <v>28</v>
      </c>
      <c r="G1522" t="s">
        <v>64</v>
      </c>
      <c r="H1522" t="s">
        <v>1577</v>
      </c>
      <c r="I1522" s="2">
        <v>181.35</v>
      </c>
      <c r="J1522" s="3">
        <v>9</v>
      </c>
      <c r="K1522" s="2">
        <v>48.96</v>
      </c>
    </row>
    <row r="1523" spans="1:11" x14ac:dyDescent="0.35">
      <c r="A1523" s="1">
        <v>42258</v>
      </c>
      <c r="B1523" s="3">
        <f t="shared" si="46"/>
        <v>2015</v>
      </c>
      <c r="C1523" s="3">
        <f t="shared" si="47"/>
        <v>9</v>
      </c>
      <c r="D1523" t="s">
        <v>282</v>
      </c>
      <c r="E1523" t="s">
        <v>45</v>
      </c>
      <c r="F1523" t="s">
        <v>28</v>
      </c>
      <c r="G1523" t="s">
        <v>46</v>
      </c>
      <c r="H1523" t="s">
        <v>1578</v>
      </c>
      <c r="I1523" s="2">
        <v>8.64</v>
      </c>
      <c r="J1523" s="3">
        <v>3</v>
      </c>
      <c r="K1523" s="2">
        <v>4.2300000000000004</v>
      </c>
    </row>
    <row r="1524" spans="1:11" x14ac:dyDescent="0.35">
      <c r="A1524" s="1">
        <v>42258</v>
      </c>
      <c r="B1524" s="3">
        <f t="shared" si="46"/>
        <v>2015</v>
      </c>
      <c r="C1524" s="3">
        <f t="shared" si="47"/>
        <v>9</v>
      </c>
      <c r="D1524" t="s">
        <v>623</v>
      </c>
      <c r="E1524" t="s">
        <v>45</v>
      </c>
      <c r="F1524" t="s">
        <v>28</v>
      </c>
      <c r="G1524" t="s">
        <v>64</v>
      </c>
      <c r="H1524" t="s">
        <v>719</v>
      </c>
      <c r="I1524" s="2">
        <v>265.86</v>
      </c>
      <c r="J1524" s="3">
        <v>7</v>
      </c>
      <c r="K1524" s="2">
        <v>79.760000000000005</v>
      </c>
    </row>
    <row r="1525" spans="1:11" x14ac:dyDescent="0.35">
      <c r="A1525" s="1">
        <v>42258</v>
      </c>
      <c r="B1525" s="3">
        <f t="shared" si="46"/>
        <v>2015</v>
      </c>
      <c r="C1525" s="3">
        <f t="shared" si="47"/>
        <v>9</v>
      </c>
      <c r="D1525" t="s">
        <v>467</v>
      </c>
      <c r="E1525" t="s">
        <v>22</v>
      </c>
      <c r="F1525" t="s">
        <v>18</v>
      </c>
      <c r="G1525" t="s">
        <v>36</v>
      </c>
      <c r="H1525" t="s">
        <v>1579</v>
      </c>
      <c r="I1525" s="2">
        <v>210.68</v>
      </c>
      <c r="J1525" s="3">
        <v>2</v>
      </c>
      <c r="K1525" s="2">
        <v>50.56</v>
      </c>
    </row>
    <row r="1526" spans="1:11" x14ac:dyDescent="0.35">
      <c r="A1526" s="1">
        <v>42258</v>
      </c>
      <c r="B1526" s="3">
        <f t="shared" si="46"/>
        <v>2015</v>
      </c>
      <c r="C1526" s="3">
        <f t="shared" si="47"/>
        <v>9</v>
      </c>
      <c r="D1526" t="s">
        <v>467</v>
      </c>
      <c r="E1526" t="s">
        <v>22</v>
      </c>
      <c r="F1526" t="s">
        <v>28</v>
      </c>
      <c r="G1526" t="s">
        <v>38</v>
      </c>
      <c r="H1526" t="s">
        <v>1580</v>
      </c>
      <c r="I1526" s="2">
        <v>78.8</v>
      </c>
      <c r="J1526" s="3">
        <v>1</v>
      </c>
      <c r="K1526" s="2">
        <v>1.58</v>
      </c>
    </row>
    <row r="1527" spans="1:11" x14ac:dyDescent="0.35">
      <c r="A1527" s="1">
        <v>42258</v>
      </c>
      <c r="B1527" s="3">
        <f t="shared" si="46"/>
        <v>2015</v>
      </c>
      <c r="C1527" s="3">
        <f t="shared" si="47"/>
        <v>9</v>
      </c>
      <c r="D1527" t="s">
        <v>467</v>
      </c>
      <c r="E1527" t="s">
        <v>22</v>
      </c>
      <c r="F1527" t="s">
        <v>13</v>
      </c>
      <c r="G1527" t="s">
        <v>14</v>
      </c>
      <c r="H1527" t="s">
        <v>1581</v>
      </c>
      <c r="I1527" s="2">
        <v>19.989999999999998</v>
      </c>
      <c r="J1527" s="3">
        <v>1</v>
      </c>
      <c r="K1527" s="2">
        <v>6.8</v>
      </c>
    </row>
    <row r="1528" spans="1:11" x14ac:dyDescent="0.35">
      <c r="A1528" s="1">
        <v>42258</v>
      </c>
      <c r="B1528" s="3">
        <f t="shared" si="46"/>
        <v>2015</v>
      </c>
      <c r="C1528" s="3">
        <f t="shared" si="47"/>
        <v>9</v>
      </c>
      <c r="D1528" t="s">
        <v>467</v>
      </c>
      <c r="E1528" t="s">
        <v>22</v>
      </c>
      <c r="F1528" t="s">
        <v>28</v>
      </c>
      <c r="G1528" t="s">
        <v>38</v>
      </c>
      <c r="H1528" t="s">
        <v>576</v>
      </c>
      <c r="I1528" s="2">
        <v>772.68</v>
      </c>
      <c r="J1528" s="3">
        <v>4</v>
      </c>
      <c r="K1528" s="2">
        <v>108.18</v>
      </c>
    </row>
    <row r="1529" spans="1:11" x14ac:dyDescent="0.35">
      <c r="A1529" s="1">
        <v>42258</v>
      </c>
      <c r="B1529" s="3">
        <f t="shared" si="46"/>
        <v>2015</v>
      </c>
      <c r="C1529" s="3">
        <f t="shared" si="47"/>
        <v>9</v>
      </c>
      <c r="D1529" t="s">
        <v>1292</v>
      </c>
      <c r="E1529" t="s">
        <v>103</v>
      </c>
      <c r="F1529" t="s">
        <v>18</v>
      </c>
      <c r="G1529" t="s">
        <v>36</v>
      </c>
      <c r="H1529" t="s">
        <v>1582</v>
      </c>
      <c r="I1529" s="2">
        <v>24.64</v>
      </c>
      <c r="J1529" s="3">
        <v>4</v>
      </c>
      <c r="K1529" s="2">
        <v>4</v>
      </c>
    </row>
    <row r="1530" spans="1:11" x14ac:dyDescent="0.35">
      <c r="A1530" s="1">
        <v>42258</v>
      </c>
      <c r="B1530" s="3">
        <f t="shared" si="46"/>
        <v>2015</v>
      </c>
      <c r="C1530" s="3">
        <f t="shared" si="47"/>
        <v>9</v>
      </c>
      <c r="D1530" t="s">
        <v>1583</v>
      </c>
      <c r="E1530" t="s">
        <v>62</v>
      </c>
      <c r="F1530" t="s">
        <v>28</v>
      </c>
      <c r="G1530" t="s">
        <v>46</v>
      </c>
      <c r="H1530" t="s">
        <v>1536</v>
      </c>
      <c r="I1530" s="2">
        <v>31.05</v>
      </c>
      <c r="J1530" s="3">
        <v>3</v>
      </c>
      <c r="K1530" s="2">
        <v>14.9</v>
      </c>
    </row>
    <row r="1531" spans="1:11" x14ac:dyDescent="0.35">
      <c r="A1531" s="1">
        <v>42258</v>
      </c>
      <c r="B1531" s="3">
        <f t="shared" si="46"/>
        <v>2015</v>
      </c>
      <c r="C1531" s="3">
        <f t="shared" si="47"/>
        <v>9</v>
      </c>
      <c r="D1531" t="s">
        <v>1583</v>
      </c>
      <c r="E1531" t="s">
        <v>62</v>
      </c>
      <c r="F1531" t="s">
        <v>18</v>
      </c>
      <c r="G1531" t="s">
        <v>36</v>
      </c>
      <c r="H1531" t="s">
        <v>943</v>
      </c>
      <c r="I1531" s="2">
        <v>8.92</v>
      </c>
      <c r="J1531" s="3">
        <v>4</v>
      </c>
      <c r="K1531" s="2">
        <v>3.92</v>
      </c>
    </row>
    <row r="1532" spans="1:11" x14ac:dyDescent="0.35">
      <c r="A1532" s="1">
        <v>42258</v>
      </c>
      <c r="B1532" s="3">
        <f t="shared" si="46"/>
        <v>2015</v>
      </c>
      <c r="C1532" s="3">
        <f t="shared" si="47"/>
        <v>9</v>
      </c>
      <c r="D1532" t="s">
        <v>1583</v>
      </c>
      <c r="E1532" t="s">
        <v>62</v>
      </c>
      <c r="F1532" t="s">
        <v>28</v>
      </c>
      <c r="G1532" t="s">
        <v>48</v>
      </c>
      <c r="H1532" t="s">
        <v>260</v>
      </c>
      <c r="I1532" s="2">
        <v>209.6</v>
      </c>
      <c r="J1532" s="3">
        <v>4</v>
      </c>
      <c r="K1532" s="2">
        <v>96.42</v>
      </c>
    </row>
    <row r="1533" spans="1:11" x14ac:dyDescent="0.35">
      <c r="A1533" s="1">
        <v>42258</v>
      </c>
      <c r="B1533" s="3">
        <f t="shared" si="46"/>
        <v>2015</v>
      </c>
      <c r="C1533" s="3">
        <f t="shared" si="47"/>
        <v>9</v>
      </c>
      <c r="D1533" t="s">
        <v>1583</v>
      </c>
      <c r="E1533" t="s">
        <v>62</v>
      </c>
      <c r="F1533" t="s">
        <v>28</v>
      </c>
      <c r="G1533" t="s">
        <v>58</v>
      </c>
      <c r="H1533" t="s">
        <v>1584</v>
      </c>
      <c r="I1533" s="2">
        <v>111.04</v>
      </c>
      <c r="J1533" s="3">
        <v>4</v>
      </c>
      <c r="K1533" s="2">
        <v>29.98</v>
      </c>
    </row>
    <row r="1534" spans="1:11" x14ac:dyDescent="0.35">
      <c r="A1534" s="1">
        <v>42258</v>
      </c>
      <c r="B1534" s="3">
        <f t="shared" si="46"/>
        <v>2015</v>
      </c>
      <c r="C1534" s="3">
        <f t="shared" si="47"/>
        <v>9</v>
      </c>
      <c r="D1534" t="s">
        <v>1583</v>
      </c>
      <c r="E1534" t="s">
        <v>62</v>
      </c>
      <c r="F1534" t="s">
        <v>28</v>
      </c>
      <c r="G1534" t="s">
        <v>29</v>
      </c>
      <c r="H1534" t="s">
        <v>1585</v>
      </c>
      <c r="I1534" s="2">
        <v>38.880000000000003</v>
      </c>
      <c r="J1534" s="3">
        <v>6</v>
      </c>
      <c r="K1534" s="2">
        <v>18.66</v>
      </c>
    </row>
    <row r="1535" spans="1:11" x14ac:dyDescent="0.35">
      <c r="A1535" s="1">
        <v>42288</v>
      </c>
      <c r="B1535" s="3">
        <f t="shared" si="46"/>
        <v>2015</v>
      </c>
      <c r="C1535" s="3">
        <f t="shared" si="47"/>
        <v>10</v>
      </c>
      <c r="D1535" t="s">
        <v>1247</v>
      </c>
      <c r="E1535" t="s">
        <v>77</v>
      </c>
      <c r="F1535" t="s">
        <v>18</v>
      </c>
      <c r="G1535" t="s">
        <v>42</v>
      </c>
      <c r="H1535" t="s">
        <v>1586</v>
      </c>
      <c r="I1535" s="2">
        <v>957.58</v>
      </c>
      <c r="J1535" s="3">
        <v>5</v>
      </c>
      <c r="K1535" s="2">
        <v>-383.03</v>
      </c>
    </row>
    <row r="1536" spans="1:11" x14ac:dyDescent="0.35">
      <c r="A1536" s="1">
        <v>42288</v>
      </c>
      <c r="B1536" s="3">
        <f t="shared" si="46"/>
        <v>2015</v>
      </c>
      <c r="C1536" s="3">
        <f t="shared" si="47"/>
        <v>10</v>
      </c>
      <c r="D1536" t="s">
        <v>1247</v>
      </c>
      <c r="E1536" t="s">
        <v>77</v>
      </c>
      <c r="F1536" t="s">
        <v>28</v>
      </c>
      <c r="G1536" t="s">
        <v>38</v>
      </c>
      <c r="H1536" t="s">
        <v>1587</v>
      </c>
      <c r="I1536" s="2">
        <v>22.37</v>
      </c>
      <c r="J1536" s="3">
        <v>2</v>
      </c>
      <c r="K1536" s="2">
        <v>2.52</v>
      </c>
    </row>
    <row r="1537" spans="1:11" x14ac:dyDescent="0.35">
      <c r="A1537" s="1">
        <v>42288</v>
      </c>
      <c r="B1537" s="3">
        <f t="shared" si="46"/>
        <v>2015</v>
      </c>
      <c r="C1537" s="3">
        <f t="shared" si="47"/>
        <v>10</v>
      </c>
      <c r="D1537" t="s">
        <v>229</v>
      </c>
      <c r="E1537" t="s">
        <v>22</v>
      </c>
      <c r="F1537" t="s">
        <v>13</v>
      </c>
      <c r="G1537" t="s">
        <v>14</v>
      </c>
      <c r="H1537" t="s">
        <v>1588</v>
      </c>
      <c r="I1537" s="2">
        <v>31.95</v>
      </c>
      <c r="J1537" s="3">
        <v>1</v>
      </c>
      <c r="K1537" s="2">
        <v>2.2400000000000002</v>
      </c>
    </row>
    <row r="1538" spans="1:11" x14ac:dyDescent="0.35">
      <c r="A1538" s="1">
        <v>42319</v>
      </c>
      <c r="B1538" s="3">
        <f t="shared" ref="B1538:B1601" si="48">YEAR(A1538)</f>
        <v>2015</v>
      </c>
      <c r="C1538" s="3">
        <f t="shared" ref="C1538:C1601" si="49">MONTH(A1538)</f>
        <v>11</v>
      </c>
      <c r="D1538" t="s">
        <v>1215</v>
      </c>
      <c r="E1538" t="s">
        <v>71</v>
      </c>
      <c r="F1538" t="s">
        <v>28</v>
      </c>
      <c r="G1538" t="s">
        <v>38</v>
      </c>
      <c r="H1538" t="s">
        <v>1589</v>
      </c>
      <c r="I1538" s="2">
        <v>418.32</v>
      </c>
      <c r="J1538" s="3">
        <v>7</v>
      </c>
      <c r="K1538" s="2">
        <v>117.13</v>
      </c>
    </row>
    <row r="1539" spans="1:11" x14ac:dyDescent="0.35">
      <c r="A1539" s="1">
        <v>42319</v>
      </c>
      <c r="B1539" s="3">
        <f t="shared" si="48"/>
        <v>2015</v>
      </c>
      <c r="C1539" s="3">
        <f t="shared" si="49"/>
        <v>11</v>
      </c>
      <c r="D1539" t="s">
        <v>1215</v>
      </c>
      <c r="E1539" t="s">
        <v>71</v>
      </c>
      <c r="F1539" t="s">
        <v>28</v>
      </c>
      <c r="G1539" t="s">
        <v>58</v>
      </c>
      <c r="H1539" t="s">
        <v>1186</v>
      </c>
      <c r="I1539" s="2">
        <v>123.86</v>
      </c>
      <c r="J1539" s="3">
        <v>2</v>
      </c>
      <c r="K1539" s="2">
        <v>46.79</v>
      </c>
    </row>
    <row r="1540" spans="1:11" x14ac:dyDescent="0.35">
      <c r="A1540" s="1">
        <v>42349</v>
      </c>
      <c r="B1540" s="3">
        <f t="shared" si="48"/>
        <v>2015</v>
      </c>
      <c r="C1540" s="3">
        <f t="shared" si="49"/>
        <v>12</v>
      </c>
      <c r="D1540" t="s">
        <v>1333</v>
      </c>
      <c r="E1540" t="s">
        <v>173</v>
      </c>
      <c r="F1540" t="s">
        <v>28</v>
      </c>
      <c r="G1540" t="s">
        <v>46</v>
      </c>
      <c r="H1540" t="s">
        <v>840</v>
      </c>
      <c r="I1540" s="2">
        <v>196.62</v>
      </c>
      <c r="J1540" s="3">
        <v>2</v>
      </c>
      <c r="K1540" s="2">
        <v>96.34</v>
      </c>
    </row>
    <row r="1541" spans="1:11" x14ac:dyDescent="0.35">
      <c r="A1541" s="1">
        <v>42349</v>
      </c>
      <c r="B1541" s="3">
        <f t="shared" si="48"/>
        <v>2015</v>
      </c>
      <c r="C1541" s="3">
        <f t="shared" si="49"/>
        <v>12</v>
      </c>
      <c r="D1541" t="s">
        <v>1590</v>
      </c>
      <c r="E1541" t="s">
        <v>32</v>
      </c>
      <c r="F1541" t="s">
        <v>13</v>
      </c>
      <c r="G1541" t="s">
        <v>14</v>
      </c>
      <c r="H1541" t="s">
        <v>202</v>
      </c>
      <c r="I1541" s="2">
        <v>159.97999999999999</v>
      </c>
      <c r="J1541" s="3">
        <v>2</v>
      </c>
      <c r="K1541" s="2">
        <v>36</v>
      </c>
    </row>
    <row r="1542" spans="1:11" x14ac:dyDescent="0.35">
      <c r="A1542" s="1">
        <v>42349</v>
      </c>
      <c r="B1542" s="3">
        <f t="shared" si="48"/>
        <v>2015</v>
      </c>
      <c r="C1542" s="3">
        <f t="shared" si="49"/>
        <v>12</v>
      </c>
      <c r="D1542" t="s">
        <v>1590</v>
      </c>
      <c r="E1542" t="s">
        <v>32</v>
      </c>
      <c r="F1542" t="s">
        <v>28</v>
      </c>
      <c r="G1542" t="s">
        <v>38</v>
      </c>
      <c r="H1542" t="s">
        <v>1132</v>
      </c>
      <c r="I1542" s="2">
        <v>46.34</v>
      </c>
      <c r="J1542" s="3">
        <v>3</v>
      </c>
      <c r="K1542" s="2">
        <v>4.63</v>
      </c>
    </row>
    <row r="1543" spans="1:11" x14ac:dyDescent="0.35">
      <c r="A1543" s="1">
        <v>42349</v>
      </c>
      <c r="B1543" s="3">
        <f t="shared" si="48"/>
        <v>2015</v>
      </c>
      <c r="C1543" s="3">
        <f t="shared" si="49"/>
        <v>12</v>
      </c>
      <c r="D1543" t="s">
        <v>1339</v>
      </c>
      <c r="E1543" t="s">
        <v>77</v>
      </c>
      <c r="F1543" t="s">
        <v>28</v>
      </c>
      <c r="G1543" t="s">
        <v>48</v>
      </c>
      <c r="H1543" t="s">
        <v>226</v>
      </c>
      <c r="I1543" s="2">
        <v>12.83</v>
      </c>
      <c r="J1543" s="3">
        <v>2</v>
      </c>
      <c r="K1543" s="2">
        <v>-8.98</v>
      </c>
    </row>
    <row r="1544" spans="1:11" x14ac:dyDescent="0.35">
      <c r="A1544" s="1">
        <v>42349</v>
      </c>
      <c r="B1544" s="3">
        <f t="shared" si="48"/>
        <v>2015</v>
      </c>
      <c r="C1544" s="3">
        <f t="shared" si="49"/>
        <v>12</v>
      </c>
      <c r="D1544" t="s">
        <v>1230</v>
      </c>
      <c r="E1544" t="s">
        <v>103</v>
      </c>
      <c r="F1544" t="s">
        <v>28</v>
      </c>
      <c r="G1544" t="s">
        <v>64</v>
      </c>
      <c r="H1544" t="s">
        <v>1099</v>
      </c>
      <c r="I1544" s="2">
        <v>13.12</v>
      </c>
      <c r="J1544" s="3">
        <v>5</v>
      </c>
      <c r="K1544" s="2">
        <v>1.1499999999999999</v>
      </c>
    </row>
    <row r="1545" spans="1:11" x14ac:dyDescent="0.35">
      <c r="A1545" s="1">
        <v>42349</v>
      </c>
      <c r="B1545" s="3">
        <f t="shared" si="48"/>
        <v>2015</v>
      </c>
      <c r="C1545" s="3">
        <f t="shared" si="49"/>
        <v>12</v>
      </c>
      <c r="D1545" t="s">
        <v>1230</v>
      </c>
      <c r="E1545" t="s">
        <v>103</v>
      </c>
      <c r="F1545" t="s">
        <v>18</v>
      </c>
      <c r="G1545" t="s">
        <v>237</v>
      </c>
      <c r="H1545" t="s">
        <v>1591</v>
      </c>
      <c r="I1545" s="2">
        <v>69.58</v>
      </c>
      <c r="J1545" s="3">
        <v>4</v>
      </c>
      <c r="K1545" s="2">
        <v>-143.79</v>
      </c>
    </row>
    <row r="1546" spans="1:11" x14ac:dyDescent="0.35">
      <c r="A1546" s="1">
        <v>42349</v>
      </c>
      <c r="B1546" s="3">
        <f t="shared" si="48"/>
        <v>2015</v>
      </c>
      <c r="C1546" s="3">
        <f t="shared" si="49"/>
        <v>12</v>
      </c>
      <c r="D1546" t="s">
        <v>1230</v>
      </c>
      <c r="E1546" t="s">
        <v>103</v>
      </c>
      <c r="F1546" t="s">
        <v>28</v>
      </c>
      <c r="G1546" t="s">
        <v>64</v>
      </c>
      <c r="H1546" t="s">
        <v>1592</v>
      </c>
      <c r="I1546" s="2">
        <v>4.22</v>
      </c>
      <c r="J1546" s="3">
        <v>3</v>
      </c>
      <c r="K1546" s="2">
        <v>0.48</v>
      </c>
    </row>
    <row r="1547" spans="1:11" x14ac:dyDescent="0.35">
      <c r="A1547" s="1">
        <v>42349</v>
      </c>
      <c r="B1547" s="3">
        <f t="shared" si="48"/>
        <v>2015</v>
      </c>
      <c r="C1547" s="3">
        <f t="shared" si="49"/>
        <v>12</v>
      </c>
      <c r="D1547" t="s">
        <v>1230</v>
      </c>
      <c r="E1547" t="s">
        <v>103</v>
      </c>
      <c r="F1547" t="s">
        <v>13</v>
      </c>
      <c r="G1547" t="s">
        <v>14</v>
      </c>
      <c r="H1547" t="s">
        <v>1477</v>
      </c>
      <c r="I1547" s="2">
        <v>58.08</v>
      </c>
      <c r="J1547" s="3">
        <v>4</v>
      </c>
      <c r="K1547" s="2">
        <v>-6.53</v>
      </c>
    </row>
    <row r="1548" spans="1:11" x14ac:dyDescent="0.35">
      <c r="A1548" s="1">
        <v>42349</v>
      </c>
      <c r="B1548" s="3">
        <f t="shared" si="48"/>
        <v>2015</v>
      </c>
      <c r="C1548" s="3">
        <f t="shared" si="49"/>
        <v>12</v>
      </c>
      <c r="D1548" t="s">
        <v>1230</v>
      </c>
      <c r="E1548" t="s">
        <v>103</v>
      </c>
      <c r="F1548" t="s">
        <v>18</v>
      </c>
      <c r="G1548" t="s">
        <v>36</v>
      </c>
      <c r="H1548" t="s">
        <v>801</v>
      </c>
      <c r="I1548" s="2">
        <v>52.42</v>
      </c>
      <c r="J1548" s="3">
        <v>9</v>
      </c>
      <c r="K1548" s="2">
        <v>15.07</v>
      </c>
    </row>
    <row r="1549" spans="1:11" x14ac:dyDescent="0.35">
      <c r="A1549" s="1">
        <v>42349</v>
      </c>
      <c r="B1549" s="3">
        <f t="shared" si="48"/>
        <v>2015</v>
      </c>
      <c r="C1549" s="3">
        <f t="shared" si="49"/>
        <v>12</v>
      </c>
      <c r="D1549" t="s">
        <v>1230</v>
      </c>
      <c r="E1549" t="s">
        <v>103</v>
      </c>
      <c r="F1549" t="s">
        <v>18</v>
      </c>
      <c r="G1549" t="s">
        <v>36</v>
      </c>
      <c r="H1549" t="s">
        <v>370</v>
      </c>
      <c r="I1549" s="2">
        <v>54.92</v>
      </c>
      <c r="J1549" s="3">
        <v>5</v>
      </c>
      <c r="K1549" s="2">
        <v>10.98</v>
      </c>
    </row>
    <row r="1550" spans="1:11" x14ac:dyDescent="0.35">
      <c r="A1550" s="1">
        <v>42349</v>
      </c>
      <c r="B1550" s="3">
        <f t="shared" si="48"/>
        <v>2015</v>
      </c>
      <c r="C1550" s="3">
        <f t="shared" si="49"/>
        <v>12</v>
      </c>
      <c r="D1550" t="s">
        <v>1230</v>
      </c>
      <c r="E1550" t="s">
        <v>103</v>
      </c>
      <c r="F1550" t="s">
        <v>18</v>
      </c>
      <c r="G1550" t="s">
        <v>42</v>
      </c>
      <c r="H1550" t="s">
        <v>1593</v>
      </c>
      <c r="I1550" s="2">
        <v>364.95</v>
      </c>
      <c r="J1550" s="3">
        <v>5</v>
      </c>
      <c r="K1550" s="2">
        <v>-248.17</v>
      </c>
    </row>
    <row r="1551" spans="1:11" x14ac:dyDescent="0.35">
      <c r="A1551" s="1">
        <v>42349</v>
      </c>
      <c r="B1551" s="3">
        <f t="shared" si="48"/>
        <v>2015</v>
      </c>
      <c r="C1551" s="3">
        <f t="shared" si="49"/>
        <v>12</v>
      </c>
      <c r="D1551" t="s">
        <v>1230</v>
      </c>
      <c r="E1551" t="s">
        <v>103</v>
      </c>
      <c r="F1551" t="s">
        <v>28</v>
      </c>
      <c r="G1551" t="s">
        <v>29</v>
      </c>
      <c r="H1551" t="s">
        <v>1594</v>
      </c>
      <c r="I1551" s="2">
        <v>85.06</v>
      </c>
      <c r="J1551" s="3">
        <v>3</v>
      </c>
      <c r="K1551" s="2">
        <v>28.71</v>
      </c>
    </row>
    <row r="1552" spans="1:11" x14ac:dyDescent="0.35">
      <c r="A1552" s="1">
        <v>42349</v>
      </c>
      <c r="B1552" s="3">
        <f t="shared" si="48"/>
        <v>2015</v>
      </c>
      <c r="C1552" s="3">
        <f t="shared" si="49"/>
        <v>12</v>
      </c>
      <c r="D1552" t="s">
        <v>1230</v>
      </c>
      <c r="E1552" t="s">
        <v>103</v>
      </c>
      <c r="F1552" t="s">
        <v>28</v>
      </c>
      <c r="G1552" t="s">
        <v>29</v>
      </c>
      <c r="H1552" t="s">
        <v>1595</v>
      </c>
      <c r="I1552" s="2">
        <v>27.7</v>
      </c>
      <c r="J1552" s="3">
        <v>3</v>
      </c>
      <c r="K1552" s="2">
        <v>9.69</v>
      </c>
    </row>
    <row r="1553" spans="1:11" x14ac:dyDescent="0.35">
      <c r="A1553" s="1">
        <v>42349</v>
      </c>
      <c r="B1553" s="3">
        <f t="shared" si="48"/>
        <v>2015</v>
      </c>
      <c r="C1553" s="3">
        <f t="shared" si="49"/>
        <v>12</v>
      </c>
      <c r="D1553" t="s">
        <v>1596</v>
      </c>
      <c r="E1553" t="s">
        <v>131</v>
      </c>
      <c r="F1553" t="s">
        <v>28</v>
      </c>
      <c r="G1553" t="s">
        <v>48</v>
      </c>
      <c r="H1553" t="s">
        <v>1331</v>
      </c>
      <c r="I1553" s="2">
        <v>10.33</v>
      </c>
      <c r="J1553" s="3">
        <v>3</v>
      </c>
      <c r="K1553" s="2">
        <v>-7.58</v>
      </c>
    </row>
    <row r="1554" spans="1:11" x14ac:dyDescent="0.35">
      <c r="A1554" s="1">
        <v>42349</v>
      </c>
      <c r="B1554" s="3">
        <f t="shared" si="48"/>
        <v>2015</v>
      </c>
      <c r="C1554" s="3">
        <f t="shared" si="49"/>
        <v>12</v>
      </c>
      <c r="D1554" t="s">
        <v>1597</v>
      </c>
      <c r="E1554" t="s">
        <v>45</v>
      </c>
      <c r="F1554" t="s">
        <v>28</v>
      </c>
      <c r="G1554" t="s">
        <v>48</v>
      </c>
      <c r="H1554" t="s">
        <v>347</v>
      </c>
      <c r="I1554" s="2">
        <v>110.53</v>
      </c>
      <c r="J1554" s="3">
        <v>4</v>
      </c>
      <c r="K1554" s="2">
        <v>38.68</v>
      </c>
    </row>
    <row r="1555" spans="1:11" x14ac:dyDescent="0.35">
      <c r="A1555" s="1">
        <v>42349</v>
      </c>
      <c r="B1555" s="3">
        <f t="shared" si="48"/>
        <v>2015</v>
      </c>
      <c r="C1555" s="3">
        <f t="shared" si="49"/>
        <v>12</v>
      </c>
      <c r="D1555" t="s">
        <v>1598</v>
      </c>
      <c r="E1555" t="s">
        <v>71</v>
      </c>
      <c r="F1555" t="s">
        <v>13</v>
      </c>
      <c r="G1555" t="s">
        <v>14</v>
      </c>
      <c r="H1555" t="s">
        <v>1599</v>
      </c>
      <c r="I1555" s="2">
        <v>175.23</v>
      </c>
      <c r="J1555" s="3">
        <v>11</v>
      </c>
      <c r="K1555" s="2">
        <v>61.33</v>
      </c>
    </row>
    <row r="1556" spans="1:11" x14ac:dyDescent="0.35">
      <c r="A1556" s="1">
        <v>42349</v>
      </c>
      <c r="B1556" s="3">
        <f t="shared" si="48"/>
        <v>2015</v>
      </c>
      <c r="C1556" s="3">
        <f t="shared" si="49"/>
        <v>12</v>
      </c>
      <c r="D1556" t="s">
        <v>1598</v>
      </c>
      <c r="E1556" t="s">
        <v>71</v>
      </c>
      <c r="F1556" t="s">
        <v>13</v>
      </c>
      <c r="G1556" t="s">
        <v>23</v>
      </c>
      <c r="H1556" t="s">
        <v>994</v>
      </c>
      <c r="I1556" s="2">
        <v>125.99</v>
      </c>
      <c r="J1556" s="3">
        <v>1</v>
      </c>
      <c r="K1556" s="2">
        <v>31.5</v>
      </c>
    </row>
    <row r="1557" spans="1:11" x14ac:dyDescent="0.35">
      <c r="A1557" s="1">
        <v>42349</v>
      </c>
      <c r="B1557" s="3">
        <f t="shared" si="48"/>
        <v>2015</v>
      </c>
      <c r="C1557" s="3">
        <f t="shared" si="49"/>
        <v>12</v>
      </c>
      <c r="D1557" t="s">
        <v>1598</v>
      </c>
      <c r="E1557" t="s">
        <v>71</v>
      </c>
      <c r="F1557" t="s">
        <v>28</v>
      </c>
      <c r="G1557" t="s">
        <v>48</v>
      </c>
      <c r="H1557" t="s">
        <v>584</v>
      </c>
      <c r="I1557" s="2">
        <v>23</v>
      </c>
      <c r="J1557" s="3">
        <v>2</v>
      </c>
      <c r="K1557" s="2">
        <v>10.35</v>
      </c>
    </row>
    <row r="1558" spans="1:11" x14ac:dyDescent="0.35">
      <c r="A1558" s="1">
        <v>42016</v>
      </c>
      <c r="B1558" s="3">
        <f t="shared" si="48"/>
        <v>2015</v>
      </c>
      <c r="C1558" s="3">
        <f t="shared" si="49"/>
        <v>1</v>
      </c>
      <c r="D1558" t="s">
        <v>1460</v>
      </c>
      <c r="E1558" t="s">
        <v>876</v>
      </c>
      <c r="F1558" t="s">
        <v>28</v>
      </c>
      <c r="G1558" t="s">
        <v>38</v>
      </c>
      <c r="H1558" t="s">
        <v>1600</v>
      </c>
      <c r="I1558" s="2">
        <v>465.18</v>
      </c>
      <c r="J1558" s="3">
        <v>3</v>
      </c>
      <c r="K1558" s="2">
        <v>120.95</v>
      </c>
    </row>
    <row r="1559" spans="1:11" x14ac:dyDescent="0.35">
      <c r="A1559" s="1">
        <v>42016</v>
      </c>
      <c r="B1559" s="3">
        <f t="shared" si="48"/>
        <v>2015</v>
      </c>
      <c r="C1559" s="3">
        <f t="shared" si="49"/>
        <v>1</v>
      </c>
      <c r="D1559" t="s">
        <v>1601</v>
      </c>
      <c r="E1559" t="s">
        <v>131</v>
      </c>
      <c r="F1559" t="s">
        <v>28</v>
      </c>
      <c r="G1559" t="s">
        <v>64</v>
      </c>
      <c r="H1559" t="s">
        <v>353</v>
      </c>
      <c r="I1559" s="2">
        <v>10.37</v>
      </c>
      <c r="J1559" s="3">
        <v>2</v>
      </c>
      <c r="K1559" s="2">
        <v>1.56</v>
      </c>
    </row>
    <row r="1560" spans="1:11" x14ac:dyDescent="0.35">
      <c r="A1560" s="1">
        <v>42016</v>
      </c>
      <c r="B1560" s="3">
        <f t="shared" si="48"/>
        <v>2015</v>
      </c>
      <c r="C1560" s="3">
        <f t="shared" si="49"/>
        <v>1</v>
      </c>
      <c r="D1560" t="s">
        <v>1601</v>
      </c>
      <c r="E1560" t="s">
        <v>131</v>
      </c>
      <c r="F1560" t="s">
        <v>13</v>
      </c>
      <c r="G1560" t="s">
        <v>23</v>
      </c>
      <c r="H1560" t="s">
        <v>527</v>
      </c>
      <c r="I1560" s="2">
        <v>235.19</v>
      </c>
      <c r="J1560" s="3">
        <v>2</v>
      </c>
      <c r="K1560" s="2">
        <v>-43.12</v>
      </c>
    </row>
    <row r="1561" spans="1:11" x14ac:dyDescent="0.35">
      <c r="A1561" s="1">
        <v>42016</v>
      </c>
      <c r="B1561" s="3">
        <f t="shared" si="48"/>
        <v>2015</v>
      </c>
      <c r="C1561" s="3">
        <f t="shared" si="49"/>
        <v>1</v>
      </c>
      <c r="D1561" t="s">
        <v>1601</v>
      </c>
      <c r="E1561" t="s">
        <v>131</v>
      </c>
      <c r="F1561" t="s">
        <v>13</v>
      </c>
      <c r="G1561" t="s">
        <v>23</v>
      </c>
      <c r="H1561" t="s">
        <v>1602</v>
      </c>
      <c r="I1561" s="2">
        <v>26.38</v>
      </c>
      <c r="J1561" s="3">
        <v>4</v>
      </c>
      <c r="K1561" s="2">
        <v>2.64</v>
      </c>
    </row>
    <row r="1562" spans="1:11" x14ac:dyDescent="0.35">
      <c r="A1562" s="1">
        <v>42016</v>
      </c>
      <c r="B1562" s="3">
        <f t="shared" si="48"/>
        <v>2015</v>
      </c>
      <c r="C1562" s="3">
        <f t="shared" si="49"/>
        <v>1</v>
      </c>
      <c r="D1562" t="s">
        <v>1601</v>
      </c>
      <c r="E1562" t="s">
        <v>131</v>
      </c>
      <c r="F1562" t="s">
        <v>13</v>
      </c>
      <c r="G1562" t="s">
        <v>14</v>
      </c>
      <c r="H1562" t="s">
        <v>1603</v>
      </c>
      <c r="I1562" s="2">
        <v>10.38</v>
      </c>
      <c r="J1562" s="3">
        <v>2</v>
      </c>
      <c r="K1562" s="2">
        <v>2.21</v>
      </c>
    </row>
    <row r="1563" spans="1:11" x14ac:dyDescent="0.35">
      <c r="A1563" s="1">
        <v>42016</v>
      </c>
      <c r="B1563" s="3">
        <f t="shared" si="48"/>
        <v>2015</v>
      </c>
      <c r="C1563" s="3">
        <f t="shared" si="49"/>
        <v>1</v>
      </c>
      <c r="D1563" t="s">
        <v>1601</v>
      </c>
      <c r="E1563" t="s">
        <v>131</v>
      </c>
      <c r="F1563" t="s">
        <v>13</v>
      </c>
      <c r="G1563" t="s">
        <v>23</v>
      </c>
      <c r="H1563" t="s">
        <v>1604</v>
      </c>
      <c r="I1563" s="2">
        <v>107.12</v>
      </c>
      <c r="J1563" s="3">
        <v>3</v>
      </c>
      <c r="K1563" s="2">
        <v>-21.42</v>
      </c>
    </row>
    <row r="1564" spans="1:11" x14ac:dyDescent="0.35">
      <c r="A1564" s="1">
        <v>42075</v>
      </c>
      <c r="B1564" s="3">
        <f t="shared" si="48"/>
        <v>2015</v>
      </c>
      <c r="C1564" s="3">
        <f t="shared" si="49"/>
        <v>3</v>
      </c>
      <c r="D1564" t="s">
        <v>1274</v>
      </c>
      <c r="E1564" t="s">
        <v>77</v>
      </c>
      <c r="F1564" t="s">
        <v>28</v>
      </c>
      <c r="G1564" t="s">
        <v>158</v>
      </c>
      <c r="H1564" t="s">
        <v>311</v>
      </c>
      <c r="I1564" s="2">
        <v>8.69</v>
      </c>
      <c r="J1564" s="3">
        <v>3</v>
      </c>
      <c r="K1564" s="2">
        <v>2.93</v>
      </c>
    </row>
    <row r="1565" spans="1:11" x14ac:dyDescent="0.35">
      <c r="A1565" s="1">
        <v>42075</v>
      </c>
      <c r="B1565" s="3">
        <f t="shared" si="48"/>
        <v>2015</v>
      </c>
      <c r="C1565" s="3">
        <f t="shared" si="49"/>
        <v>3</v>
      </c>
      <c r="D1565" t="s">
        <v>1274</v>
      </c>
      <c r="E1565" t="s">
        <v>77</v>
      </c>
      <c r="F1565" t="s">
        <v>18</v>
      </c>
      <c r="G1565" t="s">
        <v>36</v>
      </c>
      <c r="H1565" t="s">
        <v>1605</v>
      </c>
      <c r="I1565" s="2">
        <v>30.88</v>
      </c>
      <c r="J1565" s="3">
        <v>4</v>
      </c>
      <c r="K1565" s="2">
        <v>3.86</v>
      </c>
    </row>
    <row r="1566" spans="1:11" x14ac:dyDescent="0.35">
      <c r="A1566" s="1">
        <v>42075</v>
      </c>
      <c r="B1566" s="3">
        <f t="shared" si="48"/>
        <v>2015</v>
      </c>
      <c r="C1566" s="3">
        <f t="shared" si="49"/>
        <v>3</v>
      </c>
      <c r="D1566" t="s">
        <v>1274</v>
      </c>
      <c r="E1566" t="s">
        <v>77</v>
      </c>
      <c r="F1566" t="s">
        <v>18</v>
      </c>
      <c r="G1566" t="s">
        <v>36</v>
      </c>
      <c r="H1566" t="s">
        <v>1437</v>
      </c>
      <c r="I1566" s="2">
        <v>6.41</v>
      </c>
      <c r="J1566" s="3">
        <v>3</v>
      </c>
      <c r="K1566" s="2">
        <v>1.44</v>
      </c>
    </row>
    <row r="1567" spans="1:11" x14ac:dyDescent="0.35">
      <c r="A1567" s="1">
        <v>42075</v>
      </c>
      <c r="B1567" s="3">
        <f t="shared" si="48"/>
        <v>2015</v>
      </c>
      <c r="C1567" s="3">
        <f t="shared" si="49"/>
        <v>3</v>
      </c>
      <c r="D1567" t="s">
        <v>1606</v>
      </c>
      <c r="E1567" t="s">
        <v>81</v>
      </c>
      <c r="F1567" t="s">
        <v>28</v>
      </c>
      <c r="G1567" t="s">
        <v>46</v>
      </c>
      <c r="H1567" t="s">
        <v>355</v>
      </c>
      <c r="I1567" s="2">
        <v>5.04</v>
      </c>
      <c r="J1567" s="3">
        <v>2</v>
      </c>
      <c r="K1567" s="2">
        <v>1.76</v>
      </c>
    </row>
    <row r="1568" spans="1:11" x14ac:dyDescent="0.35">
      <c r="A1568" s="1">
        <v>42106</v>
      </c>
      <c r="B1568" s="3">
        <f t="shared" si="48"/>
        <v>2015</v>
      </c>
      <c r="C1568" s="3">
        <f t="shared" si="49"/>
        <v>4</v>
      </c>
      <c r="D1568" t="s">
        <v>1607</v>
      </c>
      <c r="E1568" t="s">
        <v>17</v>
      </c>
      <c r="F1568" t="s">
        <v>28</v>
      </c>
      <c r="G1568" t="s">
        <v>38</v>
      </c>
      <c r="H1568" t="s">
        <v>1608</v>
      </c>
      <c r="I1568" s="2">
        <v>40.74</v>
      </c>
      <c r="J1568" s="3">
        <v>3</v>
      </c>
      <c r="K1568" s="2">
        <v>0.41</v>
      </c>
    </row>
    <row r="1569" spans="1:11" x14ac:dyDescent="0.35">
      <c r="A1569" s="1">
        <v>42136</v>
      </c>
      <c r="B1569" s="3">
        <f t="shared" si="48"/>
        <v>2015</v>
      </c>
      <c r="C1569" s="3">
        <f t="shared" si="49"/>
        <v>5</v>
      </c>
      <c r="D1569" t="s">
        <v>1609</v>
      </c>
      <c r="E1569" t="s">
        <v>45</v>
      </c>
      <c r="F1569" t="s">
        <v>28</v>
      </c>
      <c r="G1569" t="s">
        <v>29</v>
      </c>
      <c r="H1569" t="s">
        <v>1610</v>
      </c>
      <c r="I1569" s="2">
        <v>12.84</v>
      </c>
      <c r="J1569" s="3">
        <v>3</v>
      </c>
      <c r="K1569" s="2">
        <v>5.78</v>
      </c>
    </row>
    <row r="1570" spans="1:11" x14ac:dyDescent="0.35">
      <c r="A1570" s="1">
        <v>42136</v>
      </c>
      <c r="B1570" s="3">
        <f t="shared" si="48"/>
        <v>2015</v>
      </c>
      <c r="C1570" s="3">
        <f t="shared" si="49"/>
        <v>5</v>
      </c>
      <c r="D1570" t="s">
        <v>1609</v>
      </c>
      <c r="E1570" t="s">
        <v>45</v>
      </c>
      <c r="F1570" t="s">
        <v>28</v>
      </c>
      <c r="G1570" t="s">
        <v>29</v>
      </c>
      <c r="H1570" t="s">
        <v>1611</v>
      </c>
      <c r="I1570" s="2">
        <v>25.68</v>
      </c>
      <c r="J1570" s="3">
        <v>6</v>
      </c>
      <c r="K1570" s="2">
        <v>11.56</v>
      </c>
    </row>
    <row r="1571" spans="1:11" x14ac:dyDescent="0.35">
      <c r="A1571" s="1">
        <v>42136</v>
      </c>
      <c r="B1571" s="3">
        <f t="shared" si="48"/>
        <v>2015</v>
      </c>
      <c r="C1571" s="3">
        <f t="shared" si="49"/>
        <v>5</v>
      </c>
      <c r="D1571" t="s">
        <v>91</v>
      </c>
      <c r="E1571" t="s">
        <v>103</v>
      </c>
      <c r="F1571" t="s">
        <v>13</v>
      </c>
      <c r="G1571" t="s">
        <v>23</v>
      </c>
      <c r="H1571" t="s">
        <v>1422</v>
      </c>
      <c r="I1571" s="2">
        <v>201.58</v>
      </c>
      <c r="J1571" s="3">
        <v>2</v>
      </c>
      <c r="K1571" s="2">
        <v>20.16</v>
      </c>
    </row>
    <row r="1572" spans="1:11" x14ac:dyDescent="0.35">
      <c r="A1572" s="1">
        <v>42136</v>
      </c>
      <c r="B1572" s="3">
        <f t="shared" si="48"/>
        <v>2015</v>
      </c>
      <c r="C1572" s="3">
        <f t="shared" si="49"/>
        <v>5</v>
      </c>
      <c r="D1572" t="s">
        <v>1612</v>
      </c>
      <c r="E1572" t="s">
        <v>22</v>
      </c>
      <c r="F1572" t="s">
        <v>28</v>
      </c>
      <c r="G1572" t="s">
        <v>38</v>
      </c>
      <c r="H1572" t="s">
        <v>655</v>
      </c>
      <c r="I1572" s="2">
        <v>36.630000000000003</v>
      </c>
      <c r="J1572" s="3">
        <v>3</v>
      </c>
      <c r="K1572" s="2">
        <v>9.89</v>
      </c>
    </row>
    <row r="1573" spans="1:11" x14ac:dyDescent="0.35">
      <c r="A1573" s="1">
        <v>42136</v>
      </c>
      <c r="B1573" s="3">
        <f t="shared" si="48"/>
        <v>2015</v>
      </c>
      <c r="C1573" s="3">
        <f t="shared" si="49"/>
        <v>5</v>
      </c>
      <c r="D1573" t="s">
        <v>1251</v>
      </c>
      <c r="E1573" t="s">
        <v>17</v>
      </c>
      <c r="F1573" t="s">
        <v>28</v>
      </c>
      <c r="G1573" t="s">
        <v>48</v>
      </c>
      <c r="H1573" t="s">
        <v>94</v>
      </c>
      <c r="I1573" s="2">
        <v>14.59</v>
      </c>
      <c r="J1573" s="3">
        <v>3</v>
      </c>
      <c r="K1573" s="2">
        <v>4.92</v>
      </c>
    </row>
    <row r="1574" spans="1:11" x14ac:dyDescent="0.35">
      <c r="A1574" s="1">
        <v>42136</v>
      </c>
      <c r="B1574" s="3">
        <f t="shared" si="48"/>
        <v>2015</v>
      </c>
      <c r="C1574" s="3">
        <f t="shared" si="49"/>
        <v>5</v>
      </c>
      <c r="D1574" t="s">
        <v>1613</v>
      </c>
      <c r="E1574" t="s">
        <v>32</v>
      </c>
      <c r="F1574" t="s">
        <v>18</v>
      </c>
      <c r="G1574" t="s">
        <v>36</v>
      </c>
      <c r="H1574" t="s">
        <v>965</v>
      </c>
      <c r="I1574" s="2">
        <v>21.97</v>
      </c>
      <c r="J1574" s="3">
        <v>4</v>
      </c>
      <c r="K1574" s="2">
        <v>-15.93</v>
      </c>
    </row>
    <row r="1575" spans="1:11" x14ac:dyDescent="0.35">
      <c r="A1575" s="1">
        <v>42136</v>
      </c>
      <c r="B1575" s="3">
        <f t="shared" si="48"/>
        <v>2015</v>
      </c>
      <c r="C1575" s="3">
        <f t="shared" si="49"/>
        <v>5</v>
      </c>
      <c r="D1575" t="s">
        <v>1613</v>
      </c>
      <c r="E1575" t="s">
        <v>32</v>
      </c>
      <c r="F1575" t="s">
        <v>13</v>
      </c>
      <c r="G1575" t="s">
        <v>23</v>
      </c>
      <c r="H1575" t="s">
        <v>1409</v>
      </c>
      <c r="I1575" s="2">
        <v>619.15</v>
      </c>
      <c r="J1575" s="3">
        <v>6</v>
      </c>
      <c r="K1575" s="2">
        <v>69.650000000000006</v>
      </c>
    </row>
    <row r="1576" spans="1:11" x14ac:dyDescent="0.35">
      <c r="A1576" s="1">
        <v>42136</v>
      </c>
      <c r="B1576" s="3">
        <f t="shared" si="48"/>
        <v>2015</v>
      </c>
      <c r="C1576" s="3">
        <f t="shared" si="49"/>
        <v>5</v>
      </c>
      <c r="D1576" t="s">
        <v>1613</v>
      </c>
      <c r="E1576" t="s">
        <v>32</v>
      </c>
      <c r="F1576" t="s">
        <v>28</v>
      </c>
      <c r="G1576" t="s">
        <v>29</v>
      </c>
      <c r="H1576" t="s">
        <v>744</v>
      </c>
      <c r="I1576" s="2">
        <v>127.9</v>
      </c>
      <c r="J1576" s="3">
        <v>7</v>
      </c>
      <c r="K1576" s="2">
        <v>41.57</v>
      </c>
    </row>
    <row r="1577" spans="1:11" x14ac:dyDescent="0.35">
      <c r="A1577" s="1">
        <v>42167</v>
      </c>
      <c r="B1577" s="3">
        <f t="shared" si="48"/>
        <v>2015</v>
      </c>
      <c r="C1577" s="3">
        <f t="shared" si="49"/>
        <v>6</v>
      </c>
      <c r="D1577" t="s">
        <v>1614</v>
      </c>
      <c r="E1577" t="s">
        <v>89</v>
      </c>
      <c r="F1577" t="s">
        <v>28</v>
      </c>
      <c r="G1577" t="s">
        <v>29</v>
      </c>
      <c r="H1577" t="s">
        <v>1421</v>
      </c>
      <c r="I1577" s="2">
        <v>20.74</v>
      </c>
      <c r="J1577" s="3">
        <v>4</v>
      </c>
      <c r="K1577" s="2">
        <v>7.26</v>
      </c>
    </row>
    <row r="1578" spans="1:11" x14ac:dyDescent="0.35">
      <c r="A1578" s="1">
        <v>42167</v>
      </c>
      <c r="B1578" s="3">
        <f t="shared" si="48"/>
        <v>2015</v>
      </c>
      <c r="C1578" s="3">
        <f t="shared" si="49"/>
        <v>6</v>
      </c>
      <c r="D1578" t="s">
        <v>1614</v>
      </c>
      <c r="E1578" t="s">
        <v>89</v>
      </c>
      <c r="F1578" t="s">
        <v>18</v>
      </c>
      <c r="G1578" t="s">
        <v>36</v>
      </c>
      <c r="H1578" t="s">
        <v>1243</v>
      </c>
      <c r="I1578" s="2">
        <v>43.3</v>
      </c>
      <c r="J1578" s="3">
        <v>2</v>
      </c>
      <c r="K1578" s="2">
        <v>4.33</v>
      </c>
    </row>
    <row r="1579" spans="1:11" x14ac:dyDescent="0.35">
      <c r="A1579" s="1">
        <v>42167</v>
      </c>
      <c r="B1579" s="3">
        <f t="shared" si="48"/>
        <v>2015</v>
      </c>
      <c r="C1579" s="3">
        <f t="shared" si="49"/>
        <v>6</v>
      </c>
      <c r="D1579" t="s">
        <v>1615</v>
      </c>
      <c r="E1579" t="s">
        <v>876</v>
      </c>
      <c r="F1579" t="s">
        <v>28</v>
      </c>
      <c r="G1579" t="s">
        <v>38</v>
      </c>
      <c r="H1579" t="s">
        <v>776</v>
      </c>
      <c r="I1579" s="2">
        <v>29.9</v>
      </c>
      <c r="J1579" s="3">
        <v>5</v>
      </c>
      <c r="K1579" s="2">
        <v>5.08</v>
      </c>
    </row>
    <row r="1580" spans="1:11" x14ac:dyDescent="0.35">
      <c r="A1580" s="1">
        <v>42167</v>
      </c>
      <c r="B1580" s="3">
        <f t="shared" si="48"/>
        <v>2015</v>
      </c>
      <c r="C1580" s="3">
        <f t="shared" si="49"/>
        <v>6</v>
      </c>
      <c r="D1580" t="s">
        <v>1616</v>
      </c>
      <c r="E1580" t="s">
        <v>77</v>
      </c>
      <c r="F1580" t="s">
        <v>13</v>
      </c>
      <c r="G1580" t="s">
        <v>23</v>
      </c>
      <c r="H1580" t="s">
        <v>1095</v>
      </c>
      <c r="I1580" s="2">
        <v>55.98</v>
      </c>
      <c r="J1580" s="3">
        <v>2</v>
      </c>
      <c r="K1580" s="2">
        <v>4.2</v>
      </c>
    </row>
    <row r="1581" spans="1:11" x14ac:dyDescent="0.35">
      <c r="A1581" s="1">
        <v>42167</v>
      </c>
      <c r="B1581" s="3">
        <f t="shared" si="48"/>
        <v>2015</v>
      </c>
      <c r="C1581" s="3">
        <f t="shared" si="49"/>
        <v>6</v>
      </c>
      <c r="D1581" t="s">
        <v>418</v>
      </c>
      <c r="E1581" t="s">
        <v>575</v>
      </c>
      <c r="F1581" t="s">
        <v>28</v>
      </c>
      <c r="G1581" t="s">
        <v>38</v>
      </c>
      <c r="H1581" t="s">
        <v>509</v>
      </c>
      <c r="I1581" s="2">
        <v>24.56</v>
      </c>
      <c r="J1581" s="3">
        <v>2</v>
      </c>
      <c r="K1581" s="2">
        <v>6.88</v>
      </c>
    </row>
    <row r="1582" spans="1:11" x14ac:dyDescent="0.35">
      <c r="A1582" s="1">
        <v>42197</v>
      </c>
      <c r="B1582" s="3">
        <f t="shared" si="48"/>
        <v>2015</v>
      </c>
      <c r="C1582" s="3">
        <f t="shared" si="49"/>
        <v>7</v>
      </c>
      <c r="D1582" t="s">
        <v>516</v>
      </c>
      <c r="E1582" t="s">
        <v>26</v>
      </c>
      <c r="F1582" t="s">
        <v>18</v>
      </c>
      <c r="G1582" t="s">
        <v>19</v>
      </c>
      <c r="H1582" t="s">
        <v>596</v>
      </c>
      <c r="I1582" s="2">
        <v>383.61</v>
      </c>
      <c r="J1582" s="3">
        <v>9</v>
      </c>
      <c r="K1582" s="2">
        <v>-5.48</v>
      </c>
    </row>
    <row r="1583" spans="1:11" x14ac:dyDescent="0.35">
      <c r="A1583" s="1">
        <v>42197</v>
      </c>
      <c r="B1583" s="3">
        <f t="shared" si="48"/>
        <v>2015</v>
      </c>
      <c r="C1583" s="3">
        <f t="shared" si="49"/>
        <v>7</v>
      </c>
      <c r="D1583" t="s">
        <v>516</v>
      </c>
      <c r="E1583" t="s">
        <v>26</v>
      </c>
      <c r="F1583" t="s">
        <v>13</v>
      </c>
      <c r="G1583" t="s">
        <v>23</v>
      </c>
      <c r="H1583" t="s">
        <v>955</v>
      </c>
      <c r="I1583" s="2">
        <v>148.47999999999999</v>
      </c>
      <c r="J1583" s="3">
        <v>2</v>
      </c>
      <c r="K1583" s="2">
        <v>16.7</v>
      </c>
    </row>
    <row r="1584" spans="1:11" x14ac:dyDescent="0.35">
      <c r="A1584" s="1">
        <v>42197</v>
      </c>
      <c r="B1584" s="3">
        <f t="shared" si="48"/>
        <v>2015</v>
      </c>
      <c r="C1584" s="3">
        <f t="shared" si="49"/>
        <v>7</v>
      </c>
      <c r="D1584" t="s">
        <v>516</v>
      </c>
      <c r="E1584" t="s">
        <v>26</v>
      </c>
      <c r="F1584" t="s">
        <v>13</v>
      </c>
      <c r="G1584" t="s">
        <v>23</v>
      </c>
      <c r="H1584" t="s">
        <v>1617</v>
      </c>
      <c r="I1584" s="2">
        <v>537.54</v>
      </c>
      <c r="J1584" s="3">
        <v>7</v>
      </c>
      <c r="K1584" s="2">
        <v>53.75</v>
      </c>
    </row>
    <row r="1585" spans="1:11" x14ac:dyDescent="0.35">
      <c r="A1585" s="1">
        <v>42197</v>
      </c>
      <c r="B1585" s="3">
        <f t="shared" si="48"/>
        <v>2015</v>
      </c>
      <c r="C1585" s="3">
        <f t="shared" si="49"/>
        <v>7</v>
      </c>
      <c r="D1585" t="s">
        <v>516</v>
      </c>
      <c r="E1585" t="s">
        <v>26</v>
      </c>
      <c r="F1585" t="s">
        <v>28</v>
      </c>
      <c r="G1585" t="s">
        <v>48</v>
      </c>
      <c r="H1585" t="s">
        <v>842</v>
      </c>
      <c r="I1585" s="2">
        <v>1.93</v>
      </c>
      <c r="J1585" s="3">
        <v>2</v>
      </c>
      <c r="K1585" s="2">
        <v>-2.99</v>
      </c>
    </row>
    <row r="1586" spans="1:11" x14ac:dyDescent="0.35">
      <c r="A1586" s="1">
        <v>42197</v>
      </c>
      <c r="B1586" s="3">
        <f t="shared" si="48"/>
        <v>2015</v>
      </c>
      <c r="C1586" s="3">
        <f t="shared" si="49"/>
        <v>7</v>
      </c>
      <c r="D1586" t="s">
        <v>516</v>
      </c>
      <c r="E1586" t="s">
        <v>26</v>
      </c>
      <c r="F1586" t="s">
        <v>28</v>
      </c>
      <c r="G1586" t="s">
        <v>64</v>
      </c>
      <c r="H1586" t="s">
        <v>663</v>
      </c>
      <c r="I1586" s="2">
        <v>6.91</v>
      </c>
      <c r="J1586" s="3">
        <v>3</v>
      </c>
      <c r="K1586" s="2">
        <v>0.69</v>
      </c>
    </row>
    <row r="1587" spans="1:11" x14ac:dyDescent="0.35">
      <c r="A1587" s="1">
        <v>42197</v>
      </c>
      <c r="B1587" s="3">
        <f t="shared" si="48"/>
        <v>2015</v>
      </c>
      <c r="C1587" s="3">
        <f t="shared" si="49"/>
        <v>7</v>
      </c>
      <c r="D1587" t="s">
        <v>516</v>
      </c>
      <c r="E1587" t="s">
        <v>26</v>
      </c>
      <c r="F1587" t="s">
        <v>18</v>
      </c>
      <c r="G1587" t="s">
        <v>36</v>
      </c>
      <c r="H1587" t="s">
        <v>139</v>
      </c>
      <c r="I1587" s="2">
        <v>7.76</v>
      </c>
      <c r="J1587" s="3">
        <v>1</v>
      </c>
      <c r="K1587" s="2">
        <v>-2.13</v>
      </c>
    </row>
    <row r="1588" spans="1:11" x14ac:dyDescent="0.35">
      <c r="A1588" s="1">
        <v>42197</v>
      </c>
      <c r="B1588" s="3">
        <f t="shared" si="48"/>
        <v>2015</v>
      </c>
      <c r="C1588" s="3">
        <f t="shared" si="49"/>
        <v>7</v>
      </c>
      <c r="D1588" t="s">
        <v>516</v>
      </c>
      <c r="E1588" t="s">
        <v>26</v>
      </c>
      <c r="F1588" t="s">
        <v>13</v>
      </c>
      <c r="G1588" t="s">
        <v>23</v>
      </c>
      <c r="H1588" t="s">
        <v>1618</v>
      </c>
      <c r="I1588" s="2">
        <v>659.17</v>
      </c>
      <c r="J1588" s="3">
        <v>4</v>
      </c>
      <c r="K1588" s="2">
        <v>49.44</v>
      </c>
    </row>
    <row r="1589" spans="1:11" x14ac:dyDescent="0.35">
      <c r="A1589" s="1">
        <v>42197</v>
      </c>
      <c r="B1589" s="3">
        <f t="shared" si="48"/>
        <v>2015</v>
      </c>
      <c r="C1589" s="3">
        <f t="shared" si="49"/>
        <v>7</v>
      </c>
      <c r="D1589" t="s">
        <v>1500</v>
      </c>
      <c r="E1589" t="s">
        <v>32</v>
      </c>
      <c r="F1589" t="s">
        <v>13</v>
      </c>
      <c r="G1589" t="s">
        <v>23</v>
      </c>
      <c r="H1589" t="s">
        <v>1617</v>
      </c>
      <c r="I1589" s="2">
        <v>307.17</v>
      </c>
      <c r="J1589" s="3">
        <v>4</v>
      </c>
      <c r="K1589" s="2">
        <v>30.72</v>
      </c>
    </row>
    <row r="1590" spans="1:11" x14ac:dyDescent="0.35">
      <c r="A1590" s="1">
        <v>42259</v>
      </c>
      <c r="B1590" s="3">
        <f t="shared" si="48"/>
        <v>2015</v>
      </c>
      <c r="C1590" s="3">
        <f t="shared" si="49"/>
        <v>9</v>
      </c>
      <c r="D1590" t="s">
        <v>905</v>
      </c>
      <c r="E1590" t="s">
        <v>22</v>
      </c>
      <c r="F1590" t="s">
        <v>13</v>
      </c>
      <c r="G1590" t="s">
        <v>143</v>
      </c>
      <c r="H1590" t="s">
        <v>1619</v>
      </c>
      <c r="I1590" s="2">
        <v>479.98</v>
      </c>
      <c r="J1590" s="3">
        <v>2</v>
      </c>
      <c r="K1590" s="2">
        <v>60</v>
      </c>
    </row>
    <row r="1591" spans="1:11" x14ac:dyDescent="0.35">
      <c r="A1591" s="1">
        <v>42259</v>
      </c>
      <c r="B1591" s="3">
        <f t="shared" si="48"/>
        <v>2015</v>
      </c>
      <c r="C1591" s="3">
        <f t="shared" si="49"/>
        <v>9</v>
      </c>
      <c r="D1591" t="s">
        <v>905</v>
      </c>
      <c r="E1591" t="s">
        <v>22</v>
      </c>
      <c r="F1591" t="s">
        <v>28</v>
      </c>
      <c r="G1591" t="s">
        <v>46</v>
      </c>
      <c r="H1591" t="s">
        <v>1620</v>
      </c>
      <c r="I1591" s="2">
        <v>12.6</v>
      </c>
      <c r="J1591" s="3">
        <v>4</v>
      </c>
      <c r="K1591" s="2">
        <v>6.05</v>
      </c>
    </row>
    <row r="1592" spans="1:11" x14ac:dyDescent="0.35">
      <c r="A1592" s="1">
        <v>42259</v>
      </c>
      <c r="B1592" s="3">
        <f t="shared" si="48"/>
        <v>2015</v>
      </c>
      <c r="C1592" s="3">
        <f t="shared" si="49"/>
        <v>9</v>
      </c>
      <c r="D1592" t="s">
        <v>694</v>
      </c>
      <c r="E1592" t="s">
        <v>22</v>
      </c>
      <c r="F1592" t="s">
        <v>28</v>
      </c>
      <c r="G1592" t="s">
        <v>64</v>
      </c>
      <c r="H1592" t="s">
        <v>443</v>
      </c>
      <c r="I1592" s="2">
        <v>9.26</v>
      </c>
      <c r="J1592" s="3">
        <v>2</v>
      </c>
      <c r="K1592" s="2">
        <v>3.06</v>
      </c>
    </row>
    <row r="1593" spans="1:11" x14ac:dyDescent="0.35">
      <c r="A1593" s="1">
        <v>42259</v>
      </c>
      <c r="B1593" s="3">
        <f t="shared" si="48"/>
        <v>2015</v>
      </c>
      <c r="C1593" s="3">
        <f t="shared" si="49"/>
        <v>9</v>
      </c>
      <c r="D1593" t="s">
        <v>694</v>
      </c>
      <c r="E1593" t="s">
        <v>22</v>
      </c>
      <c r="F1593" t="s">
        <v>28</v>
      </c>
      <c r="G1593" t="s">
        <v>38</v>
      </c>
      <c r="H1593" t="s">
        <v>1401</v>
      </c>
      <c r="I1593" s="2">
        <v>105.98</v>
      </c>
      <c r="J1593" s="3">
        <v>2</v>
      </c>
      <c r="K1593" s="2">
        <v>4.24</v>
      </c>
    </row>
    <row r="1594" spans="1:11" x14ac:dyDescent="0.35">
      <c r="A1594" s="1">
        <v>42259</v>
      </c>
      <c r="B1594" s="3">
        <f t="shared" si="48"/>
        <v>2015</v>
      </c>
      <c r="C1594" s="3">
        <f t="shared" si="49"/>
        <v>9</v>
      </c>
      <c r="D1594" t="s">
        <v>694</v>
      </c>
      <c r="E1594" t="s">
        <v>22</v>
      </c>
      <c r="F1594" t="s">
        <v>28</v>
      </c>
      <c r="G1594" t="s">
        <v>33</v>
      </c>
      <c r="H1594" t="s">
        <v>1513</v>
      </c>
      <c r="I1594" s="2">
        <v>1.24</v>
      </c>
      <c r="J1594" s="3">
        <v>1</v>
      </c>
      <c r="K1594" s="2">
        <v>0.57999999999999996</v>
      </c>
    </row>
    <row r="1595" spans="1:11" x14ac:dyDescent="0.35">
      <c r="A1595" s="1">
        <v>42259</v>
      </c>
      <c r="B1595" s="3">
        <f t="shared" si="48"/>
        <v>2015</v>
      </c>
      <c r="C1595" s="3">
        <f t="shared" si="49"/>
        <v>9</v>
      </c>
      <c r="D1595" t="s">
        <v>694</v>
      </c>
      <c r="E1595" t="s">
        <v>22</v>
      </c>
      <c r="F1595" t="s">
        <v>28</v>
      </c>
      <c r="G1595" t="s">
        <v>46</v>
      </c>
      <c r="H1595" t="s">
        <v>1523</v>
      </c>
      <c r="I1595" s="2">
        <v>20.7</v>
      </c>
      <c r="J1595" s="3">
        <v>2</v>
      </c>
      <c r="K1595" s="2">
        <v>9.94</v>
      </c>
    </row>
    <row r="1596" spans="1:11" x14ac:dyDescent="0.35">
      <c r="A1596" s="1">
        <v>42259</v>
      </c>
      <c r="B1596" s="3">
        <f t="shared" si="48"/>
        <v>2015</v>
      </c>
      <c r="C1596" s="3">
        <f t="shared" si="49"/>
        <v>9</v>
      </c>
      <c r="D1596" t="s">
        <v>694</v>
      </c>
      <c r="E1596" t="s">
        <v>22</v>
      </c>
      <c r="F1596" t="s">
        <v>28</v>
      </c>
      <c r="G1596" t="s">
        <v>29</v>
      </c>
      <c r="H1596" t="s">
        <v>1621</v>
      </c>
      <c r="I1596" s="2">
        <v>28.9</v>
      </c>
      <c r="J1596" s="3">
        <v>5</v>
      </c>
      <c r="K1596" s="2">
        <v>14.16</v>
      </c>
    </row>
    <row r="1597" spans="1:11" x14ac:dyDescent="0.35">
      <c r="A1597" s="1">
        <v>42259</v>
      </c>
      <c r="B1597" s="3">
        <f t="shared" si="48"/>
        <v>2015</v>
      </c>
      <c r="C1597" s="3">
        <f t="shared" si="49"/>
        <v>9</v>
      </c>
      <c r="D1597" t="s">
        <v>694</v>
      </c>
      <c r="E1597" t="s">
        <v>22</v>
      </c>
      <c r="F1597" t="s">
        <v>28</v>
      </c>
      <c r="G1597" t="s">
        <v>158</v>
      </c>
      <c r="H1597" t="s">
        <v>1622</v>
      </c>
      <c r="I1597" s="2">
        <v>27.18</v>
      </c>
      <c r="J1597" s="3">
        <v>1</v>
      </c>
      <c r="K1597" s="2">
        <v>12.77</v>
      </c>
    </row>
    <row r="1598" spans="1:11" x14ac:dyDescent="0.35">
      <c r="A1598" s="1">
        <v>42259</v>
      </c>
      <c r="B1598" s="3">
        <f t="shared" si="48"/>
        <v>2015</v>
      </c>
      <c r="C1598" s="3">
        <f t="shared" si="49"/>
        <v>9</v>
      </c>
      <c r="D1598" t="s">
        <v>1623</v>
      </c>
      <c r="E1598" t="s">
        <v>17</v>
      </c>
      <c r="F1598" t="s">
        <v>13</v>
      </c>
      <c r="G1598" t="s">
        <v>14</v>
      </c>
      <c r="H1598" t="s">
        <v>709</v>
      </c>
      <c r="I1598" s="2">
        <v>21.98</v>
      </c>
      <c r="J1598" s="3">
        <v>2</v>
      </c>
      <c r="K1598" s="2">
        <v>8.57</v>
      </c>
    </row>
    <row r="1599" spans="1:11" x14ac:dyDescent="0.35">
      <c r="A1599" s="1">
        <v>42289</v>
      </c>
      <c r="B1599" s="3">
        <f t="shared" si="48"/>
        <v>2015</v>
      </c>
      <c r="C1599" s="3">
        <f t="shared" si="49"/>
        <v>10</v>
      </c>
      <c r="D1599" t="s">
        <v>377</v>
      </c>
      <c r="E1599" t="s">
        <v>22</v>
      </c>
      <c r="F1599" t="s">
        <v>18</v>
      </c>
      <c r="G1599" t="s">
        <v>237</v>
      </c>
      <c r="H1599" t="s">
        <v>1624</v>
      </c>
      <c r="I1599" s="2">
        <v>899.14</v>
      </c>
      <c r="J1599" s="3">
        <v>4</v>
      </c>
      <c r="K1599" s="2">
        <v>112.39</v>
      </c>
    </row>
    <row r="1600" spans="1:11" x14ac:dyDescent="0.35">
      <c r="A1600" s="1">
        <v>42289</v>
      </c>
      <c r="B1600" s="3">
        <f t="shared" si="48"/>
        <v>2015</v>
      </c>
      <c r="C1600" s="3">
        <f t="shared" si="49"/>
        <v>10</v>
      </c>
      <c r="D1600" t="s">
        <v>377</v>
      </c>
      <c r="E1600" t="s">
        <v>22</v>
      </c>
      <c r="F1600" t="s">
        <v>13</v>
      </c>
      <c r="G1600" t="s">
        <v>23</v>
      </c>
      <c r="H1600" t="s">
        <v>225</v>
      </c>
      <c r="I1600" s="2">
        <v>71.760000000000005</v>
      </c>
      <c r="J1600" s="3">
        <v>6</v>
      </c>
      <c r="K1600" s="2">
        <v>20.09</v>
      </c>
    </row>
    <row r="1601" spans="1:11" x14ac:dyDescent="0.35">
      <c r="A1601" s="1">
        <v>42289</v>
      </c>
      <c r="B1601" s="3">
        <f t="shared" si="48"/>
        <v>2015</v>
      </c>
      <c r="C1601" s="3">
        <f t="shared" si="49"/>
        <v>10</v>
      </c>
      <c r="D1601" t="s">
        <v>377</v>
      </c>
      <c r="E1601" t="s">
        <v>22</v>
      </c>
      <c r="F1601" t="s">
        <v>28</v>
      </c>
      <c r="G1601" t="s">
        <v>29</v>
      </c>
      <c r="H1601" t="s">
        <v>60</v>
      </c>
      <c r="I1601" s="2">
        <v>51.84</v>
      </c>
      <c r="J1601" s="3">
        <v>8</v>
      </c>
      <c r="K1601" s="2">
        <v>24.88</v>
      </c>
    </row>
    <row r="1602" spans="1:11" x14ac:dyDescent="0.35">
      <c r="A1602" s="1">
        <v>42289</v>
      </c>
      <c r="B1602" s="3">
        <f t="shared" ref="B1602:B1665" si="50">YEAR(A1602)</f>
        <v>2015</v>
      </c>
      <c r="C1602" s="3">
        <f t="shared" ref="C1602:C1665" si="51">MONTH(A1602)</f>
        <v>10</v>
      </c>
      <c r="D1602" t="s">
        <v>377</v>
      </c>
      <c r="E1602" t="s">
        <v>22</v>
      </c>
      <c r="F1602" t="s">
        <v>18</v>
      </c>
      <c r="G1602" t="s">
        <v>237</v>
      </c>
      <c r="H1602" t="s">
        <v>962</v>
      </c>
      <c r="I1602" s="2">
        <v>626.35</v>
      </c>
      <c r="J1602" s="3">
        <v>3</v>
      </c>
      <c r="K1602" s="2">
        <v>46.98</v>
      </c>
    </row>
    <row r="1603" spans="1:11" x14ac:dyDescent="0.35">
      <c r="A1603" s="1">
        <v>42289</v>
      </c>
      <c r="B1603" s="3">
        <f t="shared" si="50"/>
        <v>2015</v>
      </c>
      <c r="C1603" s="3">
        <f t="shared" si="51"/>
        <v>10</v>
      </c>
      <c r="D1603" t="s">
        <v>377</v>
      </c>
      <c r="E1603" t="s">
        <v>22</v>
      </c>
      <c r="F1603" t="s">
        <v>28</v>
      </c>
      <c r="G1603" t="s">
        <v>64</v>
      </c>
      <c r="H1603" t="s">
        <v>1625</v>
      </c>
      <c r="I1603" s="2">
        <v>19.899999999999999</v>
      </c>
      <c r="J1603" s="3">
        <v>5</v>
      </c>
      <c r="K1603" s="2">
        <v>6.57</v>
      </c>
    </row>
    <row r="1604" spans="1:11" x14ac:dyDescent="0.35">
      <c r="A1604" s="1">
        <v>42289</v>
      </c>
      <c r="B1604" s="3">
        <f t="shared" si="50"/>
        <v>2015</v>
      </c>
      <c r="C1604" s="3">
        <f t="shared" si="51"/>
        <v>10</v>
      </c>
      <c r="D1604" t="s">
        <v>1626</v>
      </c>
      <c r="E1604" t="s">
        <v>22</v>
      </c>
      <c r="F1604" t="s">
        <v>18</v>
      </c>
      <c r="G1604" t="s">
        <v>42</v>
      </c>
      <c r="H1604" t="s">
        <v>484</v>
      </c>
      <c r="I1604" s="2">
        <v>209.67</v>
      </c>
      <c r="J1604" s="3">
        <v>1</v>
      </c>
      <c r="K1604" s="2">
        <v>-13.98</v>
      </c>
    </row>
    <row r="1605" spans="1:11" x14ac:dyDescent="0.35">
      <c r="A1605" s="1">
        <v>42289</v>
      </c>
      <c r="B1605" s="3">
        <f t="shared" si="50"/>
        <v>2015</v>
      </c>
      <c r="C1605" s="3">
        <f t="shared" si="51"/>
        <v>10</v>
      </c>
      <c r="D1605" t="s">
        <v>124</v>
      </c>
      <c r="E1605" t="s">
        <v>575</v>
      </c>
      <c r="F1605" t="s">
        <v>13</v>
      </c>
      <c r="G1605" t="s">
        <v>23</v>
      </c>
      <c r="H1605" t="s">
        <v>156</v>
      </c>
      <c r="I1605" s="2">
        <v>135.72</v>
      </c>
      <c r="J1605" s="3">
        <v>3</v>
      </c>
      <c r="K1605" s="2">
        <v>35.29</v>
      </c>
    </row>
    <row r="1606" spans="1:11" x14ac:dyDescent="0.35">
      <c r="A1606" s="1">
        <v>42289</v>
      </c>
      <c r="B1606" s="3">
        <f t="shared" si="50"/>
        <v>2015</v>
      </c>
      <c r="C1606" s="3">
        <f t="shared" si="51"/>
        <v>10</v>
      </c>
      <c r="D1606" t="s">
        <v>124</v>
      </c>
      <c r="E1606" t="s">
        <v>575</v>
      </c>
      <c r="F1606" t="s">
        <v>28</v>
      </c>
      <c r="G1606" t="s">
        <v>48</v>
      </c>
      <c r="H1606" t="s">
        <v>1565</v>
      </c>
      <c r="I1606" s="2">
        <v>12.56</v>
      </c>
      <c r="J1606" s="3">
        <v>2</v>
      </c>
      <c r="K1606" s="2">
        <v>5.65</v>
      </c>
    </row>
    <row r="1607" spans="1:11" x14ac:dyDescent="0.35">
      <c r="A1607" s="1">
        <v>42289</v>
      </c>
      <c r="B1607" s="3">
        <f t="shared" si="50"/>
        <v>2015</v>
      </c>
      <c r="C1607" s="3">
        <f t="shared" si="51"/>
        <v>10</v>
      </c>
      <c r="D1607" t="s">
        <v>124</v>
      </c>
      <c r="E1607" t="s">
        <v>575</v>
      </c>
      <c r="F1607" t="s">
        <v>13</v>
      </c>
      <c r="G1607" t="s">
        <v>23</v>
      </c>
      <c r="H1607" t="s">
        <v>234</v>
      </c>
      <c r="I1607" s="2">
        <v>263.95999999999998</v>
      </c>
      <c r="J1607" s="3">
        <v>4</v>
      </c>
      <c r="K1607" s="2">
        <v>71.27</v>
      </c>
    </row>
    <row r="1608" spans="1:11" x14ac:dyDescent="0.35">
      <c r="A1608" s="1">
        <v>42289</v>
      </c>
      <c r="B1608" s="3">
        <f t="shared" si="50"/>
        <v>2015</v>
      </c>
      <c r="C1608" s="3">
        <f t="shared" si="51"/>
        <v>10</v>
      </c>
      <c r="D1608" t="s">
        <v>888</v>
      </c>
      <c r="E1608" t="s">
        <v>17</v>
      </c>
      <c r="F1608" t="s">
        <v>13</v>
      </c>
      <c r="G1608" t="s">
        <v>14</v>
      </c>
      <c r="H1608" t="s">
        <v>218</v>
      </c>
      <c r="I1608" s="2">
        <v>17.899999999999999</v>
      </c>
      <c r="J1608" s="3">
        <v>2</v>
      </c>
      <c r="K1608" s="2">
        <v>3.4</v>
      </c>
    </row>
    <row r="1609" spans="1:11" x14ac:dyDescent="0.35">
      <c r="A1609" s="1">
        <v>42289</v>
      </c>
      <c r="B1609" s="3">
        <f t="shared" si="50"/>
        <v>2015</v>
      </c>
      <c r="C1609" s="3">
        <f t="shared" si="51"/>
        <v>10</v>
      </c>
      <c r="D1609" t="s">
        <v>888</v>
      </c>
      <c r="E1609" t="s">
        <v>17</v>
      </c>
      <c r="F1609" t="s">
        <v>28</v>
      </c>
      <c r="G1609" t="s">
        <v>38</v>
      </c>
      <c r="H1609" t="s">
        <v>603</v>
      </c>
      <c r="I1609" s="2">
        <v>81.96</v>
      </c>
      <c r="J1609" s="3">
        <v>2</v>
      </c>
      <c r="K1609" s="2">
        <v>0</v>
      </c>
    </row>
    <row r="1610" spans="1:11" x14ac:dyDescent="0.35">
      <c r="A1610" s="1">
        <v>42320</v>
      </c>
      <c r="B1610" s="3">
        <f t="shared" si="50"/>
        <v>2015</v>
      </c>
      <c r="C1610" s="3">
        <f t="shared" si="51"/>
        <v>11</v>
      </c>
      <c r="D1610" t="s">
        <v>1627</v>
      </c>
      <c r="E1610" t="s">
        <v>45</v>
      </c>
      <c r="F1610" t="s">
        <v>28</v>
      </c>
      <c r="G1610" t="s">
        <v>29</v>
      </c>
      <c r="H1610" t="s">
        <v>447</v>
      </c>
      <c r="I1610" s="2">
        <v>15.7</v>
      </c>
      <c r="J1610" s="3">
        <v>5</v>
      </c>
      <c r="K1610" s="2">
        <v>7.07</v>
      </c>
    </row>
    <row r="1611" spans="1:11" x14ac:dyDescent="0.35">
      <c r="A1611" s="1">
        <v>42320</v>
      </c>
      <c r="B1611" s="3">
        <f t="shared" si="50"/>
        <v>2015</v>
      </c>
      <c r="C1611" s="3">
        <f t="shared" si="51"/>
        <v>11</v>
      </c>
      <c r="D1611" t="s">
        <v>172</v>
      </c>
      <c r="E1611" t="s">
        <v>77</v>
      </c>
      <c r="F1611" t="s">
        <v>28</v>
      </c>
      <c r="G1611" t="s">
        <v>64</v>
      </c>
      <c r="H1611" t="s">
        <v>1157</v>
      </c>
      <c r="I1611" s="2">
        <v>11.76</v>
      </c>
      <c r="J1611" s="3">
        <v>5</v>
      </c>
      <c r="K1611" s="2">
        <v>1.32</v>
      </c>
    </row>
    <row r="1612" spans="1:11" x14ac:dyDescent="0.35">
      <c r="A1612" s="1">
        <v>42320</v>
      </c>
      <c r="B1612" s="3">
        <f t="shared" si="50"/>
        <v>2015</v>
      </c>
      <c r="C1612" s="3">
        <f t="shared" si="51"/>
        <v>11</v>
      </c>
      <c r="D1612" t="s">
        <v>172</v>
      </c>
      <c r="E1612" t="s">
        <v>77</v>
      </c>
      <c r="F1612" t="s">
        <v>28</v>
      </c>
      <c r="G1612" t="s">
        <v>48</v>
      </c>
      <c r="H1612" t="s">
        <v>775</v>
      </c>
      <c r="I1612" s="2">
        <v>5.24</v>
      </c>
      <c r="J1612" s="3">
        <v>2</v>
      </c>
      <c r="K1612" s="2">
        <v>-4.0199999999999996</v>
      </c>
    </row>
    <row r="1613" spans="1:11" x14ac:dyDescent="0.35">
      <c r="A1613" s="1">
        <v>42320</v>
      </c>
      <c r="B1613" s="3">
        <f t="shared" si="50"/>
        <v>2015</v>
      </c>
      <c r="C1613" s="3">
        <f t="shared" si="51"/>
        <v>11</v>
      </c>
      <c r="D1613" t="s">
        <v>172</v>
      </c>
      <c r="E1613" t="s">
        <v>77</v>
      </c>
      <c r="F1613" t="s">
        <v>28</v>
      </c>
      <c r="G1613" t="s">
        <v>48</v>
      </c>
      <c r="H1613" t="s">
        <v>1332</v>
      </c>
      <c r="I1613" s="2">
        <v>4.66</v>
      </c>
      <c r="J1613" s="3">
        <v>3</v>
      </c>
      <c r="K1613" s="2">
        <v>-3.73</v>
      </c>
    </row>
    <row r="1614" spans="1:11" x14ac:dyDescent="0.35">
      <c r="A1614" s="1">
        <v>42320</v>
      </c>
      <c r="B1614" s="3">
        <f t="shared" si="50"/>
        <v>2015</v>
      </c>
      <c r="C1614" s="3">
        <f t="shared" si="51"/>
        <v>11</v>
      </c>
      <c r="D1614" t="s">
        <v>172</v>
      </c>
      <c r="E1614" t="s">
        <v>77</v>
      </c>
      <c r="F1614" t="s">
        <v>18</v>
      </c>
      <c r="G1614" t="s">
        <v>19</v>
      </c>
      <c r="H1614" t="s">
        <v>402</v>
      </c>
      <c r="I1614" s="2">
        <v>523.91999999999996</v>
      </c>
      <c r="J1614" s="3">
        <v>5</v>
      </c>
      <c r="K1614" s="2">
        <v>-72.040000000000006</v>
      </c>
    </row>
    <row r="1615" spans="1:11" x14ac:dyDescent="0.35">
      <c r="A1615" s="1">
        <v>42320</v>
      </c>
      <c r="B1615" s="3">
        <f t="shared" si="50"/>
        <v>2015</v>
      </c>
      <c r="C1615" s="3">
        <f t="shared" si="51"/>
        <v>11</v>
      </c>
      <c r="D1615" t="s">
        <v>172</v>
      </c>
      <c r="E1615" t="s">
        <v>77</v>
      </c>
      <c r="F1615" t="s">
        <v>13</v>
      </c>
      <c r="G1615" t="s">
        <v>23</v>
      </c>
      <c r="H1615" t="s">
        <v>1422</v>
      </c>
      <c r="I1615" s="2">
        <v>100.79</v>
      </c>
      <c r="J1615" s="3">
        <v>1</v>
      </c>
      <c r="K1615" s="2">
        <v>10.08</v>
      </c>
    </row>
    <row r="1616" spans="1:11" x14ac:dyDescent="0.35">
      <c r="A1616" s="1">
        <v>42320</v>
      </c>
      <c r="B1616" s="3">
        <f t="shared" si="50"/>
        <v>2015</v>
      </c>
      <c r="C1616" s="3">
        <f t="shared" si="51"/>
        <v>11</v>
      </c>
      <c r="D1616" t="s">
        <v>172</v>
      </c>
      <c r="E1616" t="s">
        <v>77</v>
      </c>
      <c r="F1616" t="s">
        <v>18</v>
      </c>
      <c r="G1616" t="s">
        <v>19</v>
      </c>
      <c r="H1616" t="s">
        <v>596</v>
      </c>
      <c r="I1616" s="2">
        <v>146.13999999999999</v>
      </c>
      <c r="J1616" s="3">
        <v>3</v>
      </c>
      <c r="K1616" s="2">
        <v>16.440000000000001</v>
      </c>
    </row>
    <row r="1617" spans="1:11" x14ac:dyDescent="0.35">
      <c r="A1617" s="1">
        <v>42320</v>
      </c>
      <c r="B1617" s="3">
        <f t="shared" si="50"/>
        <v>2015</v>
      </c>
      <c r="C1617" s="3">
        <f t="shared" si="51"/>
        <v>11</v>
      </c>
      <c r="D1617" t="s">
        <v>1494</v>
      </c>
      <c r="E1617" t="s">
        <v>32</v>
      </c>
      <c r="F1617" t="s">
        <v>28</v>
      </c>
      <c r="G1617" t="s">
        <v>38</v>
      </c>
      <c r="H1617" t="s">
        <v>598</v>
      </c>
      <c r="I1617" s="2">
        <v>64.78</v>
      </c>
      <c r="J1617" s="3">
        <v>1</v>
      </c>
      <c r="K1617" s="2">
        <v>-14.58</v>
      </c>
    </row>
    <row r="1618" spans="1:11" x14ac:dyDescent="0.35">
      <c r="A1618" s="1">
        <v>42320</v>
      </c>
      <c r="B1618" s="3">
        <f t="shared" si="50"/>
        <v>2015</v>
      </c>
      <c r="C1618" s="3">
        <f t="shared" si="51"/>
        <v>11</v>
      </c>
      <c r="D1618" t="s">
        <v>1494</v>
      </c>
      <c r="E1618" t="s">
        <v>32</v>
      </c>
      <c r="F1618" t="s">
        <v>28</v>
      </c>
      <c r="G1618" t="s">
        <v>29</v>
      </c>
      <c r="H1618" t="s">
        <v>434</v>
      </c>
      <c r="I1618" s="2">
        <v>15.55</v>
      </c>
      <c r="J1618" s="3">
        <v>3</v>
      </c>
      <c r="K1618" s="2">
        <v>5.64</v>
      </c>
    </row>
    <row r="1619" spans="1:11" x14ac:dyDescent="0.35">
      <c r="A1619" s="1">
        <v>42320</v>
      </c>
      <c r="B1619" s="3">
        <f t="shared" si="50"/>
        <v>2015</v>
      </c>
      <c r="C1619" s="3">
        <f t="shared" si="51"/>
        <v>11</v>
      </c>
      <c r="D1619" t="s">
        <v>1494</v>
      </c>
      <c r="E1619" t="s">
        <v>32</v>
      </c>
      <c r="F1619" t="s">
        <v>28</v>
      </c>
      <c r="G1619" t="s">
        <v>158</v>
      </c>
      <c r="H1619" t="s">
        <v>1628</v>
      </c>
      <c r="I1619" s="2">
        <v>223.89</v>
      </c>
      <c r="J1619" s="3">
        <v>7</v>
      </c>
      <c r="K1619" s="2">
        <v>69.97</v>
      </c>
    </row>
    <row r="1620" spans="1:11" x14ac:dyDescent="0.35">
      <c r="A1620" s="1">
        <v>42320</v>
      </c>
      <c r="B1620" s="3">
        <f t="shared" si="50"/>
        <v>2015</v>
      </c>
      <c r="C1620" s="3">
        <f t="shared" si="51"/>
        <v>11</v>
      </c>
      <c r="D1620" t="s">
        <v>1629</v>
      </c>
      <c r="E1620" t="s">
        <v>22</v>
      </c>
      <c r="F1620" t="s">
        <v>28</v>
      </c>
      <c r="G1620" t="s">
        <v>158</v>
      </c>
      <c r="H1620" t="s">
        <v>159</v>
      </c>
      <c r="I1620" s="2">
        <v>15.56</v>
      </c>
      <c r="J1620" s="3">
        <v>2</v>
      </c>
      <c r="K1620" s="2">
        <v>7.31</v>
      </c>
    </row>
    <row r="1621" spans="1:11" x14ac:dyDescent="0.35">
      <c r="A1621" s="1">
        <v>42350</v>
      </c>
      <c r="B1621" s="3">
        <f t="shared" si="50"/>
        <v>2015</v>
      </c>
      <c r="C1621" s="3">
        <f t="shared" si="51"/>
        <v>12</v>
      </c>
      <c r="D1621" t="s">
        <v>66</v>
      </c>
      <c r="E1621" t="s">
        <v>45</v>
      </c>
      <c r="F1621" t="s">
        <v>18</v>
      </c>
      <c r="G1621" t="s">
        <v>19</v>
      </c>
      <c r="H1621" t="s">
        <v>618</v>
      </c>
      <c r="I1621" s="2">
        <v>348.93</v>
      </c>
      <c r="J1621" s="3">
        <v>2</v>
      </c>
      <c r="K1621" s="2">
        <v>34.89</v>
      </c>
    </row>
    <row r="1622" spans="1:11" x14ac:dyDescent="0.35">
      <c r="A1622" s="1">
        <v>42350</v>
      </c>
      <c r="B1622" s="3">
        <f t="shared" si="50"/>
        <v>2015</v>
      </c>
      <c r="C1622" s="3">
        <f t="shared" si="51"/>
        <v>12</v>
      </c>
      <c r="D1622" t="s">
        <v>630</v>
      </c>
      <c r="E1622" t="s">
        <v>45</v>
      </c>
      <c r="F1622" t="s">
        <v>28</v>
      </c>
      <c r="G1622" t="s">
        <v>33</v>
      </c>
      <c r="H1622" t="s">
        <v>111</v>
      </c>
      <c r="I1622" s="2">
        <v>7.86</v>
      </c>
      <c r="J1622" s="3">
        <v>2</v>
      </c>
      <c r="K1622" s="2">
        <v>3.62</v>
      </c>
    </row>
    <row r="1623" spans="1:11" x14ac:dyDescent="0.35">
      <c r="A1623" s="1">
        <v>42350</v>
      </c>
      <c r="B1623" s="3">
        <f t="shared" si="50"/>
        <v>2015</v>
      </c>
      <c r="C1623" s="3">
        <f t="shared" si="51"/>
        <v>12</v>
      </c>
      <c r="D1623" t="s">
        <v>630</v>
      </c>
      <c r="E1623" t="s">
        <v>45</v>
      </c>
      <c r="F1623" t="s">
        <v>28</v>
      </c>
      <c r="G1623" t="s">
        <v>48</v>
      </c>
      <c r="H1623" t="s">
        <v>1630</v>
      </c>
      <c r="I1623" s="2">
        <v>24.45</v>
      </c>
      <c r="J1623" s="3">
        <v>2</v>
      </c>
      <c r="K1623" s="2">
        <v>8.86</v>
      </c>
    </row>
    <row r="1624" spans="1:11" x14ac:dyDescent="0.35">
      <c r="A1624" s="1">
        <v>42350</v>
      </c>
      <c r="B1624" s="3">
        <f t="shared" si="50"/>
        <v>2015</v>
      </c>
      <c r="C1624" s="3">
        <f t="shared" si="51"/>
        <v>12</v>
      </c>
      <c r="D1624" t="s">
        <v>1066</v>
      </c>
      <c r="E1624" t="s">
        <v>249</v>
      </c>
      <c r="F1624" t="s">
        <v>28</v>
      </c>
      <c r="G1624" t="s">
        <v>64</v>
      </c>
      <c r="H1624" t="s">
        <v>526</v>
      </c>
      <c r="I1624" s="2">
        <v>8.2200000000000006</v>
      </c>
      <c r="J1624" s="3">
        <v>3</v>
      </c>
      <c r="K1624" s="2">
        <v>2.2200000000000002</v>
      </c>
    </row>
    <row r="1625" spans="1:11" x14ac:dyDescent="0.35">
      <c r="A1625" s="1">
        <v>42350</v>
      </c>
      <c r="B1625" s="3">
        <f t="shared" si="50"/>
        <v>2015</v>
      </c>
      <c r="C1625" s="3">
        <f t="shared" si="51"/>
        <v>12</v>
      </c>
      <c r="D1625" t="s">
        <v>519</v>
      </c>
      <c r="E1625" t="s">
        <v>32</v>
      </c>
      <c r="F1625" t="s">
        <v>13</v>
      </c>
      <c r="G1625" t="s">
        <v>14</v>
      </c>
      <c r="H1625" t="s">
        <v>1511</v>
      </c>
      <c r="I1625" s="2">
        <v>22.37</v>
      </c>
      <c r="J1625" s="3">
        <v>4</v>
      </c>
      <c r="K1625" s="2">
        <v>6.43</v>
      </c>
    </row>
    <row r="1626" spans="1:11" x14ac:dyDescent="0.35">
      <c r="A1626" s="1">
        <v>42350</v>
      </c>
      <c r="B1626" s="3">
        <f t="shared" si="50"/>
        <v>2015</v>
      </c>
      <c r="C1626" s="3">
        <f t="shared" si="51"/>
        <v>12</v>
      </c>
      <c r="D1626" t="s">
        <v>571</v>
      </c>
      <c r="E1626" t="s">
        <v>45</v>
      </c>
      <c r="F1626" t="s">
        <v>28</v>
      </c>
      <c r="G1626" t="s">
        <v>64</v>
      </c>
      <c r="H1626" t="s">
        <v>1631</v>
      </c>
      <c r="I1626" s="2">
        <v>2.21</v>
      </c>
      <c r="J1626" s="3">
        <v>1</v>
      </c>
      <c r="K1626" s="2">
        <v>0.6</v>
      </c>
    </row>
    <row r="1627" spans="1:11" x14ac:dyDescent="0.35">
      <c r="A1627" s="1">
        <v>42350</v>
      </c>
      <c r="B1627" s="3">
        <f t="shared" si="50"/>
        <v>2015</v>
      </c>
      <c r="C1627" s="3">
        <f t="shared" si="51"/>
        <v>12</v>
      </c>
      <c r="D1627" t="s">
        <v>571</v>
      </c>
      <c r="E1627" t="s">
        <v>45</v>
      </c>
      <c r="F1627" t="s">
        <v>28</v>
      </c>
      <c r="G1627" t="s">
        <v>158</v>
      </c>
      <c r="H1627" t="s">
        <v>843</v>
      </c>
      <c r="I1627" s="2">
        <v>15.52</v>
      </c>
      <c r="J1627" s="3">
        <v>4</v>
      </c>
      <c r="K1627" s="2">
        <v>7.45</v>
      </c>
    </row>
    <row r="1628" spans="1:11" x14ac:dyDescent="0.35">
      <c r="A1628" s="1">
        <v>42350</v>
      </c>
      <c r="B1628" s="3">
        <f t="shared" si="50"/>
        <v>2015</v>
      </c>
      <c r="C1628" s="3">
        <f t="shared" si="51"/>
        <v>12</v>
      </c>
      <c r="D1628" t="s">
        <v>571</v>
      </c>
      <c r="E1628" t="s">
        <v>45</v>
      </c>
      <c r="F1628" t="s">
        <v>28</v>
      </c>
      <c r="G1628" t="s">
        <v>29</v>
      </c>
      <c r="H1628" t="s">
        <v>1632</v>
      </c>
      <c r="I1628" s="2">
        <v>36.44</v>
      </c>
      <c r="J1628" s="3">
        <v>4</v>
      </c>
      <c r="K1628" s="2">
        <v>16.399999999999999</v>
      </c>
    </row>
    <row r="1629" spans="1:11" x14ac:dyDescent="0.35">
      <c r="A1629" s="1">
        <v>42350</v>
      </c>
      <c r="B1629" s="3">
        <f t="shared" si="50"/>
        <v>2015</v>
      </c>
      <c r="C1629" s="3">
        <f t="shared" si="51"/>
        <v>12</v>
      </c>
      <c r="D1629" t="s">
        <v>1442</v>
      </c>
      <c r="E1629" t="s">
        <v>45</v>
      </c>
      <c r="F1629" t="s">
        <v>18</v>
      </c>
      <c r="G1629" t="s">
        <v>36</v>
      </c>
      <c r="H1629" t="s">
        <v>1633</v>
      </c>
      <c r="I1629" s="2">
        <v>166.5</v>
      </c>
      <c r="J1629" s="3">
        <v>3</v>
      </c>
      <c r="K1629" s="2">
        <v>21.65</v>
      </c>
    </row>
    <row r="1630" spans="1:11" x14ac:dyDescent="0.35">
      <c r="A1630" s="1">
        <v>42350</v>
      </c>
      <c r="B1630" s="3">
        <f t="shared" si="50"/>
        <v>2015</v>
      </c>
      <c r="C1630" s="3">
        <f t="shared" si="51"/>
        <v>12</v>
      </c>
      <c r="D1630" t="s">
        <v>1442</v>
      </c>
      <c r="E1630" t="s">
        <v>45</v>
      </c>
      <c r="F1630" t="s">
        <v>28</v>
      </c>
      <c r="G1630" t="s">
        <v>38</v>
      </c>
      <c r="H1630" t="s">
        <v>587</v>
      </c>
      <c r="I1630" s="2">
        <v>360.38</v>
      </c>
      <c r="J1630" s="3">
        <v>2</v>
      </c>
      <c r="K1630" s="2">
        <v>93.7</v>
      </c>
    </row>
    <row r="1631" spans="1:11" x14ac:dyDescent="0.35">
      <c r="A1631" s="1">
        <v>42350</v>
      </c>
      <c r="B1631" s="3">
        <f t="shared" si="50"/>
        <v>2015</v>
      </c>
      <c r="C1631" s="3">
        <f t="shared" si="51"/>
        <v>12</v>
      </c>
      <c r="D1631" t="s">
        <v>1634</v>
      </c>
      <c r="E1631" t="s">
        <v>100</v>
      </c>
      <c r="F1631" t="s">
        <v>28</v>
      </c>
      <c r="G1631" t="s">
        <v>29</v>
      </c>
      <c r="H1631" t="s">
        <v>1635</v>
      </c>
      <c r="I1631" s="2">
        <v>32.4</v>
      </c>
      <c r="J1631" s="3">
        <v>5</v>
      </c>
      <c r="K1631" s="2">
        <v>15.88</v>
      </c>
    </row>
    <row r="1632" spans="1:11" x14ac:dyDescent="0.35">
      <c r="A1632" s="1">
        <v>42350</v>
      </c>
      <c r="B1632" s="3">
        <f t="shared" si="50"/>
        <v>2015</v>
      </c>
      <c r="C1632" s="3">
        <f t="shared" si="51"/>
        <v>12</v>
      </c>
      <c r="D1632" t="s">
        <v>1634</v>
      </c>
      <c r="E1632" t="s">
        <v>100</v>
      </c>
      <c r="F1632" t="s">
        <v>28</v>
      </c>
      <c r="G1632" t="s">
        <v>29</v>
      </c>
      <c r="H1632" t="s">
        <v>85</v>
      </c>
      <c r="I1632" s="2">
        <v>97.88</v>
      </c>
      <c r="J1632" s="3">
        <v>2</v>
      </c>
      <c r="K1632" s="2">
        <v>48.94</v>
      </c>
    </row>
    <row r="1633" spans="1:11" x14ac:dyDescent="0.35">
      <c r="A1633" s="1">
        <v>42350</v>
      </c>
      <c r="B1633" s="3">
        <f t="shared" si="50"/>
        <v>2015</v>
      </c>
      <c r="C1633" s="3">
        <f t="shared" si="51"/>
        <v>12</v>
      </c>
      <c r="D1633" t="s">
        <v>951</v>
      </c>
      <c r="E1633" t="s">
        <v>45</v>
      </c>
      <c r="F1633" t="s">
        <v>13</v>
      </c>
      <c r="G1633" t="s">
        <v>14</v>
      </c>
      <c r="H1633" t="s">
        <v>364</v>
      </c>
      <c r="I1633" s="2">
        <v>299.94</v>
      </c>
      <c r="J1633" s="3">
        <v>6</v>
      </c>
      <c r="K1633" s="2">
        <v>128.97</v>
      </c>
    </row>
    <row r="1634" spans="1:11" x14ac:dyDescent="0.35">
      <c r="A1634" s="1">
        <v>42350</v>
      </c>
      <c r="B1634" s="3">
        <f t="shared" si="50"/>
        <v>2015</v>
      </c>
      <c r="C1634" s="3">
        <f t="shared" si="51"/>
        <v>12</v>
      </c>
      <c r="D1634" t="s">
        <v>951</v>
      </c>
      <c r="E1634" t="s">
        <v>45</v>
      </c>
      <c r="F1634" t="s">
        <v>28</v>
      </c>
      <c r="G1634" t="s">
        <v>215</v>
      </c>
      <c r="H1634" t="s">
        <v>765</v>
      </c>
      <c r="I1634" s="2">
        <v>25.76</v>
      </c>
      <c r="J1634" s="3">
        <v>7</v>
      </c>
      <c r="K1634" s="2">
        <v>0.52</v>
      </c>
    </row>
    <row r="1635" spans="1:11" x14ac:dyDescent="0.35">
      <c r="A1635" s="1">
        <v>42401</v>
      </c>
      <c r="B1635" s="3">
        <f t="shared" si="50"/>
        <v>2016</v>
      </c>
      <c r="C1635" s="3">
        <f t="shared" si="51"/>
        <v>2</v>
      </c>
      <c r="D1635" t="s">
        <v>592</v>
      </c>
      <c r="E1635" t="s">
        <v>173</v>
      </c>
      <c r="F1635" t="s">
        <v>28</v>
      </c>
      <c r="G1635" t="s">
        <v>38</v>
      </c>
      <c r="H1635" t="s">
        <v>656</v>
      </c>
      <c r="I1635" s="2">
        <v>56.45</v>
      </c>
      <c r="J1635" s="3">
        <v>5</v>
      </c>
      <c r="K1635" s="2">
        <v>14.68</v>
      </c>
    </row>
    <row r="1636" spans="1:11" x14ac:dyDescent="0.35">
      <c r="A1636" s="1">
        <v>42401</v>
      </c>
      <c r="B1636" s="3">
        <f t="shared" si="50"/>
        <v>2016</v>
      </c>
      <c r="C1636" s="3">
        <f t="shared" si="51"/>
        <v>2</v>
      </c>
      <c r="D1636" t="s">
        <v>115</v>
      </c>
      <c r="E1636" t="s">
        <v>45</v>
      </c>
      <c r="F1636" t="s">
        <v>28</v>
      </c>
      <c r="G1636" t="s">
        <v>29</v>
      </c>
      <c r="H1636" t="s">
        <v>1547</v>
      </c>
      <c r="I1636" s="2">
        <v>105.52</v>
      </c>
      <c r="J1636" s="3">
        <v>4</v>
      </c>
      <c r="K1636" s="2">
        <v>48.54</v>
      </c>
    </row>
    <row r="1637" spans="1:11" x14ac:dyDescent="0.35">
      <c r="A1637" s="1">
        <v>42430</v>
      </c>
      <c r="B1637" s="3">
        <f t="shared" si="50"/>
        <v>2016</v>
      </c>
      <c r="C1637" s="3">
        <f t="shared" si="51"/>
        <v>3</v>
      </c>
      <c r="D1637" t="s">
        <v>951</v>
      </c>
      <c r="E1637" t="s">
        <v>22</v>
      </c>
      <c r="F1637" t="s">
        <v>18</v>
      </c>
      <c r="G1637" t="s">
        <v>42</v>
      </c>
      <c r="H1637" t="s">
        <v>1364</v>
      </c>
      <c r="I1637" s="2">
        <v>836.59</v>
      </c>
      <c r="J1637" s="3">
        <v>8</v>
      </c>
      <c r="K1637" s="2">
        <v>-264.92</v>
      </c>
    </row>
    <row r="1638" spans="1:11" x14ac:dyDescent="0.35">
      <c r="A1638" s="1">
        <v>42430</v>
      </c>
      <c r="B1638" s="3">
        <f t="shared" si="50"/>
        <v>2016</v>
      </c>
      <c r="C1638" s="3">
        <f t="shared" si="51"/>
        <v>3</v>
      </c>
      <c r="D1638" t="s">
        <v>951</v>
      </c>
      <c r="E1638" t="s">
        <v>22</v>
      </c>
      <c r="F1638" t="s">
        <v>28</v>
      </c>
      <c r="G1638" t="s">
        <v>29</v>
      </c>
      <c r="H1638" t="s">
        <v>123</v>
      </c>
      <c r="I1638" s="2">
        <v>26.38</v>
      </c>
      <c r="J1638" s="3">
        <v>1</v>
      </c>
      <c r="K1638" s="2">
        <v>12.13</v>
      </c>
    </row>
    <row r="1639" spans="1:11" x14ac:dyDescent="0.35">
      <c r="A1639" s="1">
        <v>42430</v>
      </c>
      <c r="B1639" s="3">
        <f t="shared" si="50"/>
        <v>2016</v>
      </c>
      <c r="C1639" s="3">
        <f t="shared" si="51"/>
        <v>3</v>
      </c>
      <c r="D1639" t="s">
        <v>951</v>
      </c>
      <c r="E1639" t="s">
        <v>22</v>
      </c>
      <c r="F1639" t="s">
        <v>28</v>
      </c>
      <c r="G1639" t="s">
        <v>38</v>
      </c>
      <c r="H1639" t="s">
        <v>231</v>
      </c>
      <c r="I1639" s="2">
        <v>362.92</v>
      </c>
      <c r="J1639" s="3">
        <v>2</v>
      </c>
      <c r="K1639" s="2">
        <v>105.25</v>
      </c>
    </row>
    <row r="1640" spans="1:11" x14ac:dyDescent="0.35">
      <c r="A1640" s="1">
        <v>42430</v>
      </c>
      <c r="B1640" s="3">
        <f t="shared" si="50"/>
        <v>2016</v>
      </c>
      <c r="C1640" s="3">
        <f t="shared" si="51"/>
        <v>3</v>
      </c>
      <c r="D1640" t="s">
        <v>951</v>
      </c>
      <c r="E1640" t="s">
        <v>22</v>
      </c>
      <c r="F1640" t="s">
        <v>13</v>
      </c>
      <c r="G1640" t="s">
        <v>204</v>
      </c>
      <c r="H1640" t="s">
        <v>1636</v>
      </c>
      <c r="I1640" s="2">
        <v>4899.93</v>
      </c>
      <c r="J1640" s="3">
        <v>7</v>
      </c>
      <c r="K1640" s="2">
        <v>2400.9699999999998</v>
      </c>
    </row>
    <row r="1641" spans="1:11" x14ac:dyDescent="0.35">
      <c r="A1641" s="1">
        <v>42430</v>
      </c>
      <c r="B1641" s="3">
        <f t="shared" si="50"/>
        <v>2016</v>
      </c>
      <c r="C1641" s="3">
        <f t="shared" si="51"/>
        <v>3</v>
      </c>
      <c r="D1641" t="s">
        <v>248</v>
      </c>
      <c r="E1641" t="s">
        <v>103</v>
      </c>
      <c r="F1641" t="s">
        <v>13</v>
      </c>
      <c r="G1641" t="s">
        <v>23</v>
      </c>
      <c r="H1641" t="s">
        <v>1637</v>
      </c>
      <c r="I1641" s="2">
        <v>159.97999999999999</v>
      </c>
      <c r="J1641" s="3">
        <v>2</v>
      </c>
      <c r="K1641" s="2">
        <v>14</v>
      </c>
    </row>
    <row r="1642" spans="1:11" x14ac:dyDescent="0.35">
      <c r="A1642" s="1">
        <v>42461</v>
      </c>
      <c r="B1642" s="3">
        <f t="shared" si="50"/>
        <v>2016</v>
      </c>
      <c r="C1642" s="3">
        <f t="shared" si="51"/>
        <v>4</v>
      </c>
      <c r="D1642" t="s">
        <v>1638</v>
      </c>
      <c r="E1642" t="s">
        <v>22</v>
      </c>
      <c r="F1642" t="s">
        <v>28</v>
      </c>
      <c r="G1642" t="s">
        <v>64</v>
      </c>
      <c r="H1642" t="s">
        <v>425</v>
      </c>
      <c r="I1642" s="2">
        <v>59.52</v>
      </c>
      <c r="J1642" s="3">
        <v>3</v>
      </c>
      <c r="K1642" s="2">
        <v>15.48</v>
      </c>
    </row>
    <row r="1643" spans="1:11" x14ac:dyDescent="0.35">
      <c r="A1643" s="1">
        <v>42461</v>
      </c>
      <c r="B1643" s="3">
        <f t="shared" si="50"/>
        <v>2016</v>
      </c>
      <c r="C1643" s="3">
        <f t="shared" si="51"/>
        <v>4</v>
      </c>
      <c r="D1643" t="s">
        <v>1638</v>
      </c>
      <c r="E1643" t="s">
        <v>22</v>
      </c>
      <c r="F1643" t="s">
        <v>28</v>
      </c>
      <c r="G1643" t="s">
        <v>38</v>
      </c>
      <c r="H1643" t="s">
        <v>39</v>
      </c>
      <c r="I1643" s="2">
        <v>161.94</v>
      </c>
      <c r="J1643" s="3">
        <v>3</v>
      </c>
      <c r="K1643" s="2">
        <v>9.7200000000000006</v>
      </c>
    </row>
    <row r="1644" spans="1:11" x14ac:dyDescent="0.35">
      <c r="A1644" s="1">
        <v>42461</v>
      </c>
      <c r="B1644" s="3">
        <f t="shared" si="50"/>
        <v>2016</v>
      </c>
      <c r="C1644" s="3">
        <f t="shared" si="51"/>
        <v>4</v>
      </c>
      <c r="D1644" t="s">
        <v>1638</v>
      </c>
      <c r="E1644" t="s">
        <v>22</v>
      </c>
      <c r="F1644" t="s">
        <v>28</v>
      </c>
      <c r="G1644" t="s">
        <v>64</v>
      </c>
      <c r="H1644" t="s">
        <v>763</v>
      </c>
      <c r="I1644" s="2">
        <v>263.88</v>
      </c>
      <c r="J1644" s="3">
        <v>6</v>
      </c>
      <c r="K1644" s="2">
        <v>71.25</v>
      </c>
    </row>
    <row r="1645" spans="1:11" x14ac:dyDescent="0.35">
      <c r="A1645" s="1">
        <v>42461</v>
      </c>
      <c r="B1645" s="3">
        <f t="shared" si="50"/>
        <v>2016</v>
      </c>
      <c r="C1645" s="3">
        <f t="shared" si="51"/>
        <v>4</v>
      </c>
      <c r="D1645" t="s">
        <v>1638</v>
      </c>
      <c r="E1645" t="s">
        <v>22</v>
      </c>
      <c r="F1645" t="s">
        <v>28</v>
      </c>
      <c r="G1645" t="s">
        <v>64</v>
      </c>
      <c r="H1645" t="s">
        <v>958</v>
      </c>
      <c r="I1645" s="2">
        <v>30.48</v>
      </c>
      <c r="J1645" s="3">
        <v>3</v>
      </c>
      <c r="K1645" s="2">
        <v>7.92</v>
      </c>
    </row>
    <row r="1646" spans="1:11" x14ac:dyDescent="0.35">
      <c r="A1646" s="1">
        <v>42461</v>
      </c>
      <c r="B1646" s="3">
        <f t="shared" si="50"/>
        <v>2016</v>
      </c>
      <c r="C1646" s="3">
        <f t="shared" si="51"/>
        <v>4</v>
      </c>
      <c r="D1646" t="s">
        <v>1638</v>
      </c>
      <c r="E1646" t="s">
        <v>22</v>
      </c>
      <c r="F1646" t="s">
        <v>28</v>
      </c>
      <c r="G1646" t="s">
        <v>64</v>
      </c>
      <c r="H1646" t="s">
        <v>1639</v>
      </c>
      <c r="I1646" s="2">
        <v>9.84</v>
      </c>
      <c r="J1646" s="3">
        <v>3</v>
      </c>
      <c r="K1646" s="2">
        <v>2.85</v>
      </c>
    </row>
    <row r="1647" spans="1:11" x14ac:dyDescent="0.35">
      <c r="A1647" s="1">
        <v>42461</v>
      </c>
      <c r="B1647" s="3">
        <f t="shared" si="50"/>
        <v>2016</v>
      </c>
      <c r="C1647" s="3">
        <f t="shared" si="51"/>
        <v>4</v>
      </c>
      <c r="D1647" t="s">
        <v>1638</v>
      </c>
      <c r="E1647" t="s">
        <v>22</v>
      </c>
      <c r="F1647" t="s">
        <v>13</v>
      </c>
      <c r="G1647" t="s">
        <v>23</v>
      </c>
      <c r="H1647" t="s">
        <v>1640</v>
      </c>
      <c r="I1647" s="2">
        <v>35.119999999999997</v>
      </c>
      <c r="J1647" s="3">
        <v>4</v>
      </c>
      <c r="K1647" s="2">
        <v>9.1300000000000008</v>
      </c>
    </row>
    <row r="1648" spans="1:11" x14ac:dyDescent="0.35">
      <c r="A1648" s="1">
        <v>42461</v>
      </c>
      <c r="B1648" s="3">
        <f t="shared" si="50"/>
        <v>2016</v>
      </c>
      <c r="C1648" s="3">
        <f t="shared" si="51"/>
        <v>4</v>
      </c>
      <c r="D1648" t="s">
        <v>1150</v>
      </c>
      <c r="E1648" t="s">
        <v>211</v>
      </c>
      <c r="F1648" t="s">
        <v>28</v>
      </c>
      <c r="G1648" t="s">
        <v>33</v>
      </c>
      <c r="H1648" t="s">
        <v>111</v>
      </c>
      <c r="I1648" s="2">
        <v>31.56</v>
      </c>
      <c r="J1648" s="3">
        <v>5</v>
      </c>
      <c r="K1648" s="2">
        <v>9.86</v>
      </c>
    </row>
    <row r="1649" spans="1:11" x14ac:dyDescent="0.35">
      <c r="A1649" s="1">
        <v>42461</v>
      </c>
      <c r="B1649" s="3">
        <f t="shared" si="50"/>
        <v>2016</v>
      </c>
      <c r="C1649" s="3">
        <f t="shared" si="51"/>
        <v>4</v>
      </c>
      <c r="D1649" t="s">
        <v>1150</v>
      </c>
      <c r="E1649" t="s">
        <v>211</v>
      </c>
      <c r="F1649" t="s">
        <v>28</v>
      </c>
      <c r="G1649" t="s">
        <v>58</v>
      </c>
      <c r="H1649" t="s">
        <v>1641</v>
      </c>
      <c r="I1649" s="2">
        <v>30.14</v>
      </c>
      <c r="J1649" s="3">
        <v>2</v>
      </c>
      <c r="K1649" s="2">
        <v>3.01</v>
      </c>
    </row>
    <row r="1650" spans="1:11" x14ac:dyDescent="0.35">
      <c r="A1650" s="1">
        <v>42461</v>
      </c>
      <c r="B1650" s="3">
        <f t="shared" si="50"/>
        <v>2016</v>
      </c>
      <c r="C1650" s="3">
        <f t="shared" si="51"/>
        <v>4</v>
      </c>
      <c r="D1650" t="s">
        <v>1642</v>
      </c>
      <c r="E1650" t="s">
        <v>22</v>
      </c>
      <c r="F1650" t="s">
        <v>28</v>
      </c>
      <c r="G1650" t="s">
        <v>64</v>
      </c>
      <c r="H1650" t="s">
        <v>1643</v>
      </c>
      <c r="I1650" s="2">
        <v>88.04</v>
      </c>
      <c r="J1650" s="3">
        <v>4</v>
      </c>
      <c r="K1650" s="2">
        <v>22.89</v>
      </c>
    </row>
    <row r="1651" spans="1:11" x14ac:dyDescent="0.35">
      <c r="A1651" s="1">
        <v>42461</v>
      </c>
      <c r="B1651" s="3">
        <f t="shared" si="50"/>
        <v>2016</v>
      </c>
      <c r="C1651" s="3">
        <f t="shared" si="51"/>
        <v>4</v>
      </c>
      <c r="D1651" t="s">
        <v>734</v>
      </c>
      <c r="E1651" t="s">
        <v>22</v>
      </c>
      <c r="F1651" t="s">
        <v>28</v>
      </c>
      <c r="G1651" t="s">
        <v>46</v>
      </c>
      <c r="H1651" t="s">
        <v>1644</v>
      </c>
      <c r="I1651" s="2">
        <v>20.7</v>
      </c>
      <c r="J1651" s="3">
        <v>2</v>
      </c>
      <c r="K1651" s="2">
        <v>9.94</v>
      </c>
    </row>
    <row r="1652" spans="1:11" x14ac:dyDescent="0.35">
      <c r="A1652" s="1">
        <v>42461</v>
      </c>
      <c r="B1652" s="3">
        <f t="shared" si="50"/>
        <v>2016</v>
      </c>
      <c r="C1652" s="3">
        <f t="shared" si="51"/>
        <v>4</v>
      </c>
      <c r="D1652" t="s">
        <v>734</v>
      </c>
      <c r="E1652" t="s">
        <v>22</v>
      </c>
      <c r="F1652" t="s">
        <v>28</v>
      </c>
      <c r="G1652" t="s">
        <v>215</v>
      </c>
      <c r="H1652" t="s">
        <v>968</v>
      </c>
      <c r="I1652" s="2">
        <v>10.95</v>
      </c>
      <c r="J1652" s="3">
        <v>3</v>
      </c>
      <c r="K1652" s="2">
        <v>3.29</v>
      </c>
    </row>
    <row r="1653" spans="1:11" x14ac:dyDescent="0.35">
      <c r="A1653" s="1">
        <v>42461</v>
      </c>
      <c r="B1653" s="3">
        <f t="shared" si="50"/>
        <v>2016</v>
      </c>
      <c r="C1653" s="3">
        <f t="shared" si="51"/>
        <v>4</v>
      </c>
      <c r="D1653" t="s">
        <v>734</v>
      </c>
      <c r="E1653" t="s">
        <v>22</v>
      </c>
      <c r="F1653" t="s">
        <v>28</v>
      </c>
      <c r="G1653" t="s">
        <v>48</v>
      </c>
      <c r="H1653" t="s">
        <v>1397</v>
      </c>
      <c r="I1653" s="2">
        <v>14.35</v>
      </c>
      <c r="J1653" s="3">
        <v>3</v>
      </c>
      <c r="K1653" s="2">
        <v>4.66</v>
      </c>
    </row>
    <row r="1654" spans="1:11" x14ac:dyDescent="0.35">
      <c r="A1654" s="1">
        <v>42461</v>
      </c>
      <c r="B1654" s="3">
        <f t="shared" si="50"/>
        <v>2016</v>
      </c>
      <c r="C1654" s="3">
        <f t="shared" si="51"/>
        <v>4</v>
      </c>
      <c r="D1654" t="s">
        <v>662</v>
      </c>
      <c r="E1654" t="s">
        <v>22</v>
      </c>
      <c r="F1654" t="s">
        <v>18</v>
      </c>
      <c r="G1654" t="s">
        <v>19</v>
      </c>
      <c r="H1654" t="s">
        <v>718</v>
      </c>
      <c r="I1654" s="2">
        <v>1317.49</v>
      </c>
      <c r="J1654" s="3">
        <v>6</v>
      </c>
      <c r="K1654" s="2">
        <v>292.77999999999997</v>
      </c>
    </row>
    <row r="1655" spans="1:11" x14ac:dyDescent="0.35">
      <c r="A1655" s="1">
        <v>42461</v>
      </c>
      <c r="B1655" s="3">
        <f t="shared" si="50"/>
        <v>2016</v>
      </c>
      <c r="C1655" s="3">
        <f t="shared" si="51"/>
        <v>4</v>
      </c>
      <c r="D1655" t="s">
        <v>662</v>
      </c>
      <c r="E1655" t="s">
        <v>22</v>
      </c>
      <c r="F1655" t="s">
        <v>28</v>
      </c>
      <c r="G1655" t="s">
        <v>215</v>
      </c>
      <c r="H1655" t="s">
        <v>765</v>
      </c>
      <c r="I1655" s="2">
        <v>63.84</v>
      </c>
      <c r="J1655" s="3">
        <v>8</v>
      </c>
      <c r="K1655" s="2">
        <v>18.510000000000002</v>
      </c>
    </row>
    <row r="1656" spans="1:11" x14ac:dyDescent="0.35">
      <c r="A1656" s="1">
        <v>42461</v>
      </c>
      <c r="B1656" s="3">
        <f t="shared" si="50"/>
        <v>2016</v>
      </c>
      <c r="C1656" s="3">
        <f t="shared" si="51"/>
        <v>4</v>
      </c>
      <c r="D1656" t="s">
        <v>662</v>
      </c>
      <c r="E1656" t="s">
        <v>22</v>
      </c>
      <c r="F1656" t="s">
        <v>28</v>
      </c>
      <c r="G1656" t="s">
        <v>48</v>
      </c>
      <c r="H1656" t="s">
        <v>360</v>
      </c>
      <c r="I1656" s="2">
        <v>3.59</v>
      </c>
      <c r="J1656" s="3">
        <v>1</v>
      </c>
      <c r="K1656" s="2">
        <v>1.1200000000000001</v>
      </c>
    </row>
    <row r="1657" spans="1:11" x14ac:dyDescent="0.35">
      <c r="A1657" s="1">
        <v>42461</v>
      </c>
      <c r="B1657" s="3">
        <f t="shared" si="50"/>
        <v>2016</v>
      </c>
      <c r="C1657" s="3">
        <f t="shared" si="51"/>
        <v>4</v>
      </c>
      <c r="D1657" t="s">
        <v>1645</v>
      </c>
      <c r="E1657" t="s">
        <v>165</v>
      </c>
      <c r="F1657" t="s">
        <v>18</v>
      </c>
      <c r="G1657" t="s">
        <v>36</v>
      </c>
      <c r="H1657" t="s">
        <v>1646</v>
      </c>
      <c r="I1657" s="2">
        <v>7.04</v>
      </c>
      <c r="J1657" s="3">
        <v>4</v>
      </c>
      <c r="K1657" s="2">
        <v>3.1</v>
      </c>
    </row>
    <row r="1658" spans="1:11" x14ac:dyDescent="0.35">
      <c r="A1658" s="1">
        <v>42461</v>
      </c>
      <c r="B1658" s="3">
        <f t="shared" si="50"/>
        <v>2016</v>
      </c>
      <c r="C1658" s="3">
        <f t="shared" si="51"/>
        <v>4</v>
      </c>
      <c r="D1658" t="s">
        <v>1647</v>
      </c>
      <c r="E1658" t="s">
        <v>12</v>
      </c>
      <c r="F1658" t="s">
        <v>13</v>
      </c>
      <c r="G1658" t="s">
        <v>23</v>
      </c>
      <c r="H1658" t="s">
        <v>1648</v>
      </c>
      <c r="I1658" s="2">
        <v>12.99</v>
      </c>
      <c r="J1658" s="3">
        <v>1</v>
      </c>
      <c r="K1658" s="2">
        <v>0.26</v>
      </c>
    </row>
    <row r="1659" spans="1:11" x14ac:dyDescent="0.35">
      <c r="A1659" s="1">
        <v>42491</v>
      </c>
      <c r="B1659" s="3">
        <f t="shared" si="50"/>
        <v>2016</v>
      </c>
      <c r="C1659" s="3">
        <f t="shared" si="51"/>
        <v>5</v>
      </c>
      <c r="D1659" t="s">
        <v>1649</v>
      </c>
      <c r="E1659" t="s">
        <v>326</v>
      </c>
      <c r="F1659" t="s">
        <v>28</v>
      </c>
      <c r="G1659" t="s">
        <v>46</v>
      </c>
      <c r="H1659" t="s">
        <v>220</v>
      </c>
      <c r="I1659" s="2">
        <v>3.98</v>
      </c>
      <c r="J1659" s="3">
        <v>1</v>
      </c>
      <c r="K1659" s="2">
        <v>1.29</v>
      </c>
    </row>
    <row r="1660" spans="1:11" x14ac:dyDescent="0.35">
      <c r="A1660" s="1">
        <v>42491</v>
      </c>
      <c r="B1660" s="3">
        <f t="shared" si="50"/>
        <v>2016</v>
      </c>
      <c r="C1660" s="3">
        <f t="shared" si="51"/>
        <v>5</v>
      </c>
      <c r="D1660" t="s">
        <v>1649</v>
      </c>
      <c r="E1660" t="s">
        <v>326</v>
      </c>
      <c r="F1660" t="s">
        <v>18</v>
      </c>
      <c r="G1660" t="s">
        <v>42</v>
      </c>
      <c r="H1660" t="s">
        <v>768</v>
      </c>
      <c r="I1660" s="2">
        <v>370.62</v>
      </c>
      <c r="J1660" s="3">
        <v>3</v>
      </c>
      <c r="K1660" s="2">
        <v>-142.07</v>
      </c>
    </row>
    <row r="1661" spans="1:11" x14ac:dyDescent="0.35">
      <c r="A1661" s="1">
        <v>42491</v>
      </c>
      <c r="B1661" s="3">
        <f t="shared" si="50"/>
        <v>2016</v>
      </c>
      <c r="C1661" s="3">
        <f t="shared" si="51"/>
        <v>5</v>
      </c>
      <c r="D1661" t="s">
        <v>1649</v>
      </c>
      <c r="E1661" t="s">
        <v>326</v>
      </c>
      <c r="F1661" t="s">
        <v>28</v>
      </c>
      <c r="G1661" t="s">
        <v>48</v>
      </c>
      <c r="H1661" t="s">
        <v>923</v>
      </c>
      <c r="I1661" s="2">
        <v>2.74</v>
      </c>
      <c r="J1661" s="3">
        <v>2</v>
      </c>
      <c r="K1661" s="2">
        <v>-2.0099999999999998</v>
      </c>
    </row>
    <row r="1662" spans="1:11" x14ac:dyDescent="0.35">
      <c r="A1662" s="1">
        <v>42491</v>
      </c>
      <c r="B1662" s="3">
        <f t="shared" si="50"/>
        <v>2016</v>
      </c>
      <c r="C1662" s="3">
        <f t="shared" si="51"/>
        <v>5</v>
      </c>
      <c r="D1662" t="s">
        <v>1650</v>
      </c>
      <c r="E1662" t="s">
        <v>67</v>
      </c>
      <c r="F1662" t="s">
        <v>28</v>
      </c>
      <c r="G1662" t="s">
        <v>29</v>
      </c>
      <c r="H1662" t="s">
        <v>1651</v>
      </c>
      <c r="I1662" s="2">
        <v>109.92</v>
      </c>
      <c r="J1662" s="3">
        <v>2</v>
      </c>
      <c r="K1662" s="2">
        <v>53.86</v>
      </c>
    </row>
    <row r="1663" spans="1:11" x14ac:dyDescent="0.35">
      <c r="A1663" s="1">
        <v>42491</v>
      </c>
      <c r="B1663" s="3">
        <f t="shared" si="50"/>
        <v>2016</v>
      </c>
      <c r="C1663" s="3">
        <f t="shared" si="51"/>
        <v>5</v>
      </c>
      <c r="D1663" t="s">
        <v>1650</v>
      </c>
      <c r="E1663" t="s">
        <v>67</v>
      </c>
      <c r="F1663" t="s">
        <v>28</v>
      </c>
      <c r="G1663" t="s">
        <v>29</v>
      </c>
      <c r="H1663" t="s">
        <v>1652</v>
      </c>
      <c r="I1663" s="2">
        <v>19.440000000000001</v>
      </c>
      <c r="J1663" s="3">
        <v>3</v>
      </c>
      <c r="K1663" s="2">
        <v>9.33</v>
      </c>
    </row>
    <row r="1664" spans="1:11" x14ac:dyDescent="0.35">
      <c r="A1664" s="1">
        <v>42491</v>
      </c>
      <c r="B1664" s="3">
        <f t="shared" si="50"/>
        <v>2016</v>
      </c>
      <c r="C1664" s="3">
        <f t="shared" si="51"/>
        <v>5</v>
      </c>
      <c r="D1664" t="s">
        <v>1650</v>
      </c>
      <c r="E1664" t="s">
        <v>67</v>
      </c>
      <c r="F1664" t="s">
        <v>28</v>
      </c>
      <c r="G1664" t="s">
        <v>64</v>
      </c>
      <c r="H1664" t="s">
        <v>188</v>
      </c>
      <c r="I1664" s="2">
        <v>11.16</v>
      </c>
      <c r="J1664" s="3">
        <v>2</v>
      </c>
      <c r="K1664" s="2">
        <v>4.3499999999999996</v>
      </c>
    </row>
    <row r="1665" spans="1:11" x14ac:dyDescent="0.35">
      <c r="A1665" s="1">
        <v>42552</v>
      </c>
      <c r="B1665" s="3">
        <f t="shared" si="50"/>
        <v>2016</v>
      </c>
      <c r="C1665" s="3">
        <f t="shared" si="51"/>
        <v>7</v>
      </c>
      <c r="D1665" t="s">
        <v>1653</v>
      </c>
      <c r="E1665" t="s">
        <v>351</v>
      </c>
      <c r="F1665" t="s">
        <v>28</v>
      </c>
      <c r="G1665" t="s">
        <v>48</v>
      </c>
      <c r="H1665" t="s">
        <v>1372</v>
      </c>
      <c r="I1665" s="2">
        <v>14.2</v>
      </c>
      <c r="J1665" s="3">
        <v>2</v>
      </c>
      <c r="K1665" s="2">
        <v>6.53</v>
      </c>
    </row>
    <row r="1666" spans="1:11" x14ac:dyDescent="0.35">
      <c r="A1666" s="1">
        <v>42552</v>
      </c>
      <c r="B1666" s="3">
        <f t="shared" ref="B1666:B1729" si="52">YEAR(A1666)</f>
        <v>2016</v>
      </c>
      <c r="C1666" s="3">
        <f t="shared" ref="C1666:C1729" si="53">MONTH(A1666)</f>
        <v>7</v>
      </c>
      <c r="D1666" t="s">
        <v>1653</v>
      </c>
      <c r="E1666" t="s">
        <v>351</v>
      </c>
      <c r="F1666" t="s">
        <v>28</v>
      </c>
      <c r="G1666" t="s">
        <v>29</v>
      </c>
      <c r="H1666" t="s">
        <v>799</v>
      </c>
      <c r="I1666" s="2">
        <v>12.96</v>
      </c>
      <c r="J1666" s="3">
        <v>2</v>
      </c>
      <c r="K1666" s="2">
        <v>6.22</v>
      </c>
    </row>
    <row r="1667" spans="1:11" x14ac:dyDescent="0.35">
      <c r="A1667" s="1">
        <v>42552</v>
      </c>
      <c r="B1667" s="3">
        <f t="shared" si="52"/>
        <v>2016</v>
      </c>
      <c r="C1667" s="3">
        <f t="shared" si="53"/>
        <v>7</v>
      </c>
      <c r="D1667" t="s">
        <v>1653</v>
      </c>
      <c r="E1667" t="s">
        <v>351</v>
      </c>
      <c r="F1667" t="s">
        <v>28</v>
      </c>
      <c r="G1667" t="s">
        <v>48</v>
      </c>
      <c r="H1667" t="s">
        <v>1654</v>
      </c>
      <c r="I1667" s="2">
        <v>58.34</v>
      </c>
      <c r="J1667" s="3">
        <v>2</v>
      </c>
      <c r="K1667" s="2">
        <v>28</v>
      </c>
    </row>
    <row r="1668" spans="1:11" x14ac:dyDescent="0.35">
      <c r="A1668" s="1">
        <v>42552</v>
      </c>
      <c r="B1668" s="3">
        <f t="shared" si="52"/>
        <v>2016</v>
      </c>
      <c r="C1668" s="3">
        <f t="shared" si="53"/>
        <v>7</v>
      </c>
      <c r="D1668" t="s">
        <v>1355</v>
      </c>
      <c r="E1668" t="s">
        <v>180</v>
      </c>
      <c r="F1668" t="s">
        <v>13</v>
      </c>
      <c r="G1668" t="s">
        <v>143</v>
      </c>
      <c r="H1668" t="s">
        <v>1619</v>
      </c>
      <c r="I1668" s="2">
        <v>1499.95</v>
      </c>
      <c r="J1668" s="3">
        <v>5</v>
      </c>
      <c r="K1668" s="2">
        <v>449.99</v>
      </c>
    </row>
    <row r="1669" spans="1:11" x14ac:dyDescent="0.35">
      <c r="A1669" s="1">
        <v>42552</v>
      </c>
      <c r="B1669" s="3">
        <f t="shared" si="52"/>
        <v>2016</v>
      </c>
      <c r="C1669" s="3">
        <f t="shared" si="53"/>
        <v>7</v>
      </c>
      <c r="D1669" t="s">
        <v>1303</v>
      </c>
      <c r="E1669" t="s">
        <v>22</v>
      </c>
      <c r="F1669" t="s">
        <v>28</v>
      </c>
      <c r="G1669" t="s">
        <v>46</v>
      </c>
      <c r="H1669" t="s">
        <v>1655</v>
      </c>
      <c r="I1669" s="2">
        <v>30.53</v>
      </c>
      <c r="J1669" s="3">
        <v>1</v>
      </c>
      <c r="K1669" s="2">
        <v>14.04</v>
      </c>
    </row>
    <row r="1670" spans="1:11" x14ac:dyDescent="0.35">
      <c r="A1670" s="1">
        <v>42552</v>
      </c>
      <c r="B1670" s="3">
        <f t="shared" si="52"/>
        <v>2016</v>
      </c>
      <c r="C1670" s="3">
        <f t="shared" si="53"/>
        <v>7</v>
      </c>
      <c r="D1670" t="s">
        <v>1303</v>
      </c>
      <c r="E1670" t="s">
        <v>22</v>
      </c>
      <c r="F1670" t="s">
        <v>13</v>
      </c>
      <c r="G1670" t="s">
        <v>14</v>
      </c>
      <c r="H1670" t="s">
        <v>1656</v>
      </c>
      <c r="I1670" s="2">
        <v>30.84</v>
      </c>
      <c r="J1670" s="3">
        <v>3</v>
      </c>
      <c r="K1670" s="2">
        <v>6.17</v>
      </c>
    </row>
    <row r="1671" spans="1:11" x14ac:dyDescent="0.35">
      <c r="A1671" s="1">
        <v>42552</v>
      </c>
      <c r="B1671" s="3">
        <f t="shared" si="52"/>
        <v>2016</v>
      </c>
      <c r="C1671" s="3">
        <f t="shared" si="53"/>
        <v>7</v>
      </c>
      <c r="D1671" t="s">
        <v>1303</v>
      </c>
      <c r="E1671" t="s">
        <v>22</v>
      </c>
      <c r="F1671" t="s">
        <v>28</v>
      </c>
      <c r="G1671" t="s">
        <v>29</v>
      </c>
      <c r="H1671" t="s">
        <v>1657</v>
      </c>
      <c r="I1671" s="2">
        <v>75.06</v>
      </c>
      <c r="J1671" s="3">
        <v>9</v>
      </c>
      <c r="K1671" s="2">
        <v>33.78</v>
      </c>
    </row>
    <row r="1672" spans="1:11" x14ac:dyDescent="0.35">
      <c r="A1672" s="1">
        <v>42552</v>
      </c>
      <c r="B1672" s="3">
        <f t="shared" si="52"/>
        <v>2016</v>
      </c>
      <c r="C1672" s="3">
        <f t="shared" si="53"/>
        <v>7</v>
      </c>
      <c r="D1672" t="s">
        <v>189</v>
      </c>
      <c r="E1672" t="s">
        <v>17</v>
      </c>
      <c r="F1672" t="s">
        <v>28</v>
      </c>
      <c r="G1672" t="s">
        <v>48</v>
      </c>
      <c r="H1672" t="s">
        <v>53</v>
      </c>
      <c r="I1672" s="2">
        <v>2.5</v>
      </c>
      <c r="J1672" s="3">
        <v>1</v>
      </c>
      <c r="K1672" s="2">
        <v>0.9</v>
      </c>
    </row>
    <row r="1673" spans="1:11" x14ac:dyDescent="0.35">
      <c r="A1673" s="1">
        <v>42583</v>
      </c>
      <c r="B1673" s="3">
        <f t="shared" si="52"/>
        <v>2016</v>
      </c>
      <c r="C1673" s="3">
        <f t="shared" si="53"/>
        <v>8</v>
      </c>
      <c r="D1673" t="s">
        <v>1658</v>
      </c>
      <c r="E1673" t="s">
        <v>32</v>
      </c>
      <c r="F1673" t="s">
        <v>28</v>
      </c>
      <c r="G1673" t="s">
        <v>29</v>
      </c>
      <c r="H1673" t="s">
        <v>123</v>
      </c>
      <c r="I1673" s="2">
        <v>19.649999999999999</v>
      </c>
      <c r="J1673" s="3">
        <v>2</v>
      </c>
      <c r="K1673" s="2">
        <v>6.63</v>
      </c>
    </row>
    <row r="1674" spans="1:11" x14ac:dyDescent="0.35">
      <c r="A1674" s="1">
        <v>42583</v>
      </c>
      <c r="B1674" s="3">
        <f t="shared" si="52"/>
        <v>2016</v>
      </c>
      <c r="C1674" s="3">
        <f t="shared" si="53"/>
        <v>8</v>
      </c>
      <c r="D1674" t="s">
        <v>769</v>
      </c>
      <c r="E1674" t="s">
        <v>45</v>
      </c>
      <c r="F1674" t="s">
        <v>13</v>
      </c>
      <c r="G1674" t="s">
        <v>23</v>
      </c>
      <c r="H1674" t="s">
        <v>1659</v>
      </c>
      <c r="I1674" s="2">
        <v>1039.73</v>
      </c>
      <c r="J1674" s="3">
        <v>2</v>
      </c>
      <c r="K1674" s="2">
        <v>90.98</v>
      </c>
    </row>
    <row r="1675" spans="1:11" x14ac:dyDescent="0.35">
      <c r="A1675" s="1">
        <v>42583</v>
      </c>
      <c r="B1675" s="3">
        <f t="shared" si="52"/>
        <v>2016</v>
      </c>
      <c r="C1675" s="3">
        <f t="shared" si="53"/>
        <v>8</v>
      </c>
      <c r="D1675" t="s">
        <v>769</v>
      </c>
      <c r="E1675" t="s">
        <v>45</v>
      </c>
      <c r="F1675" t="s">
        <v>28</v>
      </c>
      <c r="G1675" t="s">
        <v>58</v>
      </c>
      <c r="H1675" t="s">
        <v>490</v>
      </c>
      <c r="I1675" s="2">
        <v>45.96</v>
      </c>
      <c r="J1675" s="3">
        <v>2</v>
      </c>
      <c r="K1675" s="2">
        <v>13.79</v>
      </c>
    </row>
    <row r="1676" spans="1:11" x14ac:dyDescent="0.35">
      <c r="A1676" s="1">
        <v>42583</v>
      </c>
      <c r="B1676" s="3">
        <f t="shared" si="52"/>
        <v>2016</v>
      </c>
      <c r="C1676" s="3">
        <f t="shared" si="53"/>
        <v>8</v>
      </c>
      <c r="D1676" t="s">
        <v>1541</v>
      </c>
      <c r="E1676" t="s">
        <v>89</v>
      </c>
      <c r="F1676" t="s">
        <v>18</v>
      </c>
      <c r="G1676" t="s">
        <v>36</v>
      </c>
      <c r="H1676" t="s">
        <v>1660</v>
      </c>
      <c r="I1676" s="2">
        <v>19.309999999999999</v>
      </c>
      <c r="J1676" s="3">
        <v>2</v>
      </c>
      <c r="K1676" s="2">
        <v>3.14</v>
      </c>
    </row>
    <row r="1677" spans="1:11" x14ac:dyDescent="0.35">
      <c r="A1677" s="1">
        <v>42614</v>
      </c>
      <c r="B1677" s="3">
        <f t="shared" si="52"/>
        <v>2016</v>
      </c>
      <c r="C1677" s="3">
        <f t="shared" si="53"/>
        <v>9</v>
      </c>
      <c r="D1677" t="s">
        <v>1661</v>
      </c>
      <c r="E1677" t="s">
        <v>22</v>
      </c>
      <c r="F1677" t="s">
        <v>13</v>
      </c>
      <c r="G1677" t="s">
        <v>14</v>
      </c>
      <c r="H1677" t="s">
        <v>1662</v>
      </c>
      <c r="I1677" s="2">
        <v>6.79</v>
      </c>
      <c r="J1677" s="3">
        <v>1</v>
      </c>
      <c r="K1677" s="2">
        <v>2.31</v>
      </c>
    </row>
    <row r="1678" spans="1:11" x14ac:dyDescent="0.35">
      <c r="A1678" s="1">
        <v>42614</v>
      </c>
      <c r="B1678" s="3">
        <f t="shared" si="52"/>
        <v>2016</v>
      </c>
      <c r="C1678" s="3">
        <f t="shared" si="53"/>
        <v>9</v>
      </c>
      <c r="D1678" t="s">
        <v>1661</v>
      </c>
      <c r="E1678" t="s">
        <v>22</v>
      </c>
      <c r="F1678" t="s">
        <v>28</v>
      </c>
      <c r="G1678" t="s">
        <v>29</v>
      </c>
      <c r="H1678" t="s">
        <v>922</v>
      </c>
      <c r="I1678" s="2">
        <v>24.56</v>
      </c>
      <c r="J1678" s="3">
        <v>2</v>
      </c>
      <c r="K1678" s="2">
        <v>11.54</v>
      </c>
    </row>
    <row r="1679" spans="1:11" x14ac:dyDescent="0.35">
      <c r="A1679" s="1">
        <v>42614</v>
      </c>
      <c r="B1679" s="3">
        <f t="shared" si="52"/>
        <v>2016</v>
      </c>
      <c r="C1679" s="3">
        <f t="shared" si="53"/>
        <v>9</v>
      </c>
      <c r="D1679" t="s">
        <v>1661</v>
      </c>
      <c r="E1679" t="s">
        <v>22</v>
      </c>
      <c r="F1679" t="s">
        <v>28</v>
      </c>
      <c r="G1679" t="s">
        <v>48</v>
      </c>
      <c r="H1679" t="s">
        <v>1326</v>
      </c>
      <c r="I1679" s="2">
        <v>3.05</v>
      </c>
      <c r="J1679" s="3">
        <v>1</v>
      </c>
      <c r="K1679" s="2">
        <v>1.07</v>
      </c>
    </row>
    <row r="1680" spans="1:11" x14ac:dyDescent="0.35">
      <c r="A1680" s="1">
        <v>42614</v>
      </c>
      <c r="B1680" s="3">
        <f t="shared" si="52"/>
        <v>2016</v>
      </c>
      <c r="C1680" s="3">
        <f t="shared" si="53"/>
        <v>9</v>
      </c>
      <c r="D1680" t="s">
        <v>1661</v>
      </c>
      <c r="E1680" t="s">
        <v>22</v>
      </c>
      <c r="F1680" t="s">
        <v>28</v>
      </c>
      <c r="G1680" t="s">
        <v>29</v>
      </c>
      <c r="H1680" t="s">
        <v>922</v>
      </c>
      <c r="I1680" s="2">
        <v>49.12</v>
      </c>
      <c r="J1680" s="3">
        <v>4</v>
      </c>
      <c r="K1680" s="2">
        <v>23.09</v>
      </c>
    </row>
    <row r="1681" spans="1:11" x14ac:dyDescent="0.35">
      <c r="A1681" s="1">
        <v>42614</v>
      </c>
      <c r="B1681" s="3">
        <f t="shared" si="52"/>
        <v>2016</v>
      </c>
      <c r="C1681" s="3">
        <f t="shared" si="53"/>
        <v>9</v>
      </c>
      <c r="D1681" t="s">
        <v>1661</v>
      </c>
      <c r="E1681" t="s">
        <v>22</v>
      </c>
      <c r="F1681" t="s">
        <v>28</v>
      </c>
      <c r="G1681" t="s">
        <v>48</v>
      </c>
      <c r="H1681" t="s">
        <v>1663</v>
      </c>
      <c r="I1681" s="2">
        <v>4355.17</v>
      </c>
      <c r="J1681" s="3">
        <v>4</v>
      </c>
      <c r="K1681" s="2">
        <v>1415.43</v>
      </c>
    </row>
    <row r="1682" spans="1:11" x14ac:dyDescent="0.35">
      <c r="A1682" s="1">
        <v>42614</v>
      </c>
      <c r="B1682" s="3">
        <f t="shared" si="52"/>
        <v>2016</v>
      </c>
      <c r="C1682" s="3">
        <f t="shared" si="53"/>
        <v>9</v>
      </c>
      <c r="D1682" t="s">
        <v>1664</v>
      </c>
      <c r="E1682" t="s">
        <v>45</v>
      </c>
      <c r="F1682" t="s">
        <v>28</v>
      </c>
      <c r="G1682" t="s">
        <v>158</v>
      </c>
      <c r="H1682" t="s">
        <v>1183</v>
      </c>
      <c r="I1682" s="2">
        <v>21.88</v>
      </c>
      <c r="J1682" s="3">
        <v>2</v>
      </c>
      <c r="K1682" s="2">
        <v>10.94</v>
      </c>
    </row>
    <row r="1683" spans="1:11" x14ac:dyDescent="0.35">
      <c r="A1683" s="1">
        <v>42614</v>
      </c>
      <c r="B1683" s="3">
        <f t="shared" si="52"/>
        <v>2016</v>
      </c>
      <c r="C1683" s="3">
        <f t="shared" si="53"/>
        <v>9</v>
      </c>
      <c r="D1683" t="s">
        <v>1202</v>
      </c>
      <c r="E1683" t="s">
        <v>89</v>
      </c>
      <c r="F1683" t="s">
        <v>28</v>
      </c>
      <c r="G1683" t="s">
        <v>29</v>
      </c>
      <c r="H1683" t="s">
        <v>1665</v>
      </c>
      <c r="I1683" s="2">
        <v>30.48</v>
      </c>
      <c r="J1683" s="3">
        <v>6</v>
      </c>
      <c r="K1683" s="2">
        <v>9.91</v>
      </c>
    </row>
    <row r="1684" spans="1:11" x14ac:dyDescent="0.35">
      <c r="A1684" s="1">
        <v>42614</v>
      </c>
      <c r="B1684" s="3">
        <f t="shared" si="52"/>
        <v>2016</v>
      </c>
      <c r="C1684" s="3">
        <f t="shared" si="53"/>
        <v>9</v>
      </c>
      <c r="D1684" t="s">
        <v>1202</v>
      </c>
      <c r="E1684" t="s">
        <v>89</v>
      </c>
      <c r="F1684" t="s">
        <v>13</v>
      </c>
      <c r="G1684" t="s">
        <v>23</v>
      </c>
      <c r="H1684" t="s">
        <v>1666</v>
      </c>
      <c r="I1684" s="2">
        <v>23.99</v>
      </c>
      <c r="J1684" s="3">
        <v>2</v>
      </c>
      <c r="K1684" s="2">
        <v>-4.8</v>
      </c>
    </row>
    <row r="1685" spans="1:11" x14ac:dyDescent="0.35">
      <c r="A1685" s="1">
        <v>42614</v>
      </c>
      <c r="B1685" s="3">
        <f t="shared" si="52"/>
        <v>2016</v>
      </c>
      <c r="C1685" s="3">
        <f t="shared" si="53"/>
        <v>9</v>
      </c>
      <c r="D1685" t="s">
        <v>1202</v>
      </c>
      <c r="E1685" t="s">
        <v>89</v>
      </c>
      <c r="F1685" t="s">
        <v>28</v>
      </c>
      <c r="G1685" t="s">
        <v>33</v>
      </c>
      <c r="H1685" t="s">
        <v>111</v>
      </c>
      <c r="I1685" s="2">
        <v>16.690000000000001</v>
      </c>
      <c r="J1685" s="3">
        <v>7</v>
      </c>
      <c r="K1685" s="2">
        <v>5.42</v>
      </c>
    </row>
    <row r="1686" spans="1:11" x14ac:dyDescent="0.35">
      <c r="A1686" s="1">
        <v>42614</v>
      </c>
      <c r="B1686" s="3">
        <f t="shared" si="52"/>
        <v>2016</v>
      </c>
      <c r="C1686" s="3">
        <f t="shared" si="53"/>
        <v>9</v>
      </c>
      <c r="D1686" t="s">
        <v>750</v>
      </c>
      <c r="E1686" t="s">
        <v>22</v>
      </c>
      <c r="F1686" t="s">
        <v>13</v>
      </c>
      <c r="G1686" t="s">
        <v>14</v>
      </c>
      <c r="H1686" t="s">
        <v>15</v>
      </c>
      <c r="I1686" s="2">
        <v>468.9</v>
      </c>
      <c r="J1686" s="3">
        <v>6</v>
      </c>
      <c r="K1686" s="2">
        <v>206.32</v>
      </c>
    </row>
    <row r="1687" spans="1:11" x14ac:dyDescent="0.35">
      <c r="A1687" s="1">
        <v>42614</v>
      </c>
      <c r="B1687" s="3">
        <f t="shared" si="52"/>
        <v>2016</v>
      </c>
      <c r="C1687" s="3">
        <f t="shared" si="53"/>
        <v>9</v>
      </c>
      <c r="D1687" t="s">
        <v>750</v>
      </c>
      <c r="E1687" t="s">
        <v>22</v>
      </c>
      <c r="F1687" t="s">
        <v>13</v>
      </c>
      <c r="G1687" t="s">
        <v>14</v>
      </c>
      <c r="H1687" t="s">
        <v>904</v>
      </c>
      <c r="I1687" s="2">
        <v>72.48</v>
      </c>
      <c r="J1687" s="3">
        <v>2</v>
      </c>
      <c r="K1687" s="2">
        <v>30.44</v>
      </c>
    </row>
    <row r="1688" spans="1:11" x14ac:dyDescent="0.35">
      <c r="A1688" s="1">
        <v>42614</v>
      </c>
      <c r="B1688" s="3">
        <f t="shared" si="52"/>
        <v>2016</v>
      </c>
      <c r="C1688" s="3">
        <f t="shared" si="53"/>
        <v>9</v>
      </c>
      <c r="D1688" t="s">
        <v>750</v>
      </c>
      <c r="E1688" t="s">
        <v>22</v>
      </c>
      <c r="F1688" t="s">
        <v>28</v>
      </c>
      <c r="G1688" t="s">
        <v>215</v>
      </c>
      <c r="H1688" t="s">
        <v>968</v>
      </c>
      <c r="I1688" s="2">
        <v>10.95</v>
      </c>
      <c r="J1688" s="3">
        <v>3</v>
      </c>
      <c r="K1688" s="2">
        <v>3.29</v>
      </c>
    </row>
    <row r="1689" spans="1:11" x14ac:dyDescent="0.35">
      <c r="A1689" s="1">
        <v>42614</v>
      </c>
      <c r="B1689" s="3">
        <f t="shared" si="52"/>
        <v>2016</v>
      </c>
      <c r="C1689" s="3">
        <f t="shared" si="53"/>
        <v>9</v>
      </c>
      <c r="D1689" t="s">
        <v>750</v>
      </c>
      <c r="E1689" t="s">
        <v>22</v>
      </c>
      <c r="F1689" t="s">
        <v>18</v>
      </c>
      <c r="G1689" t="s">
        <v>36</v>
      </c>
      <c r="H1689" t="s">
        <v>590</v>
      </c>
      <c r="I1689" s="2">
        <v>191.82</v>
      </c>
      <c r="J1689" s="3">
        <v>3</v>
      </c>
      <c r="K1689" s="2">
        <v>61.38</v>
      </c>
    </row>
    <row r="1690" spans="1:11" x14ac:dyDescent="0.35">
      <c r="A1690" s="1">
        <v>42614</v>
      </c>
      <c r="B1690" s="3">
        <f t="shared" si="52"/>
        <v>2016</v>
      </c>
      <c r="C1690" s="3">
        <f t="shared" si="53"/>
        <v>9</v>
      </c>
      <c r="D1690" t="s">
        <v>1020</v>
      </c>
      <c r="E1690" t="s">
        <v>71</v>
      </c>
      <c r="F1690" t="s">
        <v>28</v>
      </c>
      <c r="G1690" t="s">
        <v>48</v>
      </c>
      <c r="H1690" t="s">
        <v>881</v>
      </c>
      <c r="I1690" s="2">
        <v>24.1</v>
      </c>
      <c r="J1690" s="3">
        <v>5</v>
      </c>
      <c r="K1690" s="2">
        <v>11.09</v>
      </c>
    </row>
    <row r="1691" spans="1:11" x14ac:dyDescent="0.35">
      <c r="A1691" s="1">
        <v>42614</v>
      </c>
      <c r="B1691" s="3">
        <f t="shared" si="52"/>
        <v>2016</v>
      </c>
      <c r="C1691" s="3">
        <f t="shared" si="53"/>
        <v>9</v>
      </c>
      <c r="D1691" t="s">
        <v>1020</v>
      </c>
      <c r="E1691" t="s">
        <v>71</v>
      </c>
      <c r="F1691" t="s">
        <v>13</v>
      </c>
      <c r="G1691" t="s">
        <v>23</v>
      </c>
      <c r="H1691" t="s">
        <v>1640</v>
      </c>
      <c r="I1691" s="2">
        <v>8.7799999999999994</v>
      </c>
      <c r="J1691" s="3">
        <v>1</v>
      </c>
      <c r="K1691" s="2">
        <v>2.2799999999999998</v>
      </c>
    </row>
    <row r="1692" spans="1:11" x14ac:dyDescent="0.35">
      <c r="A1692" s="1">
        <v>42614</v>
      </c>
      <c r="B1692" s="3">
        <f t="shared" si="52"/>
        <v>2016</v>
      </c>
      <c r="C1692" s="3">
        <f t="shared" si="53"/>
        <v>9</v>
      </c>
      <c r="D1692" t="s">
        <v>1020</v>
      </c>
      <c r="E1692" t="s">
        <v>71</v>
      </c>
      <c r="F1692" t="s">
        <v>28</v>
      </c>
      <c r="G1692" t="s">
        <v>58</v>
      </c>
      <c r="H1692" t="s">
        <v>1667</v>
      </c>
      <c r="I1692" s="2">
        <v>376.74</v>
      </c>
      <c r="J1692" s="3">
        <v>4</v>
      </c>
      <c r="K1692" s="2">
        <v>71.16</v>
      </c>
    </row>
    <row r="1693" spans="1:11" x14ac:dyDescent="0.35">
      <c r="A1693" s="1">
        <v>42614</v>
      </c>
      <c r="B1693" s="3">
        <f t="shared" si="52"/>
        <v>2016</v>
      </c>
      <c r="C1693" s="3">
        <f t="shared" si="53"/>
        <v>9</v>
      </c>
      <c r="D1693" t="s">
        <v>1020</v>
      </c>
      <c r="E1693" t="s">
        <v>71</v>
      </c>
      <c r="F1693" t="s">
        <v>28</v>
      </c>
      <c r="G1693" t="s">
        <v>48</v>
      </c>
      <c r="H1693" t="s">
        <v>1139</v>
      </c>
      <c r="I1693" s="2">
        <v>29.52</v>
      </c>
      <c r="J1693" s="3">
        <v>4</v>
      </c>
      <c r="K1693" s="2">
        <v>14.46</v>
      </c>
    </row>
    <row r="1694" spans="1:11" x14ac:dyDescent="0.35">
      <c r="A1694" s="1">
        <v>42614</v>
      </c>
      <c r="B1694" s="3">
        <f t="shared" si="52"/>
        <v>2016</v>
      </c>
      <c r="C1694" s="3">
        <f t="shared" si="53"/>
        <v>9</v>
      </c>
      <c r="D1694" t="s">
        <v>1020</v>
      </c>
      <c r="E1694" t="s">
        <v>71</v>
      </c>
      <c r="F1694" t="s">
        <v>28</v>
      </c>
      <c r="G1694" t="s">
        <v>64</v>
      </c>
      <c r="H1694" t="s">
        <v>1668</v>
      </c>
      <c r="I1694" s="2">
        <v>11.96</v>
      </c>
      <c r="J1694" s="3">
        <v>2</v>
      </c>
      <c r="K1694" s="2">
        <v>2.99</v>
      </c>
    </row>
    <row r="1695" spans="1:11" x14ac:dyDescent="0.35">
      <c r="A1695" s="1">
        <v>42614</v>
      </c>
      <c r="B1695" s="3">
        <f t="shared" si="52"/>
        <v>2016</v>
      </c>
      <c r="C1695" s="3">
        <f t="shared" si="53"/>
        <v>9</v>
      </c>
      <c r="D1695" t="s">
        <v>1020</v>
      </c>
      <c r="E1695" t="s">
        <v>71</v>
      </c>
      <c r="F1695" t="s">
        <v>28</v>
      </c>
      <c r="G1695" t="s">
        <v>48</v>
      </c>
      <c r="H1695" t="s">
        <v>1294</v>
      </c>
      <c r="I1695" s="2">
        <v>26.4</v>
      </c>
      <c r="J1695" s="3">
        <v>5</v>
      </c>
      <c r="K1695" s="2">
        <v>12.67</v>
      </c>
    </row>
    <row r="1696" spans="1:11" x14ac:dyDescent="0.35">
      <c r="A1696" s="1">
        <v>42614</v>
      </c>
      <c r="B1696" s="3">
        <f t="shared" si="52"/>
        <v>2016</v>
      </c>
      <c r="C1696" s="3">
        <f t="shared" si="53"/>
        <v>9</v>
      </c>
      <c r="D1696" t="s">
        <v>1669</v>
      </c>
      <c r="E1696" t="s">
        <v>45</v>
      </c>
      <c r="F1696" t="s">
        <v>28</v>
      </c>
      <c r="G1696" t="s">
        <v>158</v>
      </c>
      <c r="H1696" t="s">
        <v>697</v>
      </c>
      <c r="I1696" s="2">
        <v>12.78</v>
      </c>
      <c r="J1696" s="3">
        <v>1</v>
      </c>
      <c r="K1696" s="2">
        <v>5.75</v>
      </c>
    </row>
    <row r="1697" spans="1:11" x14ac:dyDescent="0.35">
      <c r="A1697" s="1">
        <v>42644</v>
      </c>
      <c r="B1697" s="3">
        <f t="shared" si="52"/>
        <v>2016</v>
      </c>
      <c r="C1697" s="3">
        <f t="shared" si="53"/>
        <v>10</v>
      </c>
      <c r="D1697" t="s">
        <v>1670</v>
      </c>
      <c r="E1697" t="s">
        <v>45</v>
      </c>
      <c r="F1697" t="s">
        <v>18</v>
      </c>
      <c r="G1697" t="s">
        <v>19</v>
      </c>
      <c r="H1697" t="s">
        <v>451</v>
      </c>
      <c r="I1697" s="2">
        <v>194.85</v>
      </c>
      <c r="J1697" s="3">
        <v>4</v>
      </c>
      <c r="K1697" s="2">
        <v>12.18</v>
      </c>
    </row>
    <row r="1698" spans="1:11" x14ac:dyDescent="0.35">
      <c r="A1698" s="1">
        <v>42644</v>
      </c>
      <c r="B1698" s="3">
        <f t="shared" si="52"/>
        <v>2016</v>
      </c>
      <c r="C1698" s="3">
        <f t="shared" si="53"/>
        <v>10</v>
      </c>
      <c r="D1698" t="s">
        <v>401</v>
      </c>
      <c r="E1698" t="s">
        <v>575</v>
      </c>
      <c r="F1698" t="s">
        <v>13</v>
      </c>
      <c r="G1698" t="s">
        <v>23</v>
      </c>
      <c r="H1698" t="s">
        <v>629</v>
      </c>
      <c r="I1698" s="2">
        <v>69.900000000000006</v>
      </c>
      <c r="J1698" s="3">
        <v>2</v>
      </c>
      <c r="K1698" s="2">
        <v>18.87</v>
      </c>
    </row>
    <row r="1699" spans="1:11" x14ac:dyDescent="0.35">
      <c r="A1699" s="1">
        <v>42644</v>
      </c>
      <c r="B1699" s="3">
        <f t="shared" si="52"/>
        <v>2016</v>
      </c>
      <c r="C1699" s="3">
        <f t="shared" si="53"/>
        <v>10</v>
      </c>
      <c r="D1699" t="s">
        <v>401</v>
      </c>
      <c r="E1699" t="s">
        <v>575</v>
      </c>
      <c r="F1699" t="s">
        <v>18</v>
      </c>
      <c r="G1699" t="s">
        <v>36</v>
      </c>
      <c r="H1699" t="s">
        <v>850</v>
      </c>
      <c r="I1699" s="2">
        <v>41.85</v>
      </c>
      <c r="J1699" s="3">
        <v>5</v>
      </c>
      <c r="K1699" s="2">
        <v>10.88</v>
      </c>
    </row>
    <row r="1700" spans="1:11" x14ac:dyDescent="0.35">
      <c r="A1700" s="1">
        <v>42644</v>
      </c>
      <c r="B1700" s="3">
        <f t="shared" si="52"/>
        <v>2016</v>
      </c>
      <c r="C1700" s="3">
        <f t="shared" si="53"/>
        <v>10</v>
      </c>
      <c r="D1700" t="s">
        <v>835</v>
      </c>
      <c r="E1700" t="s">
        <v>22</v>
      </c>
      <c r="F1700" t="s">
        <v>18</v>
      </c>
      <c r="G1700" t="s">
        <v>42</v>
      </c>
      <c r="H1700" t="s">
        <v>555</v>
      </c>
      <c r="I1700" s="2">
        <v>330.59</v>
      </c>
      <c r="J1700" s="3">
        <v>1</v>
      </c>
      <c r="K1700" s="2">
        <v>-115.71</v>
      </c>
    </row>
    <row r="1701" spans="1:11" x14ac:dyDescent="0.35">
      <c r="A1701" s="1">
        <v>42644</v>
      </c>
      <c r="B1701" s="3">
        <f t="shared" si="52"/>
        <v>2016</v>
      </c>
      <c r="C1701" s="3">
        <f t="shared" si="53"/>
        <v>10</v>
      </c>
      <c r="D1701" t="s">
        <v>1671</v>
      </c>
      <c r="E1701" t="s">
        <v>32</v>
      </c>
      <c r="F1701" t="s">
        <v>13</v>
      </c>
      <c r="G1701" t="s">
        <v>14</v>
      </c>
      <c r="H1701" t="s">
        <v>1025</v>
      </c>
      <c r="I1701" s="2">
        <v>79.510000000000005</v>
      </c>
      <c r="J1701" s="3">
        <v>3</v>
      </c>
      <c r="K1701" s="2">
        <v>20.87</v>
      </c>
    </row>
    <row r="1702" spans="1:11" x14ac:dyDescent="0.35">
      <c r="A1702" s="1">
        <v>42644</v>
      </c>
      <c r="B1702" s="3">
        <f t="shared" si="52"/>
        <v>2016</v>
      </c>
      <c r="C1702" s="3">
        <f t="shared" si="53"/>
        <v>10</v>
      </c>
      <c r="D1702" t="s">
        <v>1671</v>
      </c>
      <c r="E1702" t="s">
        <v>32</v>
      </c>
      <c r="F1702" t="s">
        <v>28</v>
      </c>
      <c r="G1702" t="s">
        <v>29</v>
      </c>
      <c r="H1702" t="s">
        <v>123</v>
      </c>
      <c r="I1702" s="2">
        <v>28.35</v>
      </c>
      <c r="J1702" s="3">
        <v>1</v>
      </c>
      <c r="K1702" s="2">
        <v>9.57</v>
      </c>
    </row>
    <row r="1703" spans="1:11" x14ac:dyDescent="0.35">
      <c r="A1703" s="1">
        <v>42644</v>
      </c>
      <c r="B1703" s="3">
        <f t="shared" si="52"/>
        <v>2016</v>
      </c>
      <c r="C1703" s="3">
        <f t="shared" si="53"/>
        <v>10</v>
      </c>
      <c r="D1703" t="s">
        <v>924</v>
      </c>
      <c r="E1703" t="s">
        <v>77</v>
      </c>
      <c r="F1703" t="s">
        <v>28</v>
      </c>
      <c r="G1703" t="s">
        <v>48</v>
      </c>
      <c r="H1703" t="s">
        <v>360</v>
      </c>
      <c r="I1703" s="2">
        <v>5.39</v>
      </c>
      <c r="J1703" s="3">
        <v>4</v>
      </c>
      <c r="K1703" s="2">
        <v>-4.49</v>
      </c>
    </row>
    <row r="1704" spans="1:11" x14ac:dyDescent="0.35">
      <c r="A1704" s="1">
        <v>42644</v>
      </c>
      <c r="B1704" s="3">
        <f t="shared" si="52"/>
        <v>2016</v>
      </c>
      <c r="C1704" s="3">
        <f t="shared" si="53"/>
        <v>10</v>
      </c>
      <c r="D1704" t="s">
        <v>924</v>
      </c>
      <c r="E1704" t="s">
        <v>77</v>
      </c>
      <c r="F1704" t="s">
        <v>28</v>
      </c>
      <c r="G1704" t="s">
        <v>64</v>
      </c>
      <c r="H1704" t="s">
        <v>1542</v>
      </c>
      <c r="I1704" s="2">
        <v>30.98</v>
      </c>
      <c r="J1704" s="3">
        <v>8</v>
      </c>
      <c r="K1704" s="2">
        <v>5.03</v>
      </c>
    </row>
    <row r="1705" spans="1:11" x14ac:dyDescent="0.35">
      <c r="A1705" s="1">
        <v>42675</v>
      </c>
      <c r="B1705" s="3">
        <f t="shared" si="52"/>
        <v>2016</v>
      </c>
      <c r="C1705" s="3">
        <f t="shared" si="53"/>
        <v>11</v>
      </c>
      <c r="D1705" t="s">
        <v>1345</v>
      </c>
      <c r="E1705" t="s">
        <v>173</v>
      </c>
      <c r="F1705" t="s">
        <v>13</v>
      </c>
      <c r="G1705" t="s">
        <v>23</v>
      </c>
      <c r="H1705" t="s">
        <v>832</v>
      </c>
      <c r="I1705" s="2">
        <v>21.8</v>
      </c>
      <c r="J1705" s="3">
        <v>2</v>
      </c>
      <c r="K1705" s="2">
        <v>6.1</v>
      </c>
    </row>
    <row r="1706" spans="1:11" x14ac:dyDescent="0.35">
      <c r="A1706" s="1">
        <v>42675</v>
      </c>
      <c r="B1706" s="3">
        <f t="shared" si="52"/>
        <v>2016</v>
      </c>
      <c r="C1706" s="3">
        <f t="shared" si="53"/>
        <v>11</v>
      </c>
      <c r="D1706" t="s">
        <v>1345</v>
      </c>
      <c r="E1706" t="s">
        <v>173</v>
      </c>
      <c r="F1706" t="s">
        <v>28</v>
      </c>
      <c r="G1706" t="s">
        <v>158</v>
      </c>
      <c r="H1706" t="s">
        <v>935</v>
      </c>
      <c r="I1706" s="2">
        <v>251.79</v>
      </c>
      <c r="J1706" s="3">
        <v>3</v>
      </c>
      <c r="K1706" s="2">
        <v>118.34</v>
      </c>
    </row>
    <row r="1707" spans="1:11" x14ac:dyDescent="0.35">
      <c r="A1707" s="1">
        <v>42675</v>
      </c>
      <c r="B1707" s="3">
        <f t="shared" si="52"/>
        <v>2016</v>
      </c>
      <c r="C1707" s="3">
        <f t="shared" si="53"/>
        <v>11</v>
      </c>
      <c r="D1707" t="s">
        <v>1601</v>
      </c>
      <c r="E1707" t="s">
        <v>32</v>
      </c>
      <c r="F1707" t="s">
        <v>28</v>
      </c>
      <c r="G1707" t="s">
        <v>38</v>
      </c>
      <c r="H1707" t="s">
        <v>1672</v>
      </c>
      <c r="I1707" s="2">
        <v>111.67</v>
      </c>
      <c r="J1707" s="3">
        <v>9</v>
      </c>
      <c r="K1707" s="2">
        <v>6.98</v>
      </c>
    </row>
    <row r="1708" spans="1:11" x14ac:dyDescent="0.35">
      <c r="A1708" s="1">
        <v>42675</v>
      </c>
      <c r="B1708" s="3">
        <f t="shared" si="52"/>
        <v>2016</v>
      </c>
      <c r="C1708" s="3">
        <f t="shared" si="53"/>
        <v>11</v>
      </c>
      <c r="D1708" t="s">
        <v>571</v>
      </c>
      <c r="E1708" t="s">
        <v>26</v>
      </c>
      <c r="F1708" t="s">
        <v>13</v>
      </c>
      <c r="G1708" t="s">
        <v>14</v>
      </c>
      <c r="H1708" t="s">
        <v>395</v>
      </c>
      <c r="I1708" s="2">
        <v>68.11</v>
      </c>
      <c r="J1708" s="3">
        <v>3</v>
      </c>
      <c r="K1708" s="2">
        <v>17.88</v>
      </c>
    </row>
    <row r="1709" spans="1:11" x14ac:dyDescent="0.35">
      <c r="A1709" s="1">
        <v>42705</v>
      </c>
      <c r="B1709" s="3">
        <f t="shared" si="52"/>
        <v>2016</v>
      </c>
      <c r="C1709" s="3">
        <f t="shared" si="53"/>
        <v>12</v>
      </c>
      <c r="D1709" t="s">
        <v>483</v>
      </c>
      <c r="E1709" t="s">
        <v>55</v>
      </c>
      <c r="F1709" t="s">
        <v>28</v>
      </c>
      <c r="G1709" t="s">
        <v>29</v>
      </c>
      <c r="H1709" t="s">
        <v>1673</v>
      </c>
      <c r="I1709" s="2">
        <v>23.92</v>
      </c>
      <c r="J1709" s="3">
        <v>4</v>
      </c>
      <c r="K1709" s="2">
        <v>11.72</v>
      </c>
    </row>
    <row r="1710" spans="1:11" x14ac:dyDescent="0.35">
      <c r="A1710" s="1">
        <v>42705</v>
      </c>
      <c r="B1710" s="3">
        <f t="shared" si="52"/>
        <v>2016</v>
      </c>
      <c r="C1710" s="3">
        <f t="shared" si="53"/>
        <v>12</v>
      </c>
      <c r="D1710" t="s">
        <v>1674</v>
      </c>
      <c r="E1710" t="s">
        <v>249</v>
      </c>
      <c r="F1710" t="s">
        <v>18</v>
      </c>
      <c r="G1710" t="s">
        <v>19</v>
      </c>
      <c r="H1710" t="s">
        <v>35</v>
      </c>
      <c r="I1710" s="2">
        <v>172.5</v>
      </c>
      <c r="J1710" s="3">
        <v>2</v>
      </c>
      <c r="K1710" s="2">
        <v>51.75</v>
      </c>
    </row>
    <row r="1711" spans="1:11" x14ac:dyDescent="0.35">
      <c r="A1711" s="1">
        <v>42705</v>
      </c>
      <c r="B1711" s="3">
        <f t="shared" si="52"/>
        <v>2016</v>
      </c>
      <c r="C1711" s="3">
        <f t="shared" si="53"/>
        <v>12</v>
      </c>
      <c r="D1711" t="s">
        <v>1674</v>
      </c>
      <c r="E1711" t="s">
        <v>249</v>
      </c>
      <c r="F1711" t="s">
        <v>13</v>
      </c>
      <c r="G1711" t="s">
        <v>23</v>
      </c>
      <c r="H1711" t="s">
        <v>704</v>
      </c>
      <c r="I1711" s="2">
        <v>179.97</v>
      </c>
      <c r="J1711" s="3">
        <v>3</v>
      </c>
      <c r="K1711" s="2">
        <v>44.99</v>
      </c>
    </row>
    <row r="1712" spans="1:11" x14ac:dyDescent="0.35">
      <c r="A1712" s="1">
        <v>42705</v>
      </c>
      <c r="B1712" s="3">
        <f t="shared" si="52"/>
        <v>2016</v>
      </c>
      <c r="C1712" s="3">
        <f t="shared" si="53"/>
        <v>12</v>
      </c>
      <c r="D1712" t="s">
        <v>680</v>
      </c>
      <c r="E1712" t="s">
        <v>575</v>
      </c>
      <c r="F1712" t="s">
        <v>18</v>
      </c>
      <c r="G1712" t="s">
        <v>36</v>
      </c>
      <c r="H1712" t="s">
        <v>937</v>
      </c>
      <c r="I1712" s="2">
        <v>17.309999999999999</v>
      </c>
      <c r="J1712" s="3">
        <v>3</v>
      </c>
      <c r="K1712" s="2">
        <v>5.19</v>
      </c>
    </row>
    <row r="1713" spans="1:11" x14ac:dyDescent="0.35">
      <c r="A1713" s="1">
        <v>42705</v>
      </c>
      <c r="B1713" s="3">
        <f t="shared" si="52"/>
        <v>2016</v>
      </c>
      <c r="C1713" s="3">
        <f t="shared" si="53"/>
        <v>12</v>
      </c>
      <c r="D1713" t="s">
        <v>298</v>
      </c>
      <c r="E1713" t="s">
        <v>326</v>
      </c>
      <c r="F1713" t="s">
        <v>28</v>
      </c>
      <c r="G1713" t="s">
        <v>64</v>
      </c>
      <c r="H1713" t="s">
        <v>242</v>
      </c>
      <c r="I1713" s="2">
        <v>4.7</v>
      </c>
      <c r="J1713" s="3">
        <v>2</v>
      </c>
      <c r="K1713" s="2">
        <v>0.41</v>
      </c>
    </row>
    <row r="1714" spans="1:11" x14ac:dyDescent="0.35">
      <c r="A1714" s="1">
        <v>42705</v>
      </c>
      <c r="B1714" s="3">
        <f t="shared" si="52"/>
        <v>2016</v>
      </c>
      <c r="C1714" s="3">
        <f t="shared" si="53"/>
        <v>12</v>
      </c>
      <c r="D1714" t="s">
        <v>1675</v>
      </c>
      <c r="E1714" t="s">
        <v>45</v>
      </c>
      <c r="F1714" t="s">
        <v>18</v>
      </c>
      <c r="G1714" t="s">
        <v>36</v>
      </c>
      <c r="H1714" t="s">
        <v>850</v>
      </c>
      <c r="I1714" s="2">
        <v>16.739999999999998</v>
      </c>
      <c r="J1714" s="3">
        <v>2</v>
      </c>
      <c r="K1714" s="2">
        <v>4.3499999999999996</v>
      </c>
    </row>
    <row r="1715" spans="1:11" x14ac:dyDescent="0.35">
      <c r="A1715" s="1">
        <v>42705</v>
      </c>
      <c r="B1715" s="3">
        <f t="shared" si="52"/>
        <v>2016</v>
      </c>
      <c r="C1715" s="3">
        <f t="shared" si="53"/>
        <v>12</v>
      </c>
      <c r="D1715" t="s">
        <v>807</v>
      </c>
      <c r="E1715" t="s">
        <v>323</v>
      </c>
      <c r="F1715" t="s">
        <v>28</v>
      </c>
      <c r="G1715" t="s">
        <v>48</v>
      </c>
      <c r="H1715" t="s">
        <v>1039</v>
      </c>
      <c r="I1715" s="2">
        <v>88.08</v>
      </c>
      <c r="J1715" s="3">
        <v>6</v>
      </c>
      <c r="K1715" s="2">
        <v>40.520000000000003</v>
      </c>
    </row>
    <row r="1716" spans="1:11" x14ac:dyDescent="0.35">
      <c r="A1716" s="1">
        <v>42705</v>
      </c>
      <c r="B1716" s="3">
        <f t="shared" si="52"/>
        <v>2016</v>
      </c>
      <c r="C1716" s="3">
        <f t="shared" si="53"/>
        <v>12</v>
      </c>
      <c r="D1716" t="s">
        <v>807</v>
      </c>
      <c r="E1716" t="s">
        <v>323</v>
      </c>
      <c r="F1716" t="s">
        <v>18</v>
      </c>
      <c r="G1716" t="s">
        <v>19</v>
      </c>
      <c r="H1716" t="s">
        <v>866</v>
      </c>
      <c r="I1716" s="2">
        <v>751.92</v>
      </c>
      <c r="J1716" s="3">
        <v>4</v>
      </c>
      <c r="K1716" s="2">
        <v>150.38</v>
      </c>
    </row>
    <row r="1717" spans="1:11" x14ac:dyDescent="0.35">
      <c r="A1717" s="1">
        <v>42705</v>
      </c>
      <c r="B1717" s="3">
        <f t="shared" si="52"/>
        <v>2016</v>
      </c>
      <c r="C1717" s="3">
        <f t="shared" si="53"/>
        <v>12</v>
      </c>
      <c r="D1717" t="s">
        <v>1264</v>
      </c>
      <c r="E1717" t="s">
        <v>81</v>
      </c>
      <c r="F1717" t="s">
        <v>13</v>
      </c>
      <c r="G1717" t="s">
        <v>23</v>
      </c>
      <c r="H1717" t="s">
        <v>340</v>
      </c>
      <c r="I1717" s="2">
        <v>863.93</v>
      </c>
      <c r="J1717" s="3">
        <v>9</v>
      </c>
      <c r="K1717" s="2">
        <v>86.39</v>
      </c>
    </row>
    <row r="1718" spans="1:11" x14ac:dyDescent="0.35">
      <c r="A1718" s="1">
        <v>42705</v>
      </c>
      <c r="B1718" s="3">
        <f t="shared" si="52"/>
        <v>2016</v>
      </c>
      <c r="C1718" s="3">
        <f t="shared" si="53"/>
        <v>12</v>
      </c>
      <c r="D1718" t="s">
        <v>1676</v>
      </c>
      <c r="E1718" t="s">
        <v>32</v>
      </c>
      <c r="F1718" t="s">
        <v>18</v>
      </c>
      <c r="G1718" t="s">
        <v>19</v>
      </c>
      <c r="H1718" t="s">
        <v>679</v>
      </c>
      <c r="I1718" s="2">
        <v>248.43</v>
      </c>
      <c r="J1718" s="3">
        <v>5</v>
      </c>
      <c r="K1718" s="2">
        <v>-17.75</v>
      </c>
    </row>
    <row r="1719" spans="1:11" x14ac:dyDescent="0.35">
      <c r="A1719" s="1">
        <v>42705</v>
      </c>
      <c r="B1719" s="3">
        <f t="shared" si="52"/>
        <v>2016</v>
      </c>
      <c r="C1719" s="3">
        <f t="shared" si="53"/>
        <v>12</v>
      </c>
      <c r="D1719" t="s">
        <v>1676</v>
      </c>
      <c r="E1719" t="s">
        <v>32</v>
      </c>
      <c r="F1719" t="s">
        <v>28</v>
      </c>
      <c r="G1719" t="s">
        <v>58</v>
      </c>
      <c r="H1719" t="s">
        <v>73</v>
      </c>
      <c r="I1719" s="2">
        <v>11.65</v>
      </c>
      <c r="J1719" s="3">
        <v>4</v>
      </c>
      <c r="K1719" s="2">
        <v>-30.87</v>
      </c>
    </row>
    <row r="1720" spans="1:11" x14ac:dyDescent="0.35">
      <c r="A1720" s="1">
        <v>42705</v>
      </c>
      <c r="B1720" s="3">
        <f t="shared" si="52"/>
        <v>2016</v>
      </c>
      <c r="C1720" s="3">
        <f t="shared" si="53"/>
        <v>12</v>
      </c>
      <c r="D1720" t="s">
        <v>1676</v>
      </c>
      <c r="E1720" t="s">
        <v>32</v>
      </c>
      <c r="F1720" t="s">
        <v>18</v>
      </c>
      <c r="G1720" t="s">
        <v>19</v>
      </c>
      <c r="H1720" t="s">
        <v>596</v>
      </c>
      <c r="I1720" s="2">
        <v>85.25</v>
      </c>
      <c r="J1720" s="3">
        <v>2</v>
      </c>
      <c r="K1720" s="2">
        <v>-1.22</v>
      </c>
    </row>
    <row r="1721" spans="1:11" x14ac:dyDescent="0.35">
      <c r="A1721" s="1">
        <v>42705</v>
      </c>
      <c r="B1721" s="3">
        <f t="shared" si="52"/>
        <v>2016</v>
      </c>
      <c r="C1721" s="3">
        <f t="shared" si="53"/>
        <v>12</v>
      </c>
      <c r="D1721" t="s">
        <v>272</v>
      </c>
      <c r="E1721" t="s">
        <v>51</v>
      </c>
      <c r="F1721" t="s">
        <v>13</v>
      </c>
      <c r="G1721" t="s">
        <v>23</v>
      </c>
      <c r="H1721" t="s">
        <v>1255</v>
      </c>
      <c r="I1721" s="2">
        <v>137.94</v>
      </c>
      <c r="J1721" s="3">
        <v>3</v>
      </c>
      <c r="K1721" s="2">
        <v>35.86</v>
      </c>
    </row>
    <row r="1722" spans="1:11" x14ac:dyDescent="0.35">
      <c r="A1722" s="1">
        <v>42705</v>
      </c>
      <c r="B1722" s="3">
        <f t="shared" si="52"/>
        <v>2016</v>
      </c>
      <c r="C1722" s="3">
        <f t="shared" si="53"/>
        <v>12</v>
      </c>
      <c r="D1722" t="s">
        <v>272</v>
      </c>
      <c r="E1722" t="s">
        <v>51</v>
      </c>
      <c r="F1722" t="s">
        <v>18</v>
      </c>
      <c r="G1722" t="s">
        <v>36</v>
      </c>
      <c r="H1722" t="s">
        <v>1677</v>
      </c>
      <c r="I1722" s="2">
        <v>111.15</v>
      </c>
      <c r="J1722" s="3">
        <v>5</v>
      </c>
      <c r="K1722" s="2">
        <v>48.91</v>
      </c>
    </row>
    <row r="1723" spans="1:11" x14ac:dyDescent="0.35">
      <c r="A1723" s="1">
        <v>42705</v>
      </c>
      <c r="B1723" s="3">
        <f t="shared" si="52"/>
        <v>2016</v>
      </c>
      <c r="C1723" s="3">
        <f t="shared" si="53"/>
        <v>12</v>
      </c>
      <c r="D1723" t="s">
        <v>272</v>
      </c>
      <c r="E1723" t="s">
        <v>51</v>
      </c>
      <c r="F1723" t="s">
        <v>28</v>
      </c>
      <c r="G1723" t="s">
        <v>58</v>
      </c>
      <c r="H1723" t="s">
        <v>59</v>
      </c>
      <c r="I1723" s="2">
        <v>901.95</v>
      </c>
      <c r="J1723" s="3">
        <v>3</v>
      </c>
      <c r="K1723" s="2">
        <v>297.64</v>
      </c>
    </row>
    <row r="1724" spans="1:11" x14ac:dyDescent="0.35">
      <c r="A1724" s="1">
        <v>42705</v>
      </c>
      <c r="B1724" s="3">
        <f t="shared" si="52"/>
        <v>2016</v>
      </c>
      <c r="C1724" s="3">
        <f t="shared" si="53"/>
        <v>12</v>
      </c>
      <c r="D1724" t="s">
        <v>272</v>
      </c>
      <c r="E1724" t="s">
        <v>51</v>
      </c>
      <c r="F1724" t="s">
        <v>18</v>
      </c>
      <c r="G1724" t="s">
        <v>42</v>
      </c>
      <c r="H1724" t="s">
        <v>1364</v>
      </c>
      <c r="I1724" s="2">
        <v>366.01</v>
      </c>
      <c r="J1724" s="3">
        <v>3</v>
      </c>
      <c r="K1724" s="2">
        <v>-47.06</v>
      </c>
    </row>
    <row r="1725" spans="1:11" x14ac:dyDescent="0.35">
      <c r="A1725" s="1">
        <v>42705</v>
      </c>
      <c r="B1725" s="3">
        <f t="shared" si="52"/>
        <v>2016</v>
      </c>
      <c r="C1725" s="3">
        <f t="shared" si="53"/>
        <v>12</v>
      </c>
      <c r="D1725" t="s">
        <v>1634</v>
      </c>
      <c r="E1725" t="s">
        <v>173</v>
      </c>
      <c r="F1725" t="s">
        <v>28</v>
      </c>
      <c r="G1725" t="s">
        <v>58</v>
      </c>
      <c r="H1725" t="s">
        <v>59</v>
      </c>
      <c r="I1725" s="2">
        <v>2104.5500000000002</v>
      </c>
      <c r="J1725" s="3">
        <v>7</v>
      </c>
      <c r="K1725" s="2">
        <v>694.5</v>
      </c>
    </row>
    <row r="1726" spans="1:11" x14ac:dyDescent="0.35">
      <c r="A1726" s="1">
        <v>42705</v>
      </c>
      <c r="B1726" s="3">
        <f t="shared" si="52"/>
        <v>2016</v>
      </c>
      <c r="C1726" s="3">
        <f t="shared" si="53"/>
        <v>12</v>
      </c>
      <c r="D1726" t="s">
        <v>1634</v>
      </c>
      <c r="E1726" t="s">
        <v>173</v>
      </c>
      <c r="F1726" t="s">
        <v>28</v>
      </c>
      <c r="G1726" t="s">
        <v>215</v>
      </c>
      <c r="H1726" t="s">
        <v>1678</v>
      </c>
      <c r="I1726" s="2">
        <v>40.700000000000003</v>
      </c>
      <c r="J1726" s="3">
        <v>5</v>
      </c>
      <c r="K1726" s="2">
        <v>11.8</v>
      </c>
    </row>
    <row r="1727" spans="1:11" x14ac:dyDescent="0.35">
      <c r="A1727" s="1">
        <v>42705</v>
      </c>
      <c r="B1727" s="3">
        <f t="shared" si="52"/>
        <v>2016</v>
      </c>
      <c r="C1727" s="3">
        <f t="shared" si="53"/>
        <v>12</v>
      </c>
      <c r="D1727" t="s">
        <v>1669</v>
      </c>
      <c r="E1727" t="s">
        <v>45</v>
      </c>
      <c r="F1727" t="s">
        <v>18</v>
      </c>
      <c r="G1727" t="s">
        <v>36</v>
      </c>
      <c r="H1727" t="s">
        <v>1679</v>
      </c>
      <c r="I1727" s="2">
        <v>31.96</v>
      </c>
      <c r="J1727" s="3">
        <v>2</v>
      </c>
      <c r="K1727" s="2">
        <v>1.6</v>
      </c>
    </row>
    <row r="1728" spans="1:11" x14ac:dyDescent="0.35">
      <c r="A1728" s="1">
        <v>42705</v>
      </c>
      <c r="B1728" s="3">
        <f t="shared" si="52"/>
        <v>2016</v>
      </c>
      <c r="C1728" s="3">
        <f t="shared" si="53"/>
        <v>12</v>
      </c>
      <c r="D1728" t="s">
        <v>1669</v>
      </c>
      <c r="E1728" t="s">
        <v>45</v>
      </c>
      <c r="F1728" t="s">
        <v>28</v>
      </c>
      <c r="G1728" t="s">
        <v>29</v>
      </c>
      <c r="H1728" t="s">
        <v>1399</v>
      </c>
      <c r="I1728" s="2">
        <v>47.9</v>
      </c>
      <c r="J1728" s="3">
        <v>1</v>
      </c>
      <c r="K1728" s="2">
        <v>22.99</v>
      </c>
    </row>
    <row r="1729" spans="1:11" x14ac:dyDescent="0.35">
      <c r="A1729" s="1">
        <v>42705</v>
      </c>
      <c r="B1729" s="3">
        <f t="shared" si="52"/>
        <v>2016</v>
      </c>
      <c r="C1729" s="3">
        <f t="shared" si="53"/>
        <v>12</v>
      </c>
      <c r="D1729" t="s">
        <v>1669</v>
      </c>
      <c r="E1729" t="s">
        <v>45</v>
      </c>
      <c r="F1729" t="s">
        <v>28</v>
      </c>
      <c r="G1729" t="s">
        <v>38</v>
      </c>
      <c r="H1729" t="s">
        <v>1680</v>
      </c>
      <c r="I1729" s="2">
        <v>1112.94</v>
      </c>
      <c r="J1729" s="3">
        <v>3</v>
      </c>
      <c r="K1729" s="2">
        <v>222.59</v>
      </c>
    </row>
    <row r="1730" spans="1:11" x14ac:dyDescent="0.35">
      <c r="A1730" s="1">
        <v>42705</v>
      </c>
      <c r="B1730" s="3">
        <f t="shared" ref="B1730:B1793" si="54">YEAR(A1730)</f>
        <v>2016</v>
      </c>
      <c r="C1730" s="3">
        <f t="shared" ref="C1730:C1793" si="55">MONTH(A1730)</f>
        <v>12</v>
      </c>
      <c r="D1730" t="s">
        <v>1669</v>
      </c>
      <c r="E1730" t="s">
        <v>45</v>
      </c>
      <c r="F1730" t="s">
        <v>28</v>
      </c>
      <c r="G1730" t="s">
        <v>158</v>
      </c>
      <c r="H1730" t="s">
        <v>849</v>
      </c>
      <c r="I1730" s="2">
        <v>22.92</v>
      </c>
      <c r="J1730" s="3">
        <v>3</v>
      </c>
      <c r="K1730" s="2">
        <v>11.23</v>
      </c>
    </row>
    <row r="1731" spans="1:11" x14ac:dyDescent="0.35">
      <c r="A1731" s="1">
        <v>42705</v>
      </c>
      <c r="B1731" s="3">
        <f t="shared" si="54"/>
        <v>2016</v>
      </c>
      <c r="C1731" s="3">
        <f t="shared" si="55"/>
        <v>12</v>
      </c>
      <c r="D1731" t="s">
        <v>1200</v>
      </c>
      <c r="E1731" t="s">
        <v>45</v>
      </c>
      <c r="F1731" t="s">
        <v>28</v>
      </c>
      <c r="G1731" t="s">
        <v>64</v>
      </c>
      <c r="H1731" t="s">
        <v>1414</v>
      </c>
      <c r="I1731" s="2">
        <v>23.04</v>
      </c>
      <c r="J1731" s="3">
        <v>8</v>
      </c>
      <c r="K1731" s="2">
        <v>6.91</v>
      </c>
    </row>
    <row r="1732" spans="1:11" x14ac:dyDescent="0.35">
      <c r="A1732" s="1">
        <v>42371</v>
      </c>
      <c r="B1732" s="3">
        <f t="shared" si="54"/>
        <v>2016</v>
      </c>
      <c r="C1732" s="3">
        <f t="shared" si="55"/>
        <v>1</v>
      </c>
      <c r="D1732" t="s">
        <v>1681</v>
      </c>
      <c r="E1732" t="s">
        <v>249</v>
      </c>
      <c r="F1732" t="s">
        <v>18</v>
      </c>
      <c r="G1732" t="s">
        <v>237</v>
      </c>
      <c r="H1732" t="s">
        <v>1682</v>
      </c>
      <c r="I1732" s="2">
        <v>173.94</v>
      </c>
      <c r="J1732" s="3">
        <v>3</v>
      </c>
      <c r="K1732" s="2">
        <v>38.270000000000003</v>
      </c>
    </row>
    <row r="1733" spans="1:11" x14ac:dyDescent="0.35">
      <c r="A1733" s="1">
        <v>42371</v>
      </c>
      <c r="B1733" s="3">
        <f t="shared" si="54"/>
        <v>2016</v>
      </c>
      <c r="C1733" s="3">
        <f t="shared" si="55"/>
        <v>1</v>
      </c>
      <c r="D1733" t="s">
        <v>1681</v>
      </c>
      <c r="E1733" t="s">
        <v>249</v>
      </c>
      <c r="F1733" t="s">
        <v>13</v>
      </c>
      <c r="G1733" t="s">
        <v>23</v>
      </c>
      <c r="H1733" t="s">
        <v>1683</v>
      </c>
      <c r="I1733" s="2">
        <v>231.98</v>
      </c>
      <c r="J1733" s="3">
        <v>2</v>
      </c>
      <c r="K1733" s="2">
        <v>67.27</v>
      </c>
    </row>
    <row r="1734" spans="1:11" x14ac:dyDescent="0.35">
      <c r="A1734" s="1">
        <v>42402</v>
      </c>
      <c r="B1734" s="3">
        <f t="shared" si="54"/>
        <v>2016</v>
      </c>
      <c r="C1734" s="3">
        <f t="shared" si="55"/>
        <v>2</v>
      </c>
      <c r="D1734" t="s">
        <v>1400</v>
      </c>
      <c r="E1734" t="s">
        <v>22</v>
      </c>
      <c r="F1734" t="s">
        <v>28</v>
      </c>
      <c r="G1734" t="s">
        <v>38</v>
      </c>
      <c r="H1734" t="s">
        <v>1528</v>
      </c>
      <c r="I1734" s="2">
        <v>117.96</v>
      </c>
      <c r="J1734" s="3">
        <v>2</v>
      </c>
      <c r="K1734" s="2">
        <v>5.9</v>
      </c>
    </row>
    <row r="1735" spans="1:11" x14ac:dyDescent="0.35">
      <c r="A1735" s="1">
        <v>42402</v>
      </c>
      <c r="B1735" s="3">
        <f t="shared" si="54"/>
        <v>2016</v>
      </c>
      <c r="C1735" s="3">
        <f t="shared" si="55"/>
        <v>2</v>
      </c>
      <c r="D1735" t="s">
        <v>897</v>
      </c>
      <c r="E1735" t="s">
        <v>173</v>
      </c>
      <c r="F1735" t="s">
        <v>13</v>
      </c>
      <c r="G1735" t="s">
        <v>204</v>
      </c>
      <c r="H1735" t="s">
        <v>1684</v>
      </c>
      <c r="I1735" s="2">
        <v>8749.9500000000007</v>
      </c>
      <c r="J1735" s="3">
        <v>5</v>
      </c>
      <c r="K1735" s="2">
        <v>2799.98</v>
      </c>
    </row>
    <row r="1736" spans="1:11" x14ac:dyDescent="0.35">
      <c r="A1736" s="1">
        <v>42402</v>
      </c>
      <c r="B1736" s="3">
        <f t="shared" si="54"/>
        <v>2016</v>
      </c>
      <c r="C1736" s="3">
        <f t="shared" si="55"/>
        <v>2</v>
      </c>
      <c r="D1736" t="s">
        <v>897</v>
      </c>
      <c r="E1736" t="s">
        <v>173</v>
      </c>
      <c r="F1736" t="s">
        <v>28</v>
      </c>
      <c r="G1736" t="s">
        <v>48</v>
      </c>
      <c r="H1736" t="s">
        <v>560</v>
      </c>
      <c r="I1736" s="2">
        <v>36.4</v>
      </c>
      <c r="J1736" s="3">
        <v>8</v>
      </c>
      <c r="K1736" s="2">
        <v>18.2</v>
      </c>
    </row>
    <row r="1737" spans="1:11" x14ac:dyDescent="0.35">
      <c r="A1737" s="1">
        <v>42402</v>
      </c>
      <c r="B1737" s="3">
        <f t="shared" si="54"/>
        <v>2016</v>
      </c>
      <c r="C1737" s="3">
        <f t="shared" si="55"/>
        <v>2</v>
      </c>
      <c r="D1737" t="s">
        <v>897</v>
      </c>
      <c r="E1737" t="s">
        <v>173</v>
      </c>
      <c r="F1737" t="s">
        <v>18</v>
      </c>
      <c r="G1737" t="s">
        <v>36</v>
      </c>
      <c r="H1737" t="s">
        <v>1437</v>
      </c>
      <c r="I1737" s="2">
        <v>18.690000000000001</v>
      </c>
      <c r="J1737" s="3">
        <v>7</v>
      </c>
      <c r="K1737" s="2">
        <v>7.1</v>
      </c>
    </row>
    <row r="1738" spans="1:11" x14ac:dyDescent="0.35">
      <c r="A1738" s="1">
        <v>42402</v>
      </c>
      <c r="B1738" s="3">
        <f t="shared" si="54"/>
        <v>2016</v>
      </c>
      <c r="C1738" s="3">
        <f t="shared" si="55"/>
        <v>2</v>
      </c>
      <c r="D1738" t="s">
        <v>1368</v>
      </c>
      <c r="E1738" t="s">
        <v>32</v>
      </c>
      <c r="F1738" t="s">
        <v>18</v>
      </c>
      <c r="G1738" t="s">
        <v>36</v>
      </c>
      <c r="H1738" t="s">
        <v>1685</v>
      </c>
      <c r="I1738" s="2">
        <v>73.78</v>
      </c>
      <c r="J1738" s="3">
        <v>2</v>
      </c>
      <c r="K1738" s="2">
        <v>-77.47</v>
      </c>
    </row>
    <row r="1739" spans="1:11" x14ac:dyDescent="0.35">
      <c r="A1739" s="1">
        <v>42462</v>
      </c>
      <c r="B1739" s="3">
        <f t="shared" si="54"/>
        <v>2016</v>
      </c>
      <c r="C1739" s="3">
        <f t="shared" si="55"/>
        <v>4</v>
      </c>
      <c r="D1739" t="s">
        <v>745</v>
      </c>
      <c r="E1739" t="s">
        <v>12</v>
      </c>
      <c r="F1739" t="s">
        <v>18</v>
      </c>
      <c r="G1739" t="s">
        <v>19</v>
      </c>
      <c r="H1739" t="s">
        <v>1686</v>
      </c>
      <c r="I1739" s="2">
        <v>1454.9</v>
      </c>
      <c r="J1739" s="3">
        <v>5</v>
      </c>
      <c r="K1739" s="2">
        <v>378.27</v>
      </c>
    </row>
    <row r="1740" spans="1:11" x14ac:dyDescent="0.35">
      <c r="A1740" s="1">
        <v>42492</v>
      </c>
      <c r="B1740" s="3">
        <f t="shared" si="54"/>
        <v>2016</v>
      </c>
      <c r="C1740" s="3">
        <f t="shared" si="55"/>
        <v>5</v>
      </c>
      <c r="D1740" t="s">
        <v>1687</v>
      </c>
      <c r="E1740" t="s">
        <v>32</v>
      </c>
      <c r="F1740" t="s">
        <v>28</v>
      </c>
      <c r="G1740" t="s">
        <v>64</v>
      </c>
      <c r="H1740" t="s">
        <v>1051</v>
      </c>
      <c r="I1740" s="2">
        <v>86.35</v>
      </c>
      <c r="J1740" s="3">
        <v>3</v>
      </c>
      <c r="K1740" s="2">
        <v>5.4</v>
      </c>
    </row>
    <row r="1741" spans="1:11" x14ac:dyDescent="0.35">
      <c r="A1741" s="1">
        <v>42492</v>
      </c>
      <c r="B1741" s="3">
        <f t="shared" si="54"/>
        <v>2016</v>
      </c>
      <c r="C1741" s="3">
        <f t="shared" si="55"/>
        <v>5</v>
      </c>
      <c r="D1741" t="s">
        <v>1688</v>
      </c>
      <c r="E1741" t="s">
        <v>22</v>
      </c>
      <c r="F1741" t="s">
        <v>28</v>
      </c>
      <c r="G1741" t="s">
        <v>38</v>
      </c>
      <c r="H1741" t="s">
        <v>1689</v>
      </c>
      <c r="I1741" s="2">
        <v>44.94</v>
      </c>
      <c r="J1741" s="3">
        <v>3</v>
      </c>
      <c r="K1741" s="2">
        <v>12.58</v>
      </c>
    </row>
    <row r="1742" spans="1:11" x14ac:dyDescent="0.35">
      <c r="A1742" s="1">
        <v>42492</v>
      </c>
      <c r="B1742" s="3">
        <f t="shared" si="54"/>
        <v>2016</v>
      </c>
      <c r="C1742" s="3">
        <f t="shared" si="55"/>
        <v>5</v>
      </c>
      <c r="D1742" t="s">
        <v>1688</v>
      </c>
      <c r="E1742" t="s">
        <v>22</v>
      </c>
      <c r="F1742" t="s">
        <v>28</v>
      </c>
      <c r="G1742" t="s">
        <v>48</v>
      </c>
      <c r="H1742" t="s">
        <v>869</v>
      </c>
      <c r="I1742" s="2">
        <v>45.58</v>
      </c>
      <c r="J1742" s="3">
        <v>3</v>
      </c>
      <c r="K1742" s="2">
        <v>15.95</v>
      </c>
    </row>
    <row r="1743" spans="1:11" x14ac:dyDescent="0.35">
      <c r="A1743" s="1">
        <v>42492</v>
      </c>
      <c r="B1743" s="3">
        <f t="shared" si="54"/>
        <v>2016</v>
      </c>
      <c r="C1743" s="3">
        <f t="shared" si="55"/>
        <v>5</v>
      </c>
      <c r="D1743" t="s">
        <v>1690</v>
      </c>
      <c r="E1743" t="s">
        <v>81</v>
      </c>
      <c r="F1743" t="s">
        <v>18</v>
      </c>
      <c r="G1743" t="s">
        <v>19</v>
      </c>
      <c r="H1743" t="s">
        <v>1691</v>
      </c>
      <c r="I1743" s="2">
        <v>187.06</v>
      </c>
      <c r="J1743" s="3">
        <v>9</v>
      </c>
      <c r="K1743" s="2">
        <v>11.69</v>
      </c>
    </row>
    <row r="1744" spans="1:11" x14ac:dyDescent="0.35">
      <c r="A1744" s="1">
        <v>42492</v>
      </c>
      <c r="B1744" s="3">
        <f t="shared" si="54"/>
        <v>2016</v>
      </c>
      <c r="C1744" s="3">
        <f t="shared" si="55"/>
        <v>5</v>
      </c>
      <c r="D1744" t="s">
        <v>1505</v>
      </c>
      <c r="E1744" t="s">
        <v>32</v>
      </c>
      <c r="F1744" t="s">
        <v>28</v>
      </c>
      <c r="G1744" t="s">
        <v>38</v>
      </c>
      <c r="H1744" t="s">
        <v>476</v>
      </c>
      <c r="I1744" s="2">
        <v>18.940000000000001</v>
      </c>
      <c r="J1744" s="3">
        <v>3</v>
      </c>
      <c r="K1744" s="2">
        <v>-3.79</v>
      </c>
    </row>
    <row r="1745" spans="1:11" x14ac:dyDescent="0.35">
      <c r="A1745" s="1">
        <v>42492</v>
      </c>
      <c r="B1745" s="3">
        <f t="shared" si="54"/>
        <v>2016</v>
      </c>
      <c r="C1745" s="3">
        <f t="shared" si="55"/>
        <v>5</v>
      </c>
      <c r="D1745" t="s">
        <v>1505</v>
      </c>
      <c r="E1745" t="s">
        <v>32</v>
      </c>
      <c r="F1745" t="s">
        <v>28</v>
      </c>
      <c r="G1745" t="s">
        <v>38</v>
      </c>
      <c r="H1745" t="s">
        <v>1692</v>
      </c>
      <c r="I1745" s="2">
        <v>12.67</v>
      </c>
      <c r="J1745" s="3">
        <v>3</v>
      </c>
      <c r="K1745" s="2">
        <v>-3.17</v>
      </c>
    </row>
    <row r="1746" spans="1:11" x14ac:dyDescent="0.35">
      <c r="A1746" s="1">
        <v>42492</v>
      </c>
      <c r="B1746" s="3">
        <f t="shared" si="54"/>
        <v>2016</v>
      </c>
      <c r="C1746" s="3">
        <f t="shared" si="55"/>
        <v>5</v>
      </c>
      <c r="D1746" t="s">
        <v>1505</v>
      </c>
      <c r="E1746" t="s">
        <v>32</v>
      </c>
      <c r="F1746" t="s">
        <v>28</v>
      </c>
      <c r="G1746" t="s">
        <v>46</v>
      </c>
      <c r="H1746" t="s">
        <v>1693</v>
      </c>
      <c r="I1746" s="2">
        <v>5.04</v>
      </c>
      <c r="J1746" s="3">
        <v>2</v>
      </c>
      <c r="K1746" s="2">
        <v>1.76</v>
      </c>
    </row>
    <row r="1747" spans="1:11" x14ac:dyDescent="0.35">
      <c r="A1747" s="1">
        <v>42492</v>
      </c>
      <c r="B1747" s="3">
        <f t="shared" si="54"/>
        <v>2016</v>
      </c>
      <c r="C1747" s="3">
        <f t="shared" si="55"/>
        <v>5</v>
      </c>
      <c r="D1747" t="s">
        <v>620</v>
      </c>
      <c r="E1747" t="s">
        <v>32</v>
      </c>
      <c r="F1747" t="s">
        <v>18</v>
      </c>
      <c r="G1747" t="s">
        <v>19</v>
      </c>
      <c r="H1747" t="s">
        <v>402</v>
      </c>
      <c r="I1747" s="2">
        <v>366.74</v>
      </c>
      <c r="J1747" s="3">
        <v>4</v>
      </c>
      <c r="K1747" s="2">
        <v>-110.02</v>
      </c>
    </row>
    <row r="1748" spans="1:11" x14ac:dyDescent="0.35">
      <c r="A1748" s="1">
        <v>42492</v>
      </c>
      <c r="B1748" s="3">
        <f t="shared" si="54"/>
        <v>2016</v>
      </c>
      <c r="C1748" s="3">
        <f t="shared" si="55"/>
        <v>5</v>
      </c>
      <c r="D1748" t="s">
        <v>975</v>
      </c>
      <c r="E1748" t="s">
        <v>22</v>
      </c>
      <c r="F1748" t="s">
        <v>18</v>
      </c>
      <c r="G1748" t="s">
        <v>36</v>
      </c>
      <c r="H1748" t="s">
        <v>1694</v>
      </c>
      <c r="I1748" s="2">
        <v>12.56</v>
      </c>
      <c r="J1748" s="3">
        <v>2</v>
      </c>
      <c r="K1748" s="2">
        <v>4.0199999999999996</v>
      </c>
    </row>
    <row r="1749" spans="1:11" x14ac:dyDescent="0.35">
      <c r="A1749" s="1">
        <v>42492</v>
      </c>
      <c r="B1749" s="3">
        <f t="shared" si="54"/>
        <v>2016</v>
      </c>
      <c r="C1749" s="3">
        <f t="shared" si="55"/>
        <v>5</v>
      </c>
      <c r="D1749" t="s">
        <v>975</v>
      </c>
      <c r="E1749" t="s">
        <v>22</v>
      </c>
      <c r="F1749" t="s">
        <v>28</v>
      </c>
      <c r="G1749" t="s">
        <v>48</v>
      </c>
      <c r="H1749" t="s">
        <v>464</v>
      </c>
      <c r="I1749" s="2">
        <v>90.48</v>
      </c>
      <c r="J1749" s="3">
        <v>3</v>
      </c>
      <c r="K1749" s="2">
        <v>33.93</v>
      </c>
    </row>
    <row r="1750" spans="1:11" x14ac:dyDescent="0.35">
      <c r="A1750" s="1">
        <v>42492</v>
      </c>
      <c r="B1750" s="3">
        <f t="shared" si="54"/>
        <v>2016</v>
      </c>
      <c r="C1750" s="3">
        <f t="shared" si="55"/>
        <v>5</v>
      </c>
      <c r="D1750" t="s">
        <v>975</v>
      </c>
      <c r="E1750" t="s">
        <v>22</v>
      </c>
      <c r="F1750" t="s">
        <v>28</v>
      </c>
      <c r="G1750" t="s">
        <v>29</v>
      </c>
      <c r="H1750" t="s">
        <v>116</v>
      </c>
      <c r="I1750" s="2">
        <v>13.08</v>
      </c>
      <c r="J1750" s="3">
        <v>2</v>
      </c>
      <c r="K1750" s="2">
        <v>6.02</v>
      </c>
    </row>
    <row r="1751" spans="1:11" x14ac:dyDescent="0.35">
      <c r="A1751" s="1">
        <v>42492</v>
      </c>
      <c r="B1751" s="3">
        <f t="shared" si="54"/>
        <v>2016</v>
      </c>
      <c r="C1751" s="3">
        <f t="shared" si="55"/>
        <v>5</v>
      </c>
      <c r="D1751" t="s">
        <v>975</v>
      </c>
      <c r="E1751" t="s">
        <v>22</v>
      </c>
      <c r="F1751" t="s">
        <v>18</v>
      </c>
      <c r="G1751" t="s">
        <v>36</v>
      </c>
      <c r="H1751" t="s">
        <v>132</v>
      </c>
      <c r="I1751" s="2">
        <v>214.7</v>
      </c>
      <c r="J1751" s="3">
        <v>5</v>
      </c>
      <c r="K1751" s="2">
        <v>83.73</v>
      </c>
    </row>
    <row r="1752" spans="1:11" x14ac:dyDescent="0.35">
      <c r="A1752" s="1">
        <v>42523</v>
      </c>
      <c r="B1752" s="3">
        <f t="shared" si="54"/>
        <v>2016</v>
      </c>
      <c r="C1752" s="3">
        <f t="shared" si="55"/>
        <v>6</v>
      </c>
      <c r="D1752" t="s">
        <v>708</v>
      </c>
      <c r="E1752" t="s">
        <v>89</v>
      </c>
      <c r="F1752" t="s">
        <v>28</v>
      </c>
      <c r="G1752" t="s">
        <v>38</v>
      </c>
      <c r="H1752" t="s">
        <v>720</v>
      </c>
      <c r="I1752" s="2">
        <v>64.78</v>
      </c>
      <c r="J1752" s="3">
        <v>1</v>
      </c>
      <c r="K1752" s="2">
        <v>-12.96</v>
      </c>
    </row>
    <row r="1753" spans="1:11" x14ac:dyDescent="0.35">
      <c r="A1753" s="1">
        <v>42523</v>
      </c>
      <c r="B1753" s="3">
        <f t="shared" si="54"/>
        <v>2016</v>
      </c>
      <c r="C1753" s="3">
        <f t="shared" si="55"/>
        <v>6</v>
      </c>
      <c r="D1753" t="s">
        <v>975</v>
      </c>
      <c r="E1753" t="s">
        <v>17</v>
      </c>
      <c r="F1753" t="s">
        <v>28</v>
      </c>
      <c r="G1753" t="s">
        <v>29</v>
      </c>
      <c r="H1753" t="s">
        <v>659</v>
      </c>
      <c r="I1753" s="2">
        <v>30.18</v>
      </c>
      <c r="J1753" s="3">
        <v>3</v>
      </c>
      <c r="K1753" s="2">
        <v>13.88</v>
      </c>
    </row>
    <row r="1754" spans="1:11" x14ac:dyDescent="0.35">
      <c r="A1754" s="1">
        <v>42523</v>
      </c>
      <c r="B1754" s="3">
        <f t="shared" si="54"/>
        <v>2016</v>
      </c>
      <c r="C1754" s="3">
        <f t="shared" si="55"/>
        <v>6</v>
      </c>
      <c r="D1754" t="s">
        <v>975</v>
      </c>
      <c r="E1754" t="s">
        <v>17</v>
      </c>
      <c r="F1754" t="s">
        <v>28</v>
      </c>
      <c r="G1754" t="s">
        <v>48</v>
      </c>
      <c r="H1754" t="s">
        <v>615</v>
      </c>
      <c r="I1754" s="2">
        <v>51.65</v>
      </c>
      <c r="J1754" s="3">
        <v>12</v>
      </c>
      <c r="K1754" s="2">
        <v>18.72</v>
      </c>
    </row>
    <row r="1755" spans="1:11" x14ac:dyDescent="0.35">
      <c r="A1755" s="1">
        <v>42523</v>
      </c>
      <c r="B1755" s="3">
        <f t="shared" si="54"/>
        <v>2016</v>
      </c>
      <c r="C1755" s="3">
        <f t="shared" si="55"/>
        <v>6</v>
      </c>
      <c r="D1755" t="s">
        <v>975</v>
      </c>
      <c r="E1755" t="s">
        <v>17</v>
      </c>
      <c r="F1755" t="s">
        <v>28</v>
      </c>
      <c r="G1755" t="s">
        <v>48</v>
      </c>
      <c r="H1755" t="s">
        <v>1001</v>
      </c>
      <c r="I1755" s="2">
        <v>11.23</v>
      </c>
      <c r="J1755" s="3">
        <v>3</v>
      </c>
      <c r="K1755" s="2">
        <v>3.93</v>
      </c>
    </row>
    <row r="1756" spans="1:11" x14ac:dyDescent="0.35">
      <c r="A1756" s="1">
        <v>42553</v>
      </c>
      <c r="B1756" s="3">
        <f t="shared" si="54"/>
        <v>2016</v>
      </c>
      <c r="C1756" s="3">
        <f t="shared" si="55"/>
        <v>7</v>
      </c>
      <c r="D1756" t="s">
        <v>1292</v>
      </c>
      <c r="E1756" t="s">
        <v>45</v>
      </c>
      <c r="F1756" t="s">
        <v>18</v>
      </c>
      <c r="G1756" t="s">
        <v>19</v>
      </c>
      <c r="H1756" t="s">
        <v>989</v>
      </c>
      <c r="I1756" s="2">
        <v>195.18</v>
      </c>
      <c r="J1756" s="3">
        <v>1</v>
      </c>
      <c r="K1756" s="2">
        <v>19.52</v>
      </c>
    </row>
    <row r="1757" spans="1:11" x14ac:dyDescent="0.35">
      <c r="A1757" s="1">
        <v>42553</v>
      </c>
      <c r="B1757" s="3">
        <f t="shared" si="54"/>
        <v>2016</v>
      </c>
      <c r="C1757" s="3">
        <f t="shared" si="55"/>
        <v>7</v>
      </c>
      <c r="D1757" t="s">
        <v>1695</v>
      </c>
      <c r="E1757" t="s">
        <v>173</v>
      </c>
      <c r="F1757" t="s">
        <v>28</v>
      </c>
      <c r="G1757" t="s">
        <v>64</v>
      </c>
      <c r="H1757" t="s">
        <v>1696</v>
      </c>
      <c r="I1757" s="2">
        <v>7.7</v>
      </c>
      <c r="J1757" s="3">
        <v>2</v>
      </c>
      <c r="K1757" s="2">
        <v>3.16</v>
      </c>
    </row>
    <row r="1758" spans="1:11" x14ac:dyDescent="0.35">
      <c r="A1758" s="1">
        <v>42553</v>
      </c>
      <c r="B1758" s="3">
        <f t="shared" si="54"/>
        <v>2016</v>
      </c>
      <c r="C1758" s="3">
        <f t="shared" si="55"/>
        <v>7</v>
      </c>
      <c r="D1758" t="s">
        <v>130</v>
      </c>
      <c r="E1758" t="s">
        <v>32</v>
      </c>
      <c r="F1758" t="s">
        <v>18</v>
      </c>
      <c r="G1758" t="s">
        <v>19</v>
      </c>
      <c r="H1758" t="s">
        <v>950</v>
      </c>
      <c r="I1758" s="2">
        <v>528.42999999999995</v>
      </c>
      <c r="J1758" s="3">
        <v>5</v>
      </c>
      <c r="K1758" s="2">
        <v>0</v>
      </c>
    </row>
    <row r="1759" spans="1:11" x14ac:dyDescent="0.35">
      <c r="A1759" s="1">
        <v>42553</v>
      </c>
      <c r="B1759" s="3">
        <f t="shared" si="54"/>
        <v>2016</v>
      </c>
      <c r="C1759" s="3">
        <f t="shared" si="55"/>
        <v>7</v>
      </c>
      <c r="D1759" t="s">
        <v>130</v>
      </c>
      <c r="E1759" t="s">
        <v>32</v>
      </c>
      <c r="F1759" t="s">
        <v>28</v>
      </c>
      <c r="G1759" t="s">
        <v>29</v>
      </c>
      <c r="H1759" t="s">
        <v>1543</v>
      </c>
      <c r="I1759" s="2">
        <v>41.47</v>
      </c>
      <c r="J1759" s="3">
        <v>8</v>
      </c>
      <c r="K1759" s="2">
        <v>14.52</v>
      </c>
    </row>
    <row r="1760" spans="1:11" x14ac:dyDescent="0.35">
      <c r="A1760" s="1">
        <v>42584</v>
      </c>
      <c r="B1760" s="3">
        <f t="shared" si="54"/>
        <v>2016</v>
      </c>
      <c r="C1760" s="3">
        <f t="shared" si="55"/>
        <v>8</v>
      </c>
      <c r="D1760" t="s">
        <v>1697</v>
      </c>
      <c r="E1760" t="s">
        <v>45</v>
      </c>
      <c r="F1760" t="s">
        <v>18</v>
      </c>
      <c r="G1760" t="s">
        <v>42</v>
      </c>
      <c r="H1760" t="s">
        <v>1698</v>
      </c>
      <c r="I1760" s="2">
        <v>136.46</v>
      </c>
      <c r="J1760" s="3">
        <v>2</v>
      </c>
      <c r="K1760" s="2">
        <v>15.35</v>
      </c>
    </row>
    <row r="1761" spans="1:11" x14ac:dyDescent="0.35">
      <c r="A1761" s="1">
        <v>42584</v>
      </c>
      <c r="B1761" s="3">
        <f t="shared" si="54"/>
        <v>2016</v>
      </c>
      <c r="C1761" s="3">
        <f t="shared" si="55"/>
        <v>8</v>
      </c>
      <c r="D1761" t="s">
        <v>1697</v>
      </c>
      <c r="E1761" t="s">
        <v>45</v>
      </c>
      <c r="F1761" t="s">
        <v>13</v>
      </c>
      <c r="G1761" t="s">
        <v>23</v>
      </c>
      <c r="H1761" t="s">
        <v>1699</v>
      </c>
      <c r="I1761" s="2">
        <v>333.58</v>
      </c>
      <c r="J1761" s="3">
        <v>3</v>
      </c>
      <c r="K1761" s="2">
        <v>33.36</v>
      </c>
    </row>
    <row r="1762" spans="1:11" x14ac:dyDescent="0.35">
      <c r="A1762" s="1">
        <v>42584</v>
      </c>
      <c r="B1762" s="3">
        <f t="shared" si="54"/>
        <v>2016</v>
      </c>
      <c r="C1762" s="3">
        <f t="shared" si="55"/>
        <v>8</v>
      </c>
      <c r="D1762" t="s">
        <v>1697</v>
      </c>
      <c r="E1762" t="s">
        <v>45</v>
      </c>
      <c r="F1762" t="s">
        <v>28</v>
      </c>
      <c r="G1762" t="s">
        <v>48</v>
      </c>
      <c r="H1762" t="s">
        <v>1700</v>
      </c>
      <c r="I1762" s="2">
        <v>12.54</v>
      </c>
      <c r="J1762" s="3">
        <v>2</v>
      </c>
      <c r="K1762" s="2">
        <v>4.7</v>
      </c>
    </row>
    <row r="1763" spans="1:11" x14ac:dyDescent="0.35">
      <c r="A1763" s="1">
        <v>42615</v>
      </c>
      <c r="B1763" s="3">
        <f t="shared" si="54"/>
        <v>2016</v>
      </c>
      <c r="C1763" s="3">
        <f t="shared" si="55"/>
        <v>9</v>
      </c>
      <c r="D1763" t="s">
        <v>951</v>
      </c>
      <c r="E1763" t="s">
        <v>22</v>
      </c>
      <c r="F1763" t="s">
        <v>28</v>
      </c>
      <c r="G1763" t="s">
        <v>64</v>
      </c>
      <c r="H1763" t="s">
        <v>661</v>
      </c>
      <c r="I1763" s="2">
        <v>75.48</v>
      </c>
      <c r="J1763" s="3">
        <v>2</v>
      </c>
      <c r="K1763" s="2">
        <v>19.62</v>
      </c>
    </row>
    <row r="1764" spans="1:11" x14ac:dyDescent="0.35">
      <c r="A1764" s="1">
        <v>42615</v>
      </c>
      <c r="B1764" s="3">
        <f t="shared" si="54"/>
        <v>2016</v>
      </c>
      <c r="C1764" s="3">
        <f t="shared" si="55"/>
        <v>9</v>
      </c>
      <c r="D1764" t="s">
        <v>951</v>
      </c>
      <c r="E1764" t="s">
        <v>22</v>
      </c>
      <c r="F1764" t="s">
        <v>18</v>
      </c>
      <c r="G1764" t="s">
        <v>36</v>
      </c>
      <c r="H1764" t="s">
        <v>488</v>
      </c>
      <c r="I1764" s="2">
        <v>39.979999999999997</v>
      </c>
      <c r="J1764" s="3">
        <v>2</v>
      </c>
      <c r="K1764" s="2">
        <v>10</v>
      </c>
    </row>
    <row r="1765" spans="1:11" x14ac:dyDescent="0.35">
      <c r="A1765" s="1">
        <v>42615</v>
      </c>
      <c r="B1765" s="3">
        <f t="shared" si="54"/>
        <v>2016</v>
      </c>
      <c r="C1765" s="3">
        <f t="shared" si="55"/>
        <v>9</v>
      </c>
      <c r="D1765" t="s">
        <v>474</v>
      </c>
      <c r="E1765" t="s">
        <v>12</v>
      </c>
      <c r="F1765" t="s">
        <v>28</v>
      </c>
      <c r="G1765" t="s">
        <v>33</v>
      </c>
      <c r="H1765" t="s">
        <v>314</v>
      </c>
      <c r="I1765" s="2">
        <v>1.81</v>
      </c>
      <c r="J1765" s="3">
        <v>1</v>
      </c>
      <c r="K1765" s="2">
        <v>0.65</v>
      </c>
    </row>
    <row r="1766" spans="1:11" x14ac:dyDescent="0.35">
      <c r="A1766" s="1">
        <v>42615</v>
      </c>
      <c r="B1766" s="3">
        <f t="shared" si="54"/>
        <v>2016</v>
      </c>
      <c r="C1766" s="3">
        <f t="shared" si="55"/>
        <v>9</v>
      </c>
      <c r="D1766" t="s">
        <v>474</v>
      </c>
      <c r="E1766" t="s">
        <v>12</v>
      </c>
      <c r="F1766" t="s">
        <v>28</v>
      </c>
      <c r="G1766" t="s">
        <v>48</v>
      </c>
      <c r="H1766" t="s">
        <v>657</v>
      </c>
      <c r="I1766" s="2">
        <v>8.26</v>
      </c>
      <c r="J1766" s="3">
        <v>2</v>
      </c>
      <c r="K1766" s="2">
        <v>3.88</v>
      </c>
    </row>
    <row r="1767" spans="1:11" x14ac:dyDescent="0.35">
      <c r="A1767" s="1">
        <v>42615</v>
      </c>
      <c r="B1767" s="3">
        <f t="shared" si="54"/>
        <v>2016</v>
      </c>
      <c r="C1767" s="3">
        <f t="shared" si="55"/>
        <v>9</v>
      </c>
      <c r="D1767" t="s">
        <v>418</v>
      </c>
      <c r="E1767" t="s">
        <v>45</v>
      </c>
      <c r="F1767" t="s">
        <v>28</v>
      </c>
      <c r="G1767" t="s">
        <v>38</v>
      </c>
      <c r="H1767" t="s">
        <v>438</v>
      </c>
      <c r="I1767" s="2">
        <v>46.53</v>
      </c>
      <c r="J1767" s="3">
        <v>3</v>
      </c>
      <c r="K1767" s="2">
        <v>12.1</v>
      </c>
    </row>
    <row r="1768" spans="1:11" x14ac:dyDescent="0.35">
      <c r="A1768" s="1">
        <v>42615</v>
      </c>
      <c r="B1768" s="3">
        <f t="shared" si="54"/>
        <v>2016</v>
      </c>
      <c r="C1768" s="3">
        <f t="shared" si="55"/>
        <v>9</v>
      </c>
      <c r="D1768" t="s">
        <v>516</v>
      </c>
      <c r="E1768" t="s">
        <v>26</v>
      </c>
      <c r="F1768" t="s">
        <v>28</v>
      </c>
      <c r="G1768" t="s">
        <v>46</v>
      </c>
      <c r="H1768" t="s">
        <v>82</v>
      </c>
      <c r="I1768" s="2">
        <v>29.24</v>
      </c>
      <c r="J1768" s="3">
        <v>5</v>
      </c>
      <c r="K1768" s="2">
        <v>9.8699999999999992</v>
      </c>
    </row>
    <row r="1769" spans="1:11" x14ac:dyDescent="0.35">
      <c r="A1769" s="1">
        <v>42615</v>
      </c>
      <c r="B1769" s="3">
        <f t="shared" si="54"/>
        <v>2016</v>
      </c>
      <c r="C1769" s="3">
        <f t="shared" si="55"/>
        <v>9</v>
      </c>
      <c r="D1769" t="s">
        <v>516</v>
      </c>
      <c r="E1769" t="s">
        <v>26</v>
      </c>
      <c r="F1769" t="s">
        <v>28</v>
      </c>
      <c r="G1769" t="s">
        <v>38</v>
      </c>
      <c r="H1769" t="s">
        <v>585</v>
      </c>
      <c r="I1769" s="2">
        <v>35.17</v>
      </c>
      <c r="J1769" s="3">
        <v>2</v>
      </c>
      <c r="K1769" s="2">
        <v>-8.35</v>
      </c>
    </row>
    <row r="1770" spans="1:11" x14ac:dyDescent="0.35">
      <c r="A1770" s="1">
        <v>42615</v>
      </c>
      <c r="B1770" s="3">
        <f t="shared" si="54"/>
        <v>2016</v>
      </c>
      <c r="C1770" s="3">
        <f t="shared" si="55"/>
        <v>9</v>
      </c>
      <c r="D1770" t="s">
        <v>516</v>
      </c>
      <c r="E1770" t="s">
        <v>26</v>
      </c>
      <c r="F1770" t="s">
        <v>13</v>
      </c>
      <c r="G1770" t="s">
        <v>204</v>
      </c>
      <c r="H1770" t="s">
        <v>1701</v>
      </c>
      <c r="I1770" s="2">
        <v>1362.9</v>
      </c>
      <c r="J1770" s="3">
        <v>3</v>
      </c>
      <c r="K1770" s="2">
        <v>-19.47</v>
      </c>
    </row>
    <row r="1771" spans="1:11" x14ac:dyDescent="0.35">
      <c r="A1771" s="1">
        <v>42615</v>
      </c>
      <c r="B1771" s="3">
        <f t="shared" si="54"/>
        <v>2016</v>
      </c>
      <c r="C1771" s="3">
        <f t="shared" si="55"/>
        <v>9</v>
      </c>
      <c r="D1771" t="s">
        <v>1007</v>
      </c>
      <c r="E1771" t="s">
        <v>26</v>
      </c>
      <c r="F1771" t="s">
        <v>18</v>
      </c>
      <c r="G1771" t="s">
        <v>36</v>
      </c>
      <c r="H1771" t="s">
        <v>1579</v>
      </c>
      <c r="I1771" s="2">
        <v>84.27</v>
      </c>
      <c r="J1771" s="3">
        <v>2</v>
      </c>
      <c r="K1771" s="2">
        <v>-75.84</v>
      </c>
    </row>
    <row r="1772" spans="1:11" x14ac:dyDescent="0.35">
      <c r="A1772" s="1">
        <v>42615</v>
      </c>
      <c r="B1772" s="3">
        <f t="shared" si="54"/>
        <v>2016</v>
      </c>
      <c r="C1772" s="3">
        <f t="shared" si="55"/>
        <v>9</v>
      </c>
      <c r="D1772" t="s">
        <v>1702</v>
      </c>
      <c r="E1772" t="s">
        <v>81</v>
      </c>
      <c r="F1772" t="s">
        <v>28</v>
      </c>
      <c r="G1772" t="s">
        <v>48</v>
      </c>
      <c r="H1772" t="s">
        <v>1703</v>
      </c>
      <c r="I1772" s="2">
        <v>22.91</v>
      </c>
      <c r="J1772" s="3">
        <v>7</v>
      </c>
      <c r="K1772" s="2">
        <v>-17.57</v>
      </c>
    </row>
    <row r="1773" spans="1:11" x14ac:dyDescent="0.35">
      <c r="A1773" s="1">
        <v>42615</v>
      </c>
      <c r="B1773" s="3">
        <f t="shared" si="54"/>
        <v>2016</v>
      </c>
      <c r="C1773" s="3">
        <f t="shared" si="55"/>
        <v>9</v>
      </c>
      <c r="D1773" t="s">
        <v>1702</v>
      </c>
      <c r="E1773" t="s">
        <v>81</v>
      </c>
      <c r="F1773" t="s">
        <v>28</v>
      </c>
      <c r="G1773" t="s">
        <v>58</v>
      </c>
      <c r="H1773" t="s">
        <v>1704</v>
      </c>
      <c r="I1773" s="2">
        <v>309.45999999999998</v>
      </c>
      <c r="J1773" s="3">
        <v>9</v>
      </c>
      <c r="K1773" s="2">
        <v>34.81</v>
      </c>
    </row>
    <row r="1774" spans="1:11" x14ac:dyDescent="0.35">
      <c r="A1774" s="1">
        <v>42615</v>
      </c>
      <c r="B1774" s="3">
        <f t="shared" si="54"/>
        <v>2016</v>
      </c>
      <c r="C1774" s="3">
        <f t="shared" si="55"/>
        <v>9</v>
      </c>
      <c r="D1774" t="s">
        <v>1702</v>
      </c>
      <c r="E1774" t="s">
        <v>81</v>
      </c>
      <c r="F1774" t="s">
        <v>28</v>
      </c>
      <c r="G1774" t="s">
        <v>64</v>
      </c>
      <c r="H1774" t="s">
        <v>263</v>
      </c>
      <c r="I1774" s="2">
        <v>19.46</v>
      </c>
      <c r="J1774" s="3">
        <v>4</v>
      </c>
      <c r="K1774" s="2">
        <v>3.4</v>
      </c>
    </row>
    <row r="1775" spans="1:11" x14ac:dyDescent="0.35">
      <c r="A1775" s="1">
        <v>42615</v>
      </c>
      <c r="B1775" s="3">
        <f t="shared" si="54"/>
        <v>2016</v>
      </c>
      <c r="C1775" s="3">
        <f t="shared" si="55"/>
        <v>9</v>
      </c>
      <c r="D1775" t="s">
        <v>1702</v>
      </c>
      <c r="E1775" t="s">
        <v>81</v>
      </c>
      <c r="F1775" t="s">
        <v>18</v>
      </c>
      <c r="G1775" t="s">
        <v>42</v>
      </c>
      <c r="H1775" t="s">
        <v>329</v>
      </c>
      <c r="I1775" s="2">
        <v>472.52</v>
      </c>
      <c r="J1775" s="3">
        <v>3</v>
      </c>
      <c r="K1775" s="2">
        <v>-149.63</v>
      </c>
    </row>
    <row r="1776" spans="1:11" x14ac:dyDescent="0.35">
      <c r="A1776" s="1">
        <v>42615</v>
      </c>
      <c r="B1776" s="3">
        <f t="shared" si="54"/>
        <v>2016</v>
      </c>
      <c r="C1776" s="3">
        <f t="shared" si="55"/>
        <v>9</v>
      </c>
      <c r="D1776" t="s">
        <v>1702</v>
      </c>
      <c r="E1776" t="s">
        <v>81</v>
      </c>
      <c r="F1776" t="s">
        <v>13</v>
      </c>
      <c r="G1776" t="s">
        <v>14</v>
      </c>
      <c r="H1776" t="s">
        <v>1705</v>
      </c>
      <c r="I1776" s="2">
        <v>1012.68</v>
      </c>
      <c r="J1776" s="3">
        <v>3</v>
      </c>
      <c r="K1776" s="2">
        <v>303.8</v>
      </c>
    </row>
    <row r="1777" spans="1:11" x14ac:dyDescent="0.35">
      <c r="A1777" s="1">
        <v>42615</v>
      </c>
      <c r="B1777" s="3">
        <f t="shared" si="54"/>
        <v>2016</v>
      </c>
      <c r="C1777" s="3">
        <f t="shared" si="55"/>
        <v>9</v>
      </c>
      <c r="D1777" t="s">
        <v>1702</v>
      </c>
      <c r="E1777" t="s">
        <v>81</v>
      </c>
      <c r="F1777" t="s">
        <v>28</v>
      </c>
      <c r="G1777" t="s">
        <v>48</v>
      </c>
      <c r="H1777" t="s">
        <v>1331</v>
      </c>
      <c r="I1777" s="2">
        <v>17.22</v>
      </c>
      <c r="J1777" s="3">
        <v>5</v>
      </c>
      <c r="K1777" s="2">
        <v>-12.63</v>
      </c>
    </row>
    <row r="1778" spans="1:11" x14ac:dyDescent="0.35">
      <c r="A1778" s="1">
        <v>42615</v>
      </c>
      <c r="B1778" s="3">
        <f t="shared" si="54"/>
        <v>2016</v>
      </c>
      <c r="C1778" s="3">
        <f t="shared" si="55"/>
        <v>9</v>
      </c>
      <c r="D1778" t="s">
        <v>1467</v>
      </c>
      <c r="E1778" t="s">
        <v>17</v>
      </c>
      <c r="F1778" t="s">
        <v>13</v>
      </c>
      <c r="G1778" t="s">
        <v>143</v>
      </c>
      <c r="H1778" t="s">
        <v>1349</v>
      </c>
      <c r="I1778" s="2">
        <v>999.98</v>
      </c>
      <c r="J1778" s="3">
        <v>2</v>
      </c>
      <c r="K1778" s="2">
        <v>449.99</v>
      </c>
    </row>
    <row r="1779" spans="1:11" x14ac:dyDescent="0.35">
      <c r="A1779" s="1">
        <v>42615</v>
      </c>
      <c r="B1779" s="3">
        <f t="shared" si="54"/>
        <v>2016</v>
      </c>
      <c r="C1779" s="3">
        <f t="shared" si="55"/>
        <v>9</v>
      </c>
      <c r="D1779" t="s">
        <v>1706</v>
      </c>
      <c r="E1779" t="s">
        <v>32</v>
      </c>
      <c r="F1779" t="s">
        <v>28</v>
      </c>
      <c r="G1779" t="s">
        <v>48</v>
      </c>
      <c r="H1779" t="s">
        <v>737</v>
      </c>
      <c r="I1779" s="2">
        <v>8.61</v>
      </c>
      <c r="J1779" s="3">
        <v>8</v>
      </c>
      <c r="K1779" s="2">
        <v>-13.34</v>
      </c>
    </row>
    <row r="1780" spans="1:11" x14ac:dyDescent="0.35">
      <c r="A1780" s="1">
        <v>42615</v>
      </c>
      <c r="B1780" s="3">
        <f t="shared" si="54"/>
        <v>2016</v>
      </c>
      <c r="C1780" s="3">
        <f t="shared" si="55"/>
        <v>9</v>
      </c>
      <c r="D1780" t="s">
        <v>1706</v>
      </c>
      <c r="E1780" t="s">
        <v>32</v>
      </c>
      <c r="F1780" t="s">
        <v>13</v>
      </c>
      <c r="G1780" t="s">
        <v>14</v>
      </c>
      <c r="H1780" t="s">
        <v>1707</v>
      </c>
      <c r="I1780" s="2">
        <v>159.56</v>
      </c>
      <c r="J1780" s="3">
        <v>5</v>
      </c>
      <c r="K1780" s="2">
        <v>33.909999999999997</v>
      </c>
    </row>
    <row r="1781" spans="1:11" x14ac:dyDescent="0.35">
      <c r="A1781" s="1">
        <v>42615</v>
      </c>
      <c r="B1781" s="3">
        <f t="shared" si="54"/>
        <v>2016</v>
      </c>
      <c r="C1781" s="3">
        <f t="shared" si="55"/>
        <v>9</v>
      </c>
      <c r="D1781" t="s">
        <v>700</v>
      </c>
      <c r="E1781" t="s">
        <v>17</v>
      </c>
      <c r="F1781" t="s">
        <v>18</v>
      </c>
      <c r="G1781" t="s">
        <v>19</v>
      </c>
      <c r="H1781" t="s">
        <v>1708</v>
      </c>
      <c r="I1781" s="2">
        <v>215.98</v>
      </c>
      <c r="J1781" s="3">
        <v>3</v>
      </c>
      <c r="K1781" s="2">
        <v>-2.7</v>
      </c>
    </row>
    <row r="1782" spans="1:11" x14ac:dyDescent="0.35">
      <c r="A1782" s="1">
        <v>42615</v>
      </c>
      <c r="B1782" s="3">
        <f t="shared" si="54"/>
        <v>2016</v>
      </c>
      <c r="C1782" s="3">
        <f t="shared" si="55"/>
        <v>9</v>
      </c>
      <c r="D1782" t="s">
        <v>700</v>
      </c>
      <c r="E1782" t="s">
        <v>17</v>
      </c>
      <c r="F1782" t="s">
        <v>28</v>
      </c>
      <c r="G1782" t="s">
        <v>158</v>
      </c>
      <c r="H1782" t="s">
        <v>1709</v>
      </c>
      <c r="I1782" s="2">
        <v>65.94</v>
      </c>
      <c r="J1782" s="3">
        <v>3</v>
      </c>
      <c r="K1782" s="2">
        <v>30.99</v>
      </c>
    </row>
    <row r="1783" spans="1:11" x14ac:dyDescent="0.35">
      <c r="A1783" s="1">
        <v>42615</v>
      </c>
      <c r="B1783" s="3">
        <f t="shared" si="54"/>
        <v>2016</v>
      </c>
      <c r="C1783" s="3">
        <f t="shared" si="55"/>
        <v>9</v>
      </c>
      <c r="D1783" t="s">
        <v>687</v>
      </c>
      <c r="E1783" t="s">
        <v>45</v>
      </c>
      <c r="F1783" t="s">
        <v>18</v>
      </c>
      <c r="G1783" t="s">
        <v>36</v>
      </c>
      <c r="H1783" t="s">
        <v>1710</v>
      </c>
      <c r="I1783" s="2">
        <v>94.68</v>
      </c>
      <c r="J1783" s="3">
        <v>9</v>
      </c>
      <c r="K1783" s="2">
        <v>31.24</v>
      </c>
    </row>
    <row r="1784" spans="1:11" x14ac:dyDescent="0.35">
      <c r="A1784" s="1">
        <v>42615</v>
      </c>
      <c r="B1784" s="3">
        <f t="shared" si="54"/>
        <v>2016</v>
      </c>
      <c r="C1784" s="3">
        <f t="shared" si="55"/>
        <v>9</v>
      </c>
      <c r="D1784" t="s">
        <v>687</v>
      </c>
      <c r="E1784" t="s">
        <v>45</v>
      </c>
      <c r="F1784" t="s">
        <v>28</v>
      </c>
      <c r="G1784" t="s">
        <v>38</v>
      </c>
      <c r="H1784" t="s">
        <v>476</v>
      </c>
      <c r="I1784" s="2">
        <v>23.67</v>
      </c>
      <c r="J1784" s="3">
        <v>3</v>
      </c>
      <c r="K1784" s="2">
        <v>0.95</v>
      </c>
    </row>
    <row r="1785" spans="1:11" x14ac:dyDescent="0.35">
      <c r="A1785" s="1">
        <v>42615</v>
      </c>
      <c r="B1785" s="3">
        <f t="shared" si="54"/>
        <v>2016</v>
      </c>
      <c r="C1785" s="3">
        <f t="shared" si="55"/>
        <v>9</v>
      </c>
      <c r="D1785" t="s">
        <v>687</v>
      </c>
      <c r="E1785" t="s">
        <v>45</v>
      </c>
      <c r="F1785" t="s">
        <v>13</v>
      </c>
      <c r="G1785" t="s">
        <v>23</v>
      </c>
      <c r="H1785" t="s">
        <v>785</v>
      </c>
      <c r="I1785" s="2">
        <v>1091.17</v>
      </c>
      <c r="J1785" s="3">
        <v>4</v>
      </c>
      <c r="K1785" s="2">
        <v>68.2</v>
      </c>
    </row>
    <row r="1786" spans="1:11" x14ac:dyDescent="0.35">
      <c r="A1786" s="1">
        <v>42615</v>
      </c>
      <c r="B1786" s="3">
        <f t="shared" si="54"/>
        <v>2016</v>
      </c>
      <c r="C1786" s="3">
        <f t="shared" si="55"/>
        <v>9</v>
      </c>
      <c r="D1786" t="s">
        <v>687</v>
      </c>
      <c r="E1786" t="s">
        <v>45</v>
      </c>
      <c r="F1786" t="s">
        <v>28</v>
      </c>
      <c r="G1786" t="s">
        <v>64</v>
      </c>
      <c r="H1786" t="s">
        <v>1711</v>
      </c>
      <c r="I1786" s="2">
        <v>18.690000000000001</v>
      </c>
      <c r="J1786" s="3">
        <v>7</v>
      </c>
      <c r="K1786" s="2">
        <v>5.23</v>
      </c>
    </row>
    <row r="1787" spans="1:11" x14ac:dyDescent="0.35">
      <c r="A1787" s="1">
        <v>42615</v>
      </c>
      <c r="B1787" s="3">
        <f t="shared" si="54"/>
        <v>2016</v>
      </c>
      <c r="C1787" s="3">
        <f t="shared" si="55"/>
        <v>9</v>
      </c>
      <c r="D1787" t="s">
        <v>687</v>
      </c>
      <c r="E1787" t="s">
        <v>45</v>
      </c>
      <c r="F1787" t="s">
        <v>18</v>
      </c>
      <c r="G1787" t="s">
        <v>42</v>
      </c>
      <c r="H1787" t="s">
        <v>758</v>
      </c>
      <c r="I1787" s="2">
        <v>568.73</v>
      </c>
      <c r="J1787" s="3">
        <v>3</v>
      </c>
      <c r="K1787" s="2">
        <v>28.44</v>
      </c>
    </row>
    <row r="1788" spans="1:11" x14ac:dyDescent="0.35">
      <c r="A1788" s="1">
        <v>42615</v>
      </c>
      <c r="B1788" s="3">
        <f t="shared" si="54"/>
        <v>2016</v>
      </c>
      <c r="C1788" s="3">
        <f t="shared" si="55"/>
        <v>9</v>
      </c>
      <c r="D1788" t="s">
        <v>687</v>
      </c>
      <c r="E1788" t="s">
        <v>45</v>
      </c>
      <c r="F1788" t="s">
        <v>28</v>
      </c>
      <c r="G1788" t="s">
        <v>48</v>
      </c>
      <c r="H1788" t="s">
        <v>1246</v>
      </c>
      <c r="I1788" s="2">
        <v>7.31</v>
      </c>
      <c r="J1788" s="3">
        <v>1</v>
      </c>
      <c r="K1788" s="2">
        <v>2.56</v>
      </c>
    </row>
    <row r="1789" spans="1:11" x14ac:dyDescent="0.35">
      <c r="A1789" s="1">
        <v>42645</v>
      </c>
      <c r="B1789" s="3">
        <f t="shared" si="54"/>
        <v>2016</v>
      </c>
      <c r="C1789" s="3">
        <f t="shared" si="55"/>
        <v>10</v>
      </c>
      <c r="D1789" t="s">
        <v>1712</v>
      </c>
      <c r="E1789" t="s">
        <v>22</v>
      </c>
      <c r="F1789" t="s">
        <v>28</v>
      </c>
      <c r="G1789" t="s">
        <v>58</v>
      </c>
      <c r="H1789" t="s">
        <v>846</v>
      </c>
      <c r="I1789" s="2">
        <v>61.44</v>
      </c>
      <c r="J1789" s="3">
        <v>3</v>
      </c>
      <c r="K1789" s="2">
        <v>16.59</v>
      </c>
    </row>
    <row r="1790" spans="1:11" x14ac:dyDescent="0.35">
      <c r="A1790" s="1">
        <v>42645</v>
      </c>
      <c r="B1790" s="3">
        <f t="shared" si="54"/>
        <v>2016</v>
      </c>
      <c r="C1790" s="3">
        <f t="shared" si="55"/>
        <v>10</v>
      </c>
      <c r="D1790" t="s">
        <v>1713</v>
      </c>
      <c r="E1790" t="s">
        <v>211</v>
      </c>
      <c r="F1790" t="s">
        <v>28</v>
      </c>
      <c r="G1790" t="s">
        <v>48</v>
      </c>
      <c r="H1790" t="s">
        <v>855</v>
      </c>
      <c r="I1790" s="2">
        <v>54.79</v>
      </c>
      <c r="J1790" s="3">
        <v>6</v>
      </c>
      <c r="K1790" s="2">
        <v>-40.18</v>
      </c>
    </row>
    <row r="1791" spans="1:11" x14ac:dyDescent="0.35">
      <c r="A1791" s="1">
        <v>42645</v>
      </c>
      <c r="B1791" s="3">
        <f t="shared" si="54"/>
        <v>2016</v>
      </c>
      <c r="C1791" s="3">
        <f t="shared" si="55"/>
        <v>10</v>
      </c>
      <c r="D1791" t="s">
        <v>648</v>
      </c>
      <c r="E1791" t="s">
        <v>575</v>
      </c>
      <c r="F1791" t="s">
        <v>28</v>
      </c>
      <c r="G1791" t="s">
        <v>38</v>
      </c>
      <c r="H1791" t="s">
        <v>328</v>
      </c>
      <c r="I1791" s="2">
        <v>32.479999999999997</v>
      </c>
      <c r="J1791" s="3">
        <v>2</v>
      </c>
      <c r="K1791" s="2">
        <v>4.87</v>
      </c>
    </row>
    <row r="1792" spans="1:11" x14ac:dyDescent="0.35">
      <c r="A1792" s="1">
        <v>42645</v>
      </c>
      <c r="B1792" s="3">
        <f t="shared" si="54"/>
        <v>2016</v>
      </c>
      <c r="C1792" s="3">
        <f t="shared" si="55"/>
        <v>10</v>
      </c>
      <c r="D1792" t="s">
        <v>648</v>
      </c>
      <c r="E1792" t="s">
        <v>575</v>
      </c>
      <c r="F1792" t="s">
        <v>13</v>
      </c>
      <c r="G1792" t="s">
        <v>143</v>
      </c>
      <c r="H1792" t="s">
        <v>1714</v>
      </c>
      <c r="I1792" s="2">
        <v>17499.95</v>
      </c>
      <c r="J1792" s="3">
        <v>5</v>
      </c>
      <c r="K1792" s="2">
        <v>8399.98</v>
      </c>
    </row>
    <row r="1793" spans="1:11" x14ac:dyDescent="0.35">
      <c r="A1793" s="1">
        <v>42645</v>
      </c>
      <c r="B1793" s="3">
        <f t="shared" si="54"/>
        <v>2016</v>
      </c>
      <c r="C1793" s="3">
        <f t="shared" si="55"/>
        <v>10</v>
      </c>
      <c r="D1793" t="s">
        <v>648</v>
      </c>
      <c r="E1793" t="s">
        <v>575</v>
      </c>
      <c r="F1793" t="s">
        <v>28</v>
      </c>
      <c r="G1793" t="s">
        <v>48</v>
      </c>
      <c r="H1793" t="s">
        <v>788</v>
      </c>
      <c r="I1793" s="2">
        <v>735.98</v>
      </c>
      <c r="J1793" s="3">
        <v>2</v>
      </c>
      <c r="K1793" s="2">
        <v>331.19</v>
      </c>
    </row>
    <row r="1794" spans="1:11" x14ac:dyDescent="0.35">
      <c r="A1794" s="1">
        <v>42645</v>
      </c>
      <c r="B1794" s="3">
        <f t="shared" ref="B1794:B1857" si="56">YEAR(A1794)</f>
        <v>2016</v>
      </c>
      <c r="C1794" s="3">
        <f t="shared" ref="C1794:C1857" si="57">MONTH(A1794)</f>
        <v>10</v>
      </c>
      <c r="D1794" t="s">
        <v>648</v>
      </c>
      <c r="E1794" t="s">
        <v>575</v>
      </c>
      <c r="F1794" t="s">
        <v>28</v>
      </c>
      <c r="G1794" t="s">
        <v>48</v>
      </c>
      <c r="H1794" t="s">
        <v>322</v>
      </c>
      <c r="I1794" s="2">
        <v>34.369999999999997</v>
      </c>
      <c r="J1794" s="3">
        <v>7</v>
      </c>
      <c r="K1794" s="2">
        <v>16.84</v>
      </c>
    </row>
    <row r="1795" spans="1:11" x14ac:dyDescent="0.35">
      <c r="A1795" s="1">
        <v>42645</v>
      </c>
      <c r="B1795" s="3">
        <f t="shared" si="56"/>
        <v>2016</v>
      </c>
      <c r="C1795" s="3">
        <f t="shared" si="57"/>
        <v>10</v>
      </c>
      <c r="D1795" t="s">
        <v>648</v>
      </c>
      <c r="E1795" t="s">
        <v>575</v>
      </c>
      <c r="F1795" t="s">
        <v>28</v>
      </c>
      <c r="G1795" t="s">
        <v>64</v>
      </c>
      <c r="H1795" t="s">
        <v>1715</v>
      </c>
      <c r="I1795" s="2">
        <v>33.96</v>
      </c>
      <c r="J1795" s="3">
        <v>2</v>
      </c>
      <c r="K1795" s="2">
        <v>9.51</v>
      </c>
    </row>
    <row r="1796" spans="1:11" x14ac:dyDescent="0.35">
      <c r="A1796" s="1">
        <v>42706</v>
      </c>
      <c r="B1796" s="3">
        <f t="shared" si="56"/>
        <v>2016</v>
      </c>
      <c r="C1796" s="3">
        <f t="shared" si="57"/>
        <v>12</v>
      </c>
      <c r="D1796" t="s">
        <v>1716</v>
      </c>
      <c r="E1796" t="s">
        <v>45</v>
      </c>
      <c r="F1796" t="s">
        <v>28</v>
      </c>
      <c r="G1796" t="s">
        <v>29</v>
      </c>
      <c r="H1796" t="s">
        <v>1362</v>
      </c>
      <c r="I1796" s="2">
        <v>25.92</v>
      </c>
      <c r="J1796" s="3">
        <v>4</v>
      </c>
      <c r="K1796" s="2">
        <v>12.44</v>
      </c>
    </row>
    <row r="1797" spans="1:11" x14ac:dyDescent="0.35">
      <c r="A1797" s="1">
        <v>42706</v>
      </c>
      <c r="B1797" s="3">
        <f t="shared" si="56"/>
        <v>2016</v>
      </c>
      <c r="C1797" s="3">
        <f t="shared" si="57"/>
        <v>12</v>
      </c>
      <c r="D1797" t="s">
        <v>1716</v>
      </c>
      <c r="E1797" t="s">
        <v>45</v>
      </c>
      <c r="F1797" t="s">
        <v>28</v>
      </c>
      <c r="G1797" t="s">
        <v>29</v>
      </c>
      <c r="H1797" t="s">
        <v>1621</v>
      </c>
      <c r="I1797" s="2">
        <v>40.46</v>
      </c>
      <c r="J1797" s="3">
        <v>7</v>
      </c>
      <c r="K1797" s="2">
        <v>19.829999999999998</v>
      </c>
    </row>
    <row r="1798" spans="1:11" x14ac:dyDescent="0.35">
      <c r="A1798" s="1">
        <v>42706</v>
      </c>
      <c r="B1798" s="3">
        <f t="shared" si="56"/>
        <v>2016</v>
      </c>
      <c r="C1798" s="3">
        <f t="shared" si="57"/>
        <v>12</v>
      </c>
      <c r="D1798" t="s">
        <v>1716</v>
      </c>
      <c r="E1798" t="s">
        <v>45</v>
      </c>
      <c r="F1798" t="s">
        <v>28</v>
      </c>
      <c r="G1798" t="s">
        <v>38</v>
      </c>
      <c r="H1798" t="s">
        <v>656</v>
      </c>
      <c r="I1798" s="2">
        <v>33.869999999999997</v>
      </c>
      <c r="J1798" s="3">
        <v>3</v>
      </c>
      <c r="K1798" s="2">
        <v>8.81</v>
      </c>
    </row>
    <row r="1799" spans="1:11" x14ac:dyDescent="0.35">
      <c r="A1799" s="1">
        <v>42706</v>
      </c>
      <c r="B1799" s="3">
        <f t="shared" si="56"/>
        <v>2016</v>
      </c>
      <c r="C1799" s="3">
        <f t="shared" si="57"/>
        <v>12</v>
      </c>
      <c r="D1799" t="s">
        <v>1083</v>
      </c>
      <c r="E1799" t="s">
        <v>45</v>
      </c>
      <c r="F1799" t="s">
        <v>28</v>
      </c>
      <c r="G1799" t="s">
        <v>48</v>
      </c>
      <c r="H1799" t="s">
        <v>1717</v>
      </c>
      <c r="I1799" s="2">
        <v>24.7</v>
      </c>
      <c r="J1799" s="3">
        <v>2</v>
      </c>
      <c r="K1799" s="2">
        <v>9.26</v>
      </c>
    </row>
    <row r="1800" spans="1:11" x14ac:dyDescent="0.35">
      <c r="A1800" s="1">
        <v>42706</v>
      </c>
      <c r="B1800" s="3">
        <f t="shared" si="56"/>
        <v>2016</v>
      </c>
      <c r="C1800" s="3">
        <f t="shared" si="57"/>
        <v>12</v>
      </c>
      <c r="D1800" t="s">
        <v>1083</v>
      </c>
      <c r="E1800" t="s">
        <v>45</v>
      </c>
      <c r="F1800" t="s">
        <v>28</v>
      </c>
      <c r="G1800" t="s">
        <v>58</v>
      </c>
      <c r="H1800" t="s">
        <v>195</v>
      </c>
      <c r="I1800" s="2">
        <v>59.7</v>
      </c>
      <c r="J1800" s="3">
        <v>3</v>
      </c>
      <c r="K1800" s="2">
        <v>26.87</v>
      </c>
    </row>
    <row r="1801" spans="1:11" x14ac:dyDescent="0.35">
      <c r="A1801" s="1">
        <v>42706</v>
      </c>
      <c r="B1801" s="3">
        <f t="shared" si="56"/>
        <v>2016</v>
      </c>
      <c r="C1801" s="3">
        <f t="shared" si="57"/>
        <v>12</v>
      </c>
      <c r="D1801" t="s">
        <v>1083</v>
      </c>
      <c r="E1801" t="s">
        <v>45</v>
      </c>
      <c r="F1801" t="s">
        <v>18</v>
      </c>
      <c r="G1801" t="s">
        <v>36</v>
      </c>
      <c r="H1801" t="s">
        <v>1718</v>
      </c>
      <c r="I1801" s="2">
        <v>14.52</v>
      </c>
      <c r="J1801" s="3">
        <v>3</v>
      </c>
      <c r="K1801" s="2">
        <v>5.66</v>
      </c>
    </row>
    <row r="1802" spans="1:11" x14ac:dyDescent="0.35">
      <c r="A1802" s="1">
        <v>42706</v>
      </c>
      <c r="B1802" s="3">
        <f t="shared" si="56"/>
        <v>2016</v>
      </c>
      <c r="C1802" s="3">
        <f t="shared" si="57"/>
        <v>12</v>
      </c>
      <c r="D1802" t="s">
        <v>1083</v>
      </c>
      <c r="E1802" t="s">
        <v>45</v>
      </c>
      <c r="F1802" t="s">
        <v>28</v>
      </c>
      <c r="G1802" t="s">
        <v>48</v>
      </c>
      <c r="H1802" t="s">
        <v>649</v>
      </c>
      <c r="I1802" s="2">
        <v>104.18</v>
      </c>
      <c r="J1802" s="3">
        <v>3</v>
      </c>
      <c r="K1802" s="2">
        <v>33.86</v>
      </c>
    </row>
    <row r="1803" spans="1:11" x14ac:dyDescent="0.35">
      <c r="A1803" s="1">
        <v>42706</v>
      </c>
      <c r="B1803" s="3">
        <f t="shared" si="56"/>
        <v>2016</v>
      </c>
      <c r="C1803" s="3">
        <f t="shared" si="57"/>
        <v>12</v>
      </c>
      <c r="D1803" t="s">
        <v>346</v>
      </c>
      <c r="E1803" t="s">
        <v>1125</v>
      </c>
      <c r="F1803" t="s">
        <v>28</v>
      </c>
      <c r="G1803" t="s">
        <v>38</v>
      </c>
      <c r="H1803" t="s">
        <v>1719</v>
      </c>
      <c r="I1803" s="2">
        <v>2079.4</v>
      </c>
      <c r="J1803" s="3">
        <v>5</v>
      </c>
      <c r="K1803" s="2">
        <v>582.23</v>
      </c>
    </row>
    <row r="1804" spans="1:11" x14ac:dyDescent="0.35">
      <c r="A1804" s="1">
        <v>42706</v>
      </c>
      <c r="B1804" s="3">
        <f t="shared" si="56"/>
        <v>2016</v>
      </c>
      <c r="C1804" s="3">
        <f t="shared" si="57"/>
        <v>12</v>
      </c>
      <c r="D1804" t="s">
        <v>346</v>
      </c>
      <c r="E1804" t="s">
        <v>1125</v>
      </c>
      <c r="F1804" t="s">
        <v>13</v>
      </c>
      <c r="G1804" t="s">
        <v>23</v>
      </c>
      <c r="H1804" t="s">
        <v>1422</v>
      </c>
      <c r="I1804" s="2">
        <v>629.95000000000005</v>
      </c>
      <c r="J1804" s="3">
        <v>5</v>
      </c>
      <c r="K1804" s="2">
        <v>176.39</v>
      </c>
    </row>
    <row r="1805" spans="1:11" x14ac:dyDescent="0.35">
      <c r="A1805" s="1">
        <v>42706</v>
      </c>
      <c r="B1805" s="3">
        <f t="shared" si="56"/>
        <v>2016</v>
      </c>
      <c r="C1805" s="3">
        <f t="shared" si="57"/>
        <v>12</v>
      </c>
      <c r="D1805" t="s">
        <v>346</v>
      </c>
      <c r="E1805" t="s">
        <v>1125</v>
      </c>
      <c r="F1805" t="s">
        <v>18</v>
      </c>
      <c r="G1805" t="s">
        <v>36</v>
      </c>
      <c r="H1805" t="s">
        <v>1660</v>
      </c>
      <c r="I1805" s="2">
        <v>72.42</v>
      </c>
      <c r="J1805" s="3">
        <v>6</v>
      </c>
      <c r="K1805" s="2">
        <v>23.9</v>
      </c>
    </row>
    <row r="1806" spans="1:11" x14ac:dyDescent="0.35">
      <c r="A1806" s="1">
        <v>42706</v>
      </c>
      <c r="B1806" s="3">
        <f t="shared" si="56"/>
        <v>2016</v>
      </c>
      <c r="C1806" s="3">
        <f t="shared" si="57"/>
        <v>12</v>
      </c>
      <c r="D1806" t="s">
        <v>1720</v>
      </c>
      <c r="E1806" t="s">
        <v>22</v>
      </c>
      <c r="F1806" t="s">
        <v>28</v>
      </c>
      <c r="G1806" t="s">
        <v>48</v>
      </c>
      <c r="H1806" t="s">
        <v>1721</v>
      </c>
      <c r="I1806" s="2">
        <v>415.18</v>
      </c>
      <c r="J1806" s="3">
        <v>3</v>
      </c>
      <c r="K1806" s="2">
        <v>134.93</v>
      </c>
    </row>
    <row r="1807" spans="1:11" x14ac:dyDescent="0.35">
      <c r="A1807" s="1">
        <v>42706</v>
      </c>
      <c r="B1807" s="3">
        <f t="shared" si="56"/>
        <v>2016</v>
      </c>
      <c r="C1807" s="3">
        <f t="shared" si="57"/>
        <v>12</v>
      </c>
      <c r="D1807" t="s">
        <v>1720</v>
      </c>
      <c r="E1807" t="s">
        <v>22</v>
      </c>
      <c r="F1807" t="s">
        <v>28</v>
      </c>
      <c r="G1807" t="s">
        <v>48</v>
      </c>
      <c r="H1807" t="s">
        <v>1039</v>
      </c>
      <c r="I1807" s="2">
        <v>35.229999999999997</v>
      </c>
      <c r="J1807" s="3">
        <v>3</v>
      </c>
      <c r="K1807" s="2">
        <v>11.45</v>
      </c>
    </row>
    <row r="1808" spans="1:11" x14ac:dyDescent="0.35">
      <c r="A1808" s="1">
        <v>42706</v>
      </c>
      <c r="B1808" s="3">
        <f t="shared" si="56"/>
        <v>2016</v>
      </c>
      <c r="C1808" s="3">
        <f t="shared" si="57"/>
        <v>12</v>
      </c>
      <c r="D1808" t="s">
        <v>1720</v>
      </c>
      <c r="E1808" t="s">
        <v>22</v>
      </c>
      <c r="F1808" t="s">
        <v>28</v>
      </c>
      <c r="G1808" t="s">
        <v>29</v>
      </c>
      <c r="H1808" t="s">
        <v>665</v>
      </c>
      <c r="I1808" s="2">
        <v>54.96</v>
      </c>
      <c r="J1808" s="3">
        <v>1</v>
      </c>
      <c r="K1808" s="2">
        <v>26.93</v>
      </c>
    </row>
    <row r="1809" spans="1:11" x14ac:dyDescent="0.35">
      <c r="A1809" s="1">
        <v>42706</v>
      </c>
      <c r="B1809" s="3">
        <f t="shared" si="56"/>
        <v>2016</v>
      </c>
      <c r="C1809" s="3">
        <f t="shared" si="57"/>
        <v>12</v>
      </c>
      <c r="D1809" t="s">
        <v>1221</v>
      </c>
      <c r="E1809" t="s">
        <v>103</v>
      </c>
      <c r="F1809" t="s">
        <v>13</v>
      </c>
      <c r="G1809" t="s">
        <v>14</v>
      </c>
      <c r="H1809" t="s">
        <v>938</v>
      </c>
      <c r="I1809" s="2">
        <v>165.6</v>
      </c>
      <c r="J1809" s="3">
        <v>3</v>
      </c>
      <c r="K1809" s="2">
        <v>-6.21</v>
      </c>
    </row>
    <row r="1810" spans="1:11" x14ac:dyDescent="0.35">
      <c r="A1810" s="1">
        <v>42706</v>
      </c>
      <c r="B1810" s="3">
        <f t="shared" si="56"/>
        <v>2016</v>
      </c>
      <c r="C1810" s="3">
        <f t="shared" si="57"/>
        <v>12</v>
      </c>
      <c r="D1810" t="s">
        <v>1164</v>
      </c>
      <c r="E1810" t="s">
        <v>1451</v>
      </c>
      <c r="F1810" t="s">
        <v>28</v>
      </c>
      <c r="G1810" t="s">
        <v>48</v>
      </c>
      <c r="H1810" t="s">
        <v>1302</v>
      </c>
      <c r="I1810" s="2">
        <v>115.84</v>
      </c>
      <c r="J1810" s="3">
        <v>8</v>
      </c>
      <c r="K1810" s="2">
        <v>54.44</v>
      </c>
    </row>
    <row r="1811" spans="1:11" x14ac:dyDescent="0.35">
      <c r="A1811" s="1">
        <v>42706</v>
      </c>
      <c r="B1811" s="3">
        <f t="shared" si="56"/>
        <v>2016</v>
      </c>
      <c r="C1811" s="3">
        <f t="shared" si="57"/>
        <v>12</v>
      </c>
      <c r="D1811" t="s">
        <v>1647</v>
      </c>
      <c r="E1811" t="s">
        <v>32</v>
      </c>
      <c r="F1811" t="s">
        <v>18</v>
      </c>
      <c r="G1811" t="s">
        <v>237</v>
      </c>
      <c r="H1811" t="s">
        <v>1722</v>
      </c>
      <c r="I1811" s="2">
        <v>781.86</v>
      </c>
      <c r="J1811" s="3">
        <v>10</v>
      </c>
      <c r="K1811" s="2">
        <v>-137.97999999999999</v>
      </c>
    </row>
    <row r="1812" spans="1:11" x14ac:dyDescent="0.35">
      <c r="A1812" s="1">
        <v>42706</v>
      </c>
      <c r="B1812" s="3">
        <f t="shared" si="56"/>
        <v>2016</v>
      </c>
      <c r="C1812" s="3">
        <f t="shared" si="57"/>
        <v>12</v>
      </c>
      <c r="D1812" t="s">
        <v>1647</v>
      </c>
      <c r="E1812" t="s">
        <v>32</v>
      </c>
      <c r="F1812" t="s">
        <v>28</v>
      </c>
      <c r="G1812" t="s">
        <v>29</v>
      </c>
      <c r="H1812" t="s">
        <v>1610</v>
      </c>
      <c r="I1812" s="2">
        <v>30.82</v>
      </c>
      <c r="J1812" s="3">
        <v>9</v>
      </c>
      <c r="K1812" s="2">
        <v>9.6300000000000008</v>
      </c>
    </row>
    <row r="1813" spans="1:11" x14ac:dyDescent="0.35">
      <c r="A1813" s="1">
        <v>42372</v>
      </c>
      <c r="B1813" s="3">
        <f t="shared" si="56"/>
        <v>2016</v>
      </c>
      <c r="C1813" s="3">
        <f t="shared" si="57"/>
        <v>1</v>
      </c>
      <c r="D1813" t="s">
        <v>687</v>
      </c>
      <c r="E1813" t="s">
        <v>45</v>
      </c>
      <c r="F1813" t="s">
        <v>28</v>
      </c>
      <c r="G1813" t="s">
        <v>38</v>
      </c>
      <c r="H1813" t="s">
        <v>41</v>
      </c>
      <c r="I1813" s="2">
        <v>114.46</v>
      </c>
      <c r="J1813" s="3">
        <v>2</v>
      </c>
      <c r="K1813" s="2">
        <v>28.62</v>
      </c>
    </row>
    <row r="1814" spans="1:11" x14ac:dyDescent="0.35">
      <c r="A1814" s="1">
        <v>42372</v>
      </c>
      <c r="B1814" s="3">
        <f t="shared" si="56"/>
        <v>2016</v>
      </c>
      <c r="C1814" s="3">
        <f t="shared" si="57"/>
        <v>1</v>
      </c>
      <c r="D1814" t="s">
        <v>1723</v>
      </c>
      <c r="E1814" t="s">
        <v>32</v>
      </c>
      <c r="F1814" t="s">
        <v>13</v>
      </c>
      <c r="G1814" t="s">
        <v>14</v>
      </c>
      <c r="H1814" t="s">
        <v>1724</v>
      </c>
      <c r="I1814" s="2">
        <v>30.08</v>
      </c>
      <c r="J1814" s="3">
        <v>2</v>
      </c>
      <c r="K1814" s="2">
        <v>-5.26</v>
      </c>
    </row>
    <row r="1815" spans="1:11" x14ac:dyDescent="0.35">
      <c r="A1815" s="1">
        <v>42372</v>
      </c>
      <c r="B1815" s="3">
        <f t="shared" si="56"/>
        <v>2016</v>
      </c>
      <c r="C1815" s="3">
        <f t="shared" si="57"/>
        <v>1</v>
      </c>
      <c r="D1815" t="s">
        <v>1723</v>
      </c>
      <c r="E1815" t="s">
        <v>32</v>
      </c>
      <c r="F1815" t="s">
        <v>13</v>
      </c>
      <c r="G1815" t="s">
        <v>14</v>
      </c>
      <c r="H1815" t="s">
        <v>938</v>
      </c>
      <c r="I1815" s="2">
        <v>165.6</v>
      </c>
      <c r="J1815" s="3">
        <v>3</v>
      </c>
      <c r="K1815" s="2">
        <v>-6.21</v>
      </c>
    </row>
    <row r="1816" spans="1:11" x14ac:dyDescent="0.35">
      <c r="A1816" s="1">
        <v>42372</v>
      </c>
      <c r="B1816" s="3">
        <f t="shared" si="56"/>
        <v>2016</v>
      </c>
      <c r="C1816" s="3">
        <f t="shared" si="57"/>
        <v>1</v>
      </c>
      <c r="D1816" t="s">
        <v>1723</v>
      </c>
      <c r="E1816" t="s">
        <v>32</v>
      </c>
      <c r="F1816" t="s">
        <v>13</v>
      </c>
      <c r="G1816" t="s">
        <v>23</v>
      </c>
      <c r="H1816" t="s">
        <v>156</v>
      </c>
      <c r="I1816" s="2">
        <v>180.96</v>
      </c>
      <c r="J1816" s="3">
        <v>5</v>
      </c>
      <c r="K1816" s="2">
        <v>13.57</v>
      </c>
    </row>
    <row r="1817" spans="1:11" x14ac:dyDescent="0.35">
      <c r="A1817" s="1">
        <v>42372</v>
      </c>
      <c r="B1817" s="3">
        <f t="shared" si="56"/>
        <v>2016</v>
      </c>
      <c r="C1817" s="3">
        <f t="shared" si="57"/>
        <v>1</v>
      </c>
      <c r="D1817" t="s">
        <v>1725</v>
      </c>
      <c r="E1817" t="s">
        <v>339</v>
      </c>
      <c r="F1817" t="s">
        <v>18</v>
      </c>
      <c r="G1817" t="s">
        <v>42</v>
      </c>
      <c r="H1817" t="s">
        <v>1726</v>
      </c>
      <c r="I1817" s="2">
        <v>1592.85</v>
      </c>
      <c r="J1817" s="3">
        <v>7</v>
      </c>
      <c r="K1817" s="2">
        <v>350.43</v>
      </c>
    </row>
    <row r="1818" spans="1:11" x14ac:dyDescent="0.35">
      <c r="A1818" s="1">
        <v>42372</v>
      </c>
      <c r="B1818" s="3">
        <f t="shared" si="56"/>
        <v>2016</v>
      </c>
      <c r="C1818" s="3">
        <f t="shared" si="57"/>
        <v>1</v>
      </c>
      <c r="D1818" t="s">
        <v>1725</v>
      </c>
      <c r="E1818" t="s">
        <v>339</v>
      </c>
      <c r="F1818" t="s">
        <v>28</v>
      </c>
      <c r="G1818" t="s">
        <v>48</v>
      </c>
      <c r="H1818" t="s">
        <v>454</v>
      </c>
      <c r="I1818" s="2">
        <v>11.88</v>
      </c>
      <c r="J1818" s="3">
        <v>2</v>
      </c>
      <c r="K1818" s="2">
        <v>5.35</v>
      </c>
    </row>
    <row r="1819" spans="1:11" x14ac:dyDescent="0.35">
      <c r="A1819" s="1">
        <v>42403</v>
      </c>
      <c r="B1819" s="3">
        <f t="shared" si="56"/>
        <v>2016</v>
      </c>
      <c r="C1819" s="3">
        <f t="shared" si="57"/>
        <v>2</v>
      </c>
      <c r="D1819" t="s">
        <v>223</v>
      </c>
      <c r="E1819" t="s">
        <v>118</v>
      </c>
      <c r="F1819" t="s">
        <v>18</v>
      </c>
      <c r="G1819" t="s">
        <v>19</v>
      </c>
      <c r="H1819" t="s">
        <v>147</v>
      </c>
      <c r="I1819" s="2">
        <v>866.4</v>
      </c>
      <c r="J1819" s="3">
        <v>4</v>
      </c>
      <c r="K1819" s="2">
        <v>225.26</v>
      </c>
    </row>
    <row r="1820" spans="1:11" x14ac:dyDescent="0.35">
      <c r="A1820" s="1">
        <v>42432</v>
      </c>
      <c r="B1820" s="3">
        <f t="shared" si="56"/>
        <v>2016</v>
      </c>
      <c r="C1820" s="3">
        <f t="shared" si="57"/>
        <v>3</v>
      </c>
      <c r="D1820" t="s">
        <v>755</v>
      </c>
      <c r="E1820" t="s">
        <v>876</v>
      </c>
      <c r="F1820" t="s">
        <v>28</v>
      </c>
      <c r="G1820" t="s">
        <v>48</v>
      </c>
      <c r="H1820" t="s">
        <v>707</v>
      </c>
      <c r="I1820" s="2">
        <v>447.86</v>
      </c>
      <c r="J1820" s="3">
        <v>7</v>
      </c>
      <c r="K1820" s="2">
        <v>219.45</v>
      </c>
    </row>
    <row r="1821" spans="1:11" x14ac:dyDescent="0.35">
      <c r="A1821" s="1">
        <v>42432</v>
      </c>
      <c r="B1821" s="3">
        <f t="shared" si="56"/>
        <v>2016</v>
      </c>
      <c r="C1821" s="3">
        <f t="shared" si="57"/>
        <v>3</v>
      </c>
      <c r="D1821" t="s">
        <v>755</v>
      </c>
      <c r="E1821" t="s">
        <v>876</v>
      </c>
      <c r="F1821" t="s">
        <v>13</v>
      </c>
      <c r="G1821" t="s">
        <v>23</v>
      </c>
      <c r="H1821" t="s">
        <v>217</v>
      </c>
      <c r="I1821" s="2">
        <v>479.95</v>
      </c>
      <c r="J1821" s="3">
        <v>5</v>
      </c>
      <c r="K1821" s="2">
        <v>129.59</v>
      </c>
    </row>
    <row r="1822" spans="1:11" x14ac:dyDescent="0.35">
      <c r="A1822" s="1">
        <v>42432</v>
      </c>
      <c r="B1822" s="3">
        <f t="shared" si="56"/>
        <v>2016</v>
      </c>
      <c r="C1822" s="3">
        <f t="shared" si="57"/>
        <v>3</v>
      </c>
      <c r="D1822" t="s">
        <v>755</v>
      </c>
      <c r="E1822" t="s">
        <v>876</v>
      </c>
      <c r="F1822" t="s">
        <v>28</v>
      </c>
      <c r="G1822" t="s">
        <v>29</v>
      </c>
      <c r="H1822" t="s">
        <v>382</v>
      </c>
      <c r="I1822" s="2">
        <v>166.44</v>
      </c>
      <c r="J1822" s="3">
        <v>3</v>
      </c>
      <c r="K1822" s="2">
        <v>79.89</v>
      </c>
    </row>
    <row r="1823" spans="1:11" x14ac:dyDescent="0.35">
      <c r="A1823" s="1">
        <v>42432</v>
      </c>
      <c r="B1823" s="3">
        <f t="shared" si="56"/>
        <v>2016</v>
      </c>
      <c r="C1823" s="3">
        <f t="shared" si="57"/>
        <v>3</v>
      </c>
      <c r="D1823" t="s">
        <v>1727</v>
      </c>
      <c r="E1823" t="s">
        <v>32</v>
      </c>
      <c r="F1823" t="s">
        <v>28</v>
      </c>
      <c r="G1823" t="s">
        <v>29</v>
      </c>
      <c r="H1823" t="s">
        <v>1728</v>
      </c>
      <c r="I1823" s="2">
        <v>42.78</v>
      </c>
      <c r="J1823" s="3">
        <v>7</v>
      </c>
      <c r="K1823" s="2">
        <v>15.51</v>
      </c>
    </row>
    <row r="1824" spans="1:11" x14ac:dyDescent="0.35">
      <c r="A1824" s="1">
        <v>42432</v>
      </c>
      <c r="B1824" s="3">
        <f t="shared" si="56"/>
        <v>2016</v>
      </c>
      <c r="C1824" s="3">
        <f t="shared" si="57"/>
        <v>3</v>
      </c>
      <c r="D1824" t="s">
        <v>1727</v>
      </c>
      <c r="E1824" t="s">
        <v>32</v>
      </c>
      <c r="F1824" t="s">
        <v>18</v>
      </c>
      <c r="G1824" t="s">
        <v>19</v>
      </c>
      <c r="H1824" t="s">
        <v>1201</v>
      </c>
      <c r="I1824" s="2">
        <v>563.42999999999995</v>
      </c>
      <c r="J1824" s="3">
        <v>5</v>
      </c>
      <c r="K1824" s="2">
        <v>-56.34</v>
      </c>
    </row>
    <row r="1825" spans="1:11" x14ac:dyDescent="0.35">
      <c r="A1825" s="1">
        <v>42432</v>
      </c>
      <c r="B1825" s="3">
        <f t="shared" si="56"/>
        <v>2016</v>
      </c>
      <c r="C1825" s="3">
        <f t="shared" si="57"/>
        <v>3</v>
      </c>
      <c r="D1825" t="s">
        <v>1623</v>
      </c>
      <c r="E1825" t="s">
        <v>575</v>
      </c>
      <c r="F1825" t="s">
        <v>13</v>
      </c>
      <c r="G1825" t="s">
        <v>23</v>
      </c>
      <c r="H1825" t="s">
        <v>1729</v>
      </c>
      <c r="I1825" s="2">
        <v>134.85</v>
      </c>
      <c r="J1825" s="3">
        <v>3</v>
      </c>
      <c r="K1825" s="2">
        <v>37.76</v>
      </c>
    </row>
    <row r="1826" spans="1:11" x14ac:dyDescent="0.35">
      <c r="A1826" s="1">
        <v>42432</v>
      </c>
      <c r="B1826" s="3">
        <f t="shared" si="56"/>
        <v>2016</v>
      </c>
      <c r="C1826" s="3">
        <f t="shared" si="57"/>
        <v>3</v>
      </c>
      <c r="D1826" t="s">
        <v>401</v>
      </c>
      <c r="E1826" t="s">
        <v>32</v>
      </c>
      <c r="F1826" t="s">
        <v>18</v>
      </c>
      <c r="G1826" t="s">
        <v>42</v>
      </c>
      <c r="H1826" t="s">
        <v>1730</v>
      </c>
      <c r="I1826" s="2">
        <v>637.9</v>
      </c>
      <c r="J1826" s="3">
        <v>3</v>
      </c>
      <c r="K1826" s="2">
        <v>-127.58</v>
      </c>
    </row>
    <row r="1827" spans="1:11" x14ac:dyDescent="0.35">
      <c r="A1827" s="1">
        <v>42432</v>
      </c>
      <c r="B1827" s="3">
        <f t="shared" si="56"/>
        <v>2016</v>
      </c>
      <c r="C1827" s="3">
        <f t="shared" si="57"/>
        <v>3</v>
      </c>
      <c r="D1827" t="s">
        <v>401</v>
      </c>
      <c r="E1827" t="s">
        <v>32</v>
      </c>
      <c r="F1827" t="s">
        <v>13</v>
      </c>
      <c r="G1827" t="s">
        <v>204</v>
      </c>
      <c r="H1827" t="s">
        <v>1404</v>
      </c>
      <c r="I1827" s="2">
        <v>287.91000000000003</v>
      </c>
      <c r="J1827" s="3">
        <v>3</v>
      </c>
      <c r="K1827" s="2">
        <v>33.590000000000003</v>
      </c>
    </row>
    <row r="1828" spans="1:11" x14ac:dyDescent="0.35">
      <c r="A1828" s="1">
        <v>42432</v>
      </c>
      <c r="B1828" s="3">
        <f t="shared" si="56"/>
        <v>2016</v>
      </c>
      <c r="C1828" s="3">
        <f t="shared" si="57"/>
        <v>3</v>
      </c>
      <c r="D1828" t="s">
        <v>401</v>
      </c>
      <c r="E1828" t="s">
        <v>32</v>
      </c>
      <c r="F1828" t="s">
        <v>28</v>
      </c>
      <c r="G1828" t="s">
        <v>158</v>
      </c>
      <c r="H1828" t="s">
        <v>1394</v>
      </c>
      <c r="I1828" s="2">
        <v>36.6</v>
      </c>
      <c r="J1828" s="3">
        <v>3</v>
      </c>
      <c r="K1828" s="2">
        <v>11.9</v>
      </c>
    </row>
    <row r="1829" spans="1:11" x14ac:dyDescent="0.35">
      <c r="A1829" s="1">
        <v>42432</v>
      </c>
      <c r="B1829" s="3">
        <f t="shared" si="56"/>
        <v>2016</v>
      </c>
      <c r="C1829" s="3">
        <f t="shared" si="57"/>
        <v>3</v>
      </c>
      <c r="D1829" t="s">
        <v>1731</v>
      </c>
      <c r="E1829" t="s">
        <v>45</v>
      </c>
      <c r="F1829" t="s">
        <v>28</v>
      </c>
      <c r="G1829" t="s">
        <v>215</v>
      </c>
      <c r="H1829" t="s">
        <v>1732</v>
      </c>
      <c r="I1829" s="2">
        <v>25.35</v>
      </c>
      <c r="J1829" s="3">
        <v>3</v>
      </c>
      <c r="K1829" s="2">
        <v>7.61</v>
      </c>
    </row>
    <row r="1830" spans="1:11" x14ac:dyDescent="0.35">
      <c r="A1830" s="1">
        <v>42432</v>
      </c>
      <c r="B1830" s="3">
        <f t="shared" si="56"/>
        <v>2016</v>
      </c>
      <c r="C1830" s="3">
        <f t="shared" si="57"/>
        <v>3</v>
      </c>
      <c r="D1830" t="s">
        <v>1731</v>
      </c>
      <c r="E1830" t="s">
        <v>45</v>
      </c>
      <c r="F1830" t="s">
        <v>18</v>
      </c>
      <c r="G1830" t="s">
        <v>36</v>
      </c>
      <c r="H1830" t="s">
        <v>1227</v>
      </c>
      <c r="I1830" s="2">
        <v>35.28</v>
      </c>
      <c r="J1830" s="3">
        <v>3</v>
      </c>
      <c r="K1830" s="2">
        <v>12</v>
      </c>
    </row>
    <row r="1831" spans="1:11" x14ac:dyDescent="0.35">
      <c r="A1831" s="1">
        <v>42432</v>
      </c>
      <c r="B1831" s="3">
        <f t="shared" si="56"/>
        <v>2016</v>
      </c>
      <c r="C1831" s="3">
        <f t="shared" si="57"/>
        <v>3</v>
      </c>
      <c r="D1831" t="s">
        <v>1241</v>
      </c>
      <c r="E1831" t="s">
        <v>32</v>
      </c>
      <c r="F1831" t="s">
        <v>28</v>
      </c>
      <c r="G1831" t="s">
        <v>215</v>
      </c>
      <c r="H1831" t="s">
        <v>1733</v>
      </c>
      <c r="I1831" s="2">
        <v>3930.07</v>
      </c>
      <c r="J1831" s="3">
        <v>3</v>
      </c>
      <c r="K1831" s="2">
        <v>-786.01</v>
      </c>
    </row>
    <row r="1832" spans="1:11" x14ac:dyDescent="0.35">
      <c r="A1832" s="1">
        <v>42432</v>
      </c>
      <c r="B1832" s="3">
        <f t="shared" si="56"/>
        <v>2016</v>
      </c>
      <c r="C1832" s="3">
        <f t="shared" si="57"/>
        <v>3</v>
      </c>
      <c r="D1832" t="s">
        <v>1241</v>
      </c>
      <c r="E1832" t="s">
        <v>32</v>
      </c>
      <c r="F1832" t="s">
        <v>28</v>
      </c>
      <c r="G1832" t="s">
        <v>33</v>
      </c>
      <c r="H1832" t="s">
        <v>894</v>
      </c>
      <c r="I1832" s="2">
        <v>2.2999999999999998</v>
      </c>
      <c r="J1832" s="3">
        <v>1</v>
      </c>
      <c r="K1832" s="2">
        <v>0.78</v>
      </c>
    </row>
    <row r="1833" spans="1:11" x14ac:dyDescent="0.35">
      <c r="A1833" s="1">
        <v>42432</v>
      </c>
      <c r="B1833" s="3">
        <f t="shared" si="56"/>
        <v>2016</v>
      </c>
      <c r="C1833" s="3">
        <f t="shared" si="57"/>
        <v>3</v>
      </c>
      <c r="D1833" t="s">
        <v>1241</v>
      </c>
      <c r="E1833" t="s">
        <v>32</v>
      </c>
      <c r="F1833" t="s">
        <v>13</v>
      </c>
      <c r="G1833" t="s">
        <v>23</v>
      </c>
      <c r="H1833" t="s">
        <v>919</v>
      </c>
      <c r="I1833" s="2">
        <v>431.98</v>
      </c>
      <c r="J1833" s="3">
        <v>3</v>
      </c>
      <c r="K1833" s="2">
        <v>32.4</v>
      </c>
    </row>
    <row r="1834" spans="1:11" x14ac:dyDescent="0.35">
      <c r="A1834" s="1">
        <v>42432</v>
      </c>
      <c r="B1834" s="3">
        <f t="shared" si="56"/>
        <v>2016</v>
      </c>
      <c r="C1834" s="3">
        <f t="shared" si="57"/>
        <v>3</v>
      </c>
      <c r="D1834" t="s">
        <v>1241</v>
      </c>
      <c r="E1834" t="s">
        <v>32</v>
      </c>
      <c r="F1834" t="s">
        <v>13</v>
      </c>
      <c r="G1834" t="s">
        <v>14</v>
      </c>
      <c r="H1834" t="s">
        <v>987</v>
      </c>
      <c r="I1834" s="2">
        <v>41.72</v>
      </c>
      <c r="J1834" s="3">
        <v>7</v>
      </c>
      <c r="K1834" s="2">
        <v>5.74</v>
      </c>
    </row>
    <row r="1835" spans="1:11" x14ac:dyDescent="0.35">
      <c r="A1835" s="1">
        <v>42463</v>
      </c>
      <c r="B1835" s="3">
        <f t="shared" si="56"/>
        <v>2016</v>
      </c>
      <c r="C1835" s="3">
        <f t="shared" si="57"/>
        <v>4</v>
      </c>
      <c r="D1835" t="s">
        <v>678</v>
      </c>
      <c r="E1835" t="s">
        <v>89</v>
      </c>
      <c r="F1835" t="s">
        <v>28</v>
      </c>
      <c r="G1835" t="s">
        <v>48</v>
      </c>
      <c r="H1835" t="s">
        <v>1734</v>
      </c>
      <c r="I1835" s="2">
        <v>99.85</v>
      </c>
      <c r="J1835" s="3">
        <v>9</v>
      </c>
      <c r="K1835" s="2">
        <v>-83.21</v>
      </c>
    </row>
    <row r="1836" spans="1:11" x14ac:dyDescent="0.35">
      <c r="A1836" s="1">
        <v>42463</v>
      </c>
      <c r="B1836" s="3">
        <f t="shared" si="56"/>
        <v>2016</v>
      </c>
      <c r="C1836" s="3">
        <f t="shared" si="57"/>
        <v>4</v>
      </c>
      <c r="D1836" t="s">
        <v>1735</v>
      </c>
      <c r="E1836" t="s">
        <v>575</v>
      </c>
      <c r="F1836" t="s">
        <v>18</v>
      </c>
      <c r="G1836" t="s">
        <v>36</v>
      </c>
      <c r="H1836" t="s">
        <v>1531</v>
      </c>
      <c r="I1836" s="2">
        <v>71.12</v>
      </c>
      <c r="J1836" s="3">
        <v>4</v>
      </c>
      <c r="K1836" s="2">
        <v>22.05</v>
      </c>
    </row>
    <row r="1837" spans="1:11" x14ac:dyDescent="0.35">
      <c r="A1837" s="1">
        <v>42463</v>
      </c>
      <c r="B1837" s="3">
        <f t="shared" si="56"/>
        <v>2016</v>
      </c>
      <c r="C1837" s="3">
        <f t="shared" si="57"/>
        <v>4</v>
      </c>
      <c r="D1837" t="s">
        <v>1735</v>
      </c>
      <c r="E1837" t="s">
        <v>575</v>
      </c>
      <c r="F1837" t="s">
        <v>13</v>
      </c>
      <c r="G1837" t="s">
        <v>23</v>
      </c>
      <c r="H1837" t="s">
        <v>109</v>
      </c>
      <c r="I1837" s="2">
        <v>259.95999999999998</v>
      </c>
      <c r="J1837" s="3">
        <v>4</v>
      </c>
      <c r="K1837" s="2">
        <v>124.78</v>
      </c>
    </row>
    <row r="1838" spans="1:11" x14ac:dyDescent="0.35">
      <c r="A1838" s="1">
        <v>42463</v>
      </c>
      <c r="B1838" s="3">
        <f t="shared" si="56"/>
        <v>2016</v>
      </c>
      <c r="C1838" s="3">
        <f t="shared" si="57"/>
        <v>4</v>
      </c>
      <c r="D1838" t="s">
        <v>495</v>
      </c>
      <c r="E1838" t="s">
        <v>32</v>
      </c>
      <c r="F1838" t="s">
        <v>28</v>
      </c>
      <c r="G1838" t="s">
        <v>29</v>
      </c>
      <c r="H1838" t="s">
        <v>1610</v>
      </c>
      <c r="I1838" s="2">
        <v>10.27</v>
      </c>
      <c r="J1838" s="3">
        <v>3</v>
      </c>
      <c r="K1838" s="2">
        <v>3.21</v>
      </c>
    </row>
    <row r="1839" spans="1:11" x14ac:dyDescent="0.35">
      <c r="A1839" s="1">
        <v>42493</v>
      </c>
      <c r="B1839" s="3">
        <f t="shared" si="56"/>
        <v>2016</v>
      </c>
      <c r="C1839" s="3">
        <f t="shared" si="57"/>
        <v>5</v>
      </c>
      <c r="D1839" t="s">
        <v>1297</v>
      </c>
      <c r="E1839" t="s">
        <v>26</v>
      </c>
      <c r="F1839" t="s">
        <v>28</v>
      </c>
      <c r="G1839" t="s">
        <v>48</v>
      </c>
      <c r="H1839" t="s">
        <v>1703</v>
      </c>
      <c r="I1839" s="2">
        <v>2.1800000000000002</v>
      </c>
      <c r="J1839" s="3">
        <v>1</v>
      </c>
      <c r="K1839" s="2">
        <v>-3.6</v>
      </c>
    </row>
    <row r="1840" spans="1:11" x14ac:dyDescent="0.35">
      <c r="A1840" s="1">
        <v>42493</v>
      </c>
      <c r="B1840" s="3">
        <f t="shared" si="56"/>
        <v>2016</v>
      </c>
      <c r="C1840" s="3">
        <f t="shared" si="57"/>
        <v>5</v>
      </c>
      <c r="D1840" t="s">
        <v>1297</v>
      </c>
      <c r="E1840" t="s">
        <v>26</v>
      </c>
      <c r="F1840" t="s">
        <v>28</v>
      </c>
      <c r="G1840" t="s">
        <v>64</v>
      </c>
      <c r="H1840" t="s">
        <v>1736</v>
      </c>
      <c r="I1840" s="2">
        <v>27.38</v>
      </c>
      <c r="J1840" s="3">
        <v>7</v>
      </c>
      <c r="K1840" s="2">
        <v>2.74</v>
      </c>
    </row>
    <row r="1841" spans="1:11" x14ac:dyDescent="0.35">
      <c r="A1841" s="1">
        <v>42493</v>
      </c>
      <c r="B1841" s="3">
        <f t="shared" si="56"/>
        <v>2016</v>
      </c>
      <c r="C1841" s="3">
        <f t="shared" si="57"/>
        <v>5</v>
      </c>
      <c r="D1841" t="s">
        <v>1297</v>
      </c>
      <c r="E1841" t="s">
        <v>26</v>
      </c>
      <c r="F1841" t="s">
        <v>28</v>
      </c>
      <c r="G1841" t="s">
        <v>58</v>
      </c>
      <c r="H1841" t="s">
        <v>998</v>
      </c>
      <c r="I1841" s="2">
        <v>26.41</v>
      </c>
      <c r="J1841" s="3">
        <v>3</v>
      </c>
      <c r="K1841" s="2">
        <v>-71.3</v>
      </c>
    </row>
    <row r="1842" spans="1:11" x14ac:dyDescent="0.35">
      <c r="A1842" s="1">
        <v>42493</v>
      </c>
      <c r="B1842" s="3">
        <f t="shared" si="56"/>
        <v>2016</v>
      </c>
      <c r="C1842" s="3">
        <f t="shared" si="57"/>
        <v>5</v>
      </c>
      <c r="D1842" t="s">
        <v>1737</v>
      </c>
      <c r="E1842" t="s">
        <v>131</v>
      </c>
      <c r="F1842" t="s">
        <v>13</v>
      </c>
      <c r="G1842" t="s">
        <v>14</v>
      </c>
      <c r="H1842" t="s">
        <v>1025</v>
      </c>
      <c r="I1842" s="2">
        <v>132.52000000000001</v>
      </c>
      <c r="J1842" s="3">
        <v>5</v>
      </c>
      <c r="K1842" s="2">
        <v>34.79</v>
      </c>
    </row>
    <row r="1843" spans="1:11" x14ac:dyDescent="0.35">
      <c r="A1843" s="1">
        <v>42493</v>
      </c>
      <c r="B1843" s="3">
        <f t="shared" si="56"/>
        <v>2016</v>
      </c>
      <c r="C1843" s="3">
        <f t="shared" si="57"/>
        <v>5</v>
      </c>
      <c r="D1843" t="s">
        <v>1737</v>
      </c>
      <c r="E1843" t="s">
        <v>131</v>
      </c>
      <c r="F1843" t="s">
        <v>28</v>
      </c>
      <c r="G1843" t="s">
        <v>38</v>
      </c>
      <c r="H1843" t="s">
        <v>1089</v>
      </c>
      <c r="I1843" s="2">
        <v>195.64</v>
      </c>
      <c r="J1843" s="3">
        <v>5</v>
      </c>
      <c r="K1843" s="2">
        <v>-44.02</v>
      </c>
    </row>
    <row r="1844" spans="1:11" x14ac:dyDescent="0.35">
      <c r="A1844" s="1">
        <v>42493</v>
      </c>
      <c r="B1844" s="3">
        <f t="shared" si="56"/>
        <v>2016</v>
      </c>
      <c r="C1844" s="3">
        <f t="shared" si="57"/>
        <v>5</v>
      </c>
      <c r="D1844" t="s">
        <v>1737</v>
      </c>
      <c r="E1844" t="s">
        <v>131</v>
      </c>
      <c r="F1844" t="s">
        <v>18</v>
      </c>
      <c r="G1844" t="s">
        <v>36</v>
      </c>
      <c r="H1844" t="s">
        <v>1738</v>
      </c>
      <c r="I1844" s="2">
        <v>51.97</v>
      </c>
      <c r="J1844" s="3">
        <v>2</v>
      </c>
      <c r="K1844" s="2">
        <v>10.39</v>
      </c>
    </row>
    <row r="1845" spans="1:11" x14ac:dyDescent="0.35">
      <c r="A1845" s="1">
        <v>42493</v>
      </c>
      <c r="B1845" s="3">
        <f t="shared" si="56"/>
        <v>2016</v>
      </c>
      <c r="C1845" s="3">
        <f t="shared" si="57"/>
        <v>5</v>
      </c>
      <c r="D1845" t="s">
        <v>1737</v>
      </c>
      <c r="E1845" t="s">
        <v>131</v>
      </c>
      <c r="F1845" t="s">
        <v>13</v>
      </c>
      <c r="G1845" t="s">
        <v>14</v>
      </c>
      <c r="H1845" t="s">
        <v>1348</v>
      </c>
      <c r="I1845" s="2">
        <v>431.98</v>
      </c>
      <c r="J1845" s="3">
        <v>3</v>
      </c>
      <c r="K1845" s="2">
        <v>-75.599999999999994</v>
      </c>
    </row>
    <row r="1846" spans="1:11" x14ac:dyDescent="0.35">
      <c r="A1846" s="1">
        <v>42493</v>
      </c>
      <c r="B1846" s="3">
        <f t="shared" si="56"/>
        <v>2016</v>
      </c>
      <c r="C1846" s="3">
        <f t="shared" si="57"/>
        <v>5</v>
      </c>
      <c r="D1846" t="s">
        <v>1737</v>
      </c>
      <c r="E1846" t="s">
        <v>131</v>
      </c>
      <c r="F1846" t="s">
        <v>13</v>
      </c>
      <c r="G1846" t="s">
        <v>204</v>
      </c>
      <c r="H1846" t="s">
        <v>1739</v>
      </c>
      <c r="I1846" s="2">
        <v>224.94</v>
      </c>
      <c r="J1846" s="3">
        <v>3</v>
      </c>
      <c r="K1846" s="2">
        <v>-164.95</v>
      </c>
    </row>
    <row r="1847" spans="1:11" x14ac:dyDescent="0.35">
      <c r="A1847" s="1">
        <v>42493</v>
      </c>
      <c r="B1847" s="3">
        <f t="shared" si="56"/>
        <v>2016</v>
      </c>
      <c r="C1847" s="3">
        <f t="shared" si="57"/>
        <v>5</v>
      </c>
      <c r="D1847" t="s">
        <v>1737</v>
      </c>
      <c r="E1847" t="s">
        <v>131</v>
      </c>
      <c r="F1847" t="s">
        <v>28</v>
      </c>
      <c r="G1847" t="s">
        <v>46</v>
      </c>
      <c r="H1847" t="s">
        <v>1740</v>
      </c>
      <c r="I1847" s="2">
        <v>6</v>
      </c>
      <c r="J1847" s="3">
        <v>2</v>
      </c>
      <c r="K1847" s="2">
        <v>2.1</v>
      </c>
    </row>
    <row r="1848" spans="1:11" x14ac:dyDescent="0.35">
      <c r="A1848" s="1">
        <v>42524</v>
      </c>
      <c r="B1848" s="3">
        <f t="shared" si="56"/>
        <v>2016</v>
      </c>
      <c r="C1848" s="3">
        <f t="shared" si="57"/>
        <v>6</v>
      </c>
      <c r="D1848" t="s">
        <v>1396</v>
      </c>
      <c r="E1848" t="s">
        <v>45</v>
      </c>
      <c r="F1848" t="s">
        <v>18</v>
      </c>
      <c r="G1848" t="s">
        <v>42</v>
      </c>
      <c r="H1848" t="s">
        <v>1741</v>
      </c>
      <c r="I1848" s="2">
        <v>71.09</v>
      </c>
      <c r="J1848" s="3">
        <v>2</v>
      </c>
      <c r="K1848" s="2">
        <v>-1.78</v>
      </c>
    </row>
    <row r="1849" spans="1:11" x14ac:dyDescent="0.35">
      <c r="A1849" s="1">
        <v>42554</v>
      </c>
      <c r="B1849" s="3">
        <f t="shared" si="56"/>
        <v>2016</v>
      </c>
      <c r="C1849" s="3">
        <f t="shared" si="57"/>
        <v>7</v>
      </c>
      <c r="D1849" t="s">
        <v>1742</v>
      </c>
      <c r="E1849" t="s">
        <v>45</v>
      </c>
      <c r="F1849" t="s">
        <v>28</v>
      </c>
      <c r="G1849" t="s">
        <v>29</v>
      </c>
      <c r="H1849" t="s">
        <v>920</v>
      </c>
      <c r="I1849" s="2">
        <v>12.96</v>
      </c>
      <c r="J1849" s="3">
        <v>2</v>
      </c>
      <c r="K1849" s="2">
        <v>6.22</v>
      </c>
    </row>
    <row r="1850" spans="1:11" x14ac:dyDescent="0.35">
      <c r="A1850" s="1">
        <v>42554</v>
      </c>
      <c r="B1850" s="3">
        <f t="shared" si="56"/>
        <v>2016</v>
      </c>
      <c r="C1850" s="3">
        <f t="shared" si="57"/>
        <v>7</v>
      </c>
      <c r="D1850" t="s">
        <v>1742</v>
      </c>
      <c r="E1850" t="s">
        <v>45</v>
      </c>
      <c r="F1850" t="s">
        <v>28</v>
      </c>
      <c r="G1850" t="s">
        <v>33</v>
      </c>
      <c r="H1850" t="s">
        <v>1070</v>
      </c>
      <c r="I1850" s="2">
        <v>3.96</v>
      </c>
      <c r="J1850" s="3">
        <v>2</v>
      </c>
      <c r="K1850" s="2">
        <v>0.08</v>
      </c>
    </row>
    <row r="1851" spans="1:11" x14ac:dyDescent="0.35">
      <c r="A1851" s="1">
        <v>42554</v>
      </c>
      <c r="B1851" s="3">
        <f t="shared" si="56"/>
        <v>2016</v>
      </c>
      <c r="C1851" s="3">
        <f t="shared" si="57"/>
        <v>7</v>
      </c>
      <c r="D1851" t="s">
        <v>1202</v>
      </c>
      <c r="E1851" t="s">
        <v>22</v>
      </c>
      <c r="F1851" t="s">
        <v>28</v>
      </c>
      <c r="G1851" t="s">
        <v>58</v>
      </c>
      <c r="H1851" t="s">
        <v>1743</v>
      </c>
      <c r="I1851" s="2">
        <v>706.86</v>
      </c>
      <c r="J1851" s="3">
        <v>7</v>
      </c>
      <c r="K1851" s="2">
        <v>197.92</v>
      </c>
    </row>
    <row r="1852" spans="1:11" x14ac:dyDescent="0.35">
      <c r="A1852" s="1">
        <v>42554</v>
      </c>
      <c r="B1852" s="3">
        <f t="shared" si="56"/>
        <v>2016</v>
      </c>
      <c r="C1852" s="3">
        <f t="shared" si="57"/>
        <v>7</v>
      </c>
      <c r="D1852" t="s">
        <v>889</v>
      </c>
      <c r="E1852" t="s">
        <v>89</v>
      </c>
      <c r="F1852" t="s">
        <v>28</v>
      </c>
      <c r="G1852" t="s">
        <v>29</v>
      </c>
      <c r="H1852" t="s">
        <v>1744</v>
      </c>
      <c r="I1852" s="2">
        <v>123.92</v>
      </c>
      <c r="J1852" s="3">
        <v>5</v>
      </c>
      <c r="K1852" s="2">
        <v>38.729999999999997</v>
      </c>
    </row>
    <row r="1853" spans="1:11" x14ac:dyDescent="0.35">
      <c r="A1853" s="1">
        <v>42585</v>
      </c>
      <c r="B1853" s="3">
        <f t="shared" si="56"/>
        <v>2016</v>
      </c>
      <c r="C1853" s="3">
        <f t="shared" si="57"/>
        <v>8</v>
      </c>
      <c r="D1853" t="s">
        <v>1745</v>
      </c>
      <c r="E1853" t="s">
        <v>339</v>
      </c>
      <c r="F1853" t="s">
        <v>28</v>
      </c>
      <c r="G1853" t="s">
        <v>158</v>
      </c>
      <c r="H1853" t="s">
        <v>1622</v>
      </c>
      <c r="I1853" s="2">
        <v>81.540000000000006</v>
      </c>
      <c r="J1853" s="3">
        <v>3</v>
      </c>
      <c r="K1853" s="2">
        <v>38.32</v>
      </c>
    </row>
    <row r="1854" spans="1:11" x14ac:dyDescent="0.35">
      <c r="A1854" s="1">
        <v>42585</v>
      </c>
      <c r="B1854" s="3">
        <f t="shared" si="56"/>
        <v>2016</v>
      </c>
      <c r="C1854" s="3">
        <f t="shared" si="57"/>
        <v>8</v>
      </c>
      <c r="D1854" t="s">
        <v>1745</v>
      </c>
      <c r="E1854" t="s">
        <v>339</v>
      </c>
      <c r="F1854" t="s">
        <v>13</v>
      </c>
      <c r="G1854" t="s">
        <v>14</v>
      </c>
      <c r="H1854" t="s">
        <v>1746</v>
      </c>
      <c r="I1854" s="2">
        <v>167.28</v>
      </c>
      <c r="J1854" s="3">
        <v>12</v>
      </c>
      <c r="K1854" s="2">
        <v>23.42</v>
      </c>
    </row>
    <row r="1855" spans="1:11" x14ac:dyDescent="0.35">
      <c r="A1855" s="1">
        <v>42616</v>
      </c>
      <c r="B1855" s="3">
        <f t="shared" si="56"/>
        <v>2016</v>
      </c>
      <c r="C1855" s="3">
        <f t="shared" si="57"/>
        <v>9</v>
      </c>
      <c r="D1855" t="s">
        <v>354</v>
      </c>
      <c r="E1855" t="s">
        <v>89</v>
      </c>
      <c r="F1855" t="s">
        <v>28</v>
      </c>
      <c r="G1855" t="s">
        <v>48</v>
      </c>
      <c r="H1855" t="s">
        <v>1252</v>
      </c>
      <c r="I1855" s="2">
        <v>1141.47</v>
      </c>
      <c r="J1855" s="3">
        <v>5</v>
      </c>
      <c r="K1855" s="2">
        <v>-760.98</v>
      </c>
    </row>
    <row r="1856" spans="1:11" x14ac:dyDescent="0.35">
      <c r="A1856" s="1">
        <v>42616</v>
      </c>
      <c r="B1856" s="3">
        <f t="shared" si="56"/>
        <v>2016</v>
      </c>
      <c r="C1856" s="3">
        <f t="shared" si="57"/>
        <v>9</v>
      </c>
      <c r="D1856" t="s">
        <v>354</v>
      </c>
      <c r="E1856" t="s">
        <v>89</v>
      </c>
      <c r="F1856" t="s">
        <v>13</v>
      </c>
      <c r="G1856" t="s">
        <v>23</v>
      </c>
      <c r="H1856" t="s">
        <v>1065</v>
      </c>
      <c r="I1856" s="2">
        <v>280.77999999999997</v>
      </c>
      <c r="J1856" s="3">
        <v>3</v>
      </c>
      <c r="K1856" s="2">
        <v>-46.8</v>
      </c>
    </row>
    <row r="1857" spans="1:11" x14ac:dyDescent="0.35">
      <c r="A1857" s="1">
        <v>42616</v>
      </c>
      <c r="B1857" s="3">
        <f t="shared" si="56"/>
        <v>2016</v>
      </c>
      <c r="C1857" s="3">
        <f t="shared" si="57"/>
        <v>9</v>
      </c>
      <c r="D1857" t="s">
        <v>227</v>
      </c>
      <c r="E1857" t="s">
        <v>26</v>
      </c>
      <c r="F1857" t="s">
        <v>18</v>
      </c>
      <c r="G1857" t="s">
        <v>36</v>
      </c>
      <c r="H1857" t="s">
        <v>1747</v>
      </c>
      <c r="I1857" s="2">
        <v>83.95</v>
      </c>
      <c r="J1857" s="3">
        <v>3</v>
      </c>
      <c r="K1857" s="2">
        <v>-90.25</v>
      </c>
    </row>
    <row r="1858" spans="1:11" x14ac:dyDescent="0.35">
      <c r="A1858" s="1">
        <v>42616</v>
      </c>
      <c r="B1858" s="3">
        <f t="shared" ref="B1858:B1921" si="58">YEAR(A1858)</f>
        <v>2016</v>
      </c>
      <c r="C1858" s="3">
        <f t="shared" ref="C1858:C1921" si="59">MONTH(A1858)</f>
        <v>9</v>
      </c>
      <c r="D1858" t="s">
        <v>678</v>
      </c>
      <c r="E1858" t="s">
        <v>26</v>
      </c>
      <c r="F1858" t="s">
        <v>28</v>
      </c>
      <c r="G1858" t="s">
        <v>48</v>
      </c>
      <c r="H1858" t="s">
        <v>1039</v>
      </c>
      <c r="I1858" s="2">
        <v>8.81</v>
      </c>
      <c r="J1858" s="3">
        <v>3</v>
      </c>
      <c r="K1858" s="2">
        <v>-14.97</v>
      </c>
    </row>
    <row r="1859" spans="1:11" x14ac:dyDescent="0.35">
      <c r="A1859" s="1">
        <v>42616</v>
      </c>
      <c r="B1859" s="3">
        <f t="shared" si="58"/>
        <v>2016</v>
      </c>
      <c r="C1859" s="3">
        <f t="shared" si="59"/>
        <v>9</v>
      </c>
      <c r="D1859" t="s">
        <v>889</v>
      </c>
      <c r="E1859" t="s">
        <v>323</v>
      </c>
      <c r="F1859" t="s">
        <v>28</v>
      </c>
      <c r="G1859" t="s">
        <v>29</v>
      </c>
      <c r="H1859" t="s">
        <v>1546</v>
      </c>
      <c r="I1859" s="2">
        <v>48.16</v>
      </c>
      <c r="J1859" s="3">
        <v>7</v>
      </c>
      <c r="K1859" s="2">
        <v>22.15</v>
      </c>
    </row>
    <row r="1860" spans="1:11" x14ac:dyDescent="0.35">
      <c r="A1860" s="1">
        <v>42616</v>
      </c>
      <c r="B1860" s="3">
        <f t="shared" si="58"/>
        <v>2016</v>
      </c>
      <c r="C1860" s="3">
        <f t="shared" si="59"/>
        <v>9</v>
      </c>
      <c r="D1860" t="s">
        <v>1266</v>
      </c>
      <c r="E1860" t="s">
        <v>12</v>
      </c>
      <c r="F1860" t="s">
        <v>28</v>
      </c>
      <c r="G1860" t="s">
        <v>38</v>
      </c>
      <c r="H1860" t="s">
        <v>1748</v>
      </c>
      <c r="I1860" s="2">
        <v>54.5</v>
      </c>
      <c r="J1860" s="3">
        <v>5</v>
      </c>
      <c r="K1860" s="2">
        <v>14.17</v>
      </c>
    </row>
    <row r="1861" spans="1:11" x14ac:dyDescent="0.35">
      <c r="A1861" s="1">
        <v>42616</v>
      </c>
      <c r="B1861" s="3">
        <f t="shared" si="58"/>
        <v>2016</v>
      </c>
      <c r="C1861" s="3">
        <f t="shared" si="59"/>
        <v>9</v>
      </c>
      <c r="D1861" t="s">
        <v>1031</v>
      </c>
      <c r="E1861" t="s">
        <v>362</v>
      </c>
      <c r="F1861" t="s">
        <v>28</v>
      </c>
      <c r="G1861" t="s">
        <v>48</v>
      </c>
      <c r="H1861" t="s">
        <v>1703</v>
      </c>
      <c r="I1861" s="2">
        <v>87.28</v>
      </c>
      <c r="J1861" s="3">
        <v>8</v>
      </c>
      <c r="K1861" s="2">
        <v>41.02</v>
      </c>
    </row>
    <row r="1862" spans="1:11" x14ac:dyDescent="0.35">
      <c r="A1862" s="1">
        <v>42616</v>
      </c>
      <c r="B1862" s="3">
        <f t="shared" si="58"/>
        <v>2016</v>
      </c>
      <c r="C1862" s="3">
        <f t="shared" si="59"/>
        <v>9</v>
      </c>
      <c r="D1862" t="s">
        <v>1649</v>
      </c>
      <c r="E1862" t="s">
        <v>249</v>
      </c>
      <c r="F1862" t="s">
        <v>18</v>
      </c>
      <c r="G1862" t="s">
        <v>237</v>
      </c>
      <c r="H1862" t="s">
        <v>1286</v>
      </c>
      <c r="I1862" s="2">
        <v>344.94</v>
      </c>
      <c r="J1862" s="3">
        <v>3</v>
      </c>
      <c r="K1862" s="2">
        <v>31.04</v>
      </c>
    </row>
    <row r="1863" spans="1:11" x14ac:dyDescent="0.35">
      <c r="A1863" s="1">
        <v>42616</v>
      </c>
      <c r="B1863" s="3">
        <f t="shared" si="58"/>
        <v>2016</v>
      </c>
      <c r="C1863" s="3">
        <f t="shared" si="59"/>
        <v>9</v>
      </c>
      <c r="D1863" t="s">
        <v>1649</v>
      </c>
      <c r="E1863" t="s">
        <v>249</v>
      </c>
      <c r="F1863" t="s">
        <v>18</v>
      </c>
      <c r="G1863" t="s">
        <v>36</v>
      </c>
      <c r="H1863" t="s">
        <v>1282</v>
      </c>
      <c r="I1863" s="2">
        <v>14.76</v>
      </c>
      <c r="J1863" s="3">
        <v>2</v>
      </c>
      <c r="K1863" s="2">
        <v>4.28</v>
      </c>
    </row>
    <row r="1864" spans="1:11" x14ac:dyDescent="0.35">
      <c r="A1864" s="1">
        <v>42616</v>
      </c>
      <c r="B1864" s="3">
        <f t="shared" si="58"/>
        <v>2016</v>
      </c>
      <c r="C1864" s="3">
        <f t="shared" si="59"/>
        <v>9</v>
      </c>
      <c r="D1864" t="s">
        <v>1649</v>
      </c>
      <c r="E1864" t="s">
        <v>249</v>
      </c>
      <c r="F1864" t="s">
        <v>28</v>
      </c>
      <c r="G1864" t="s">
        <v>48</v>
      </c>
      <c r="H1864" t="s">
        <v>1220</v>
      </c>
      <c r="I1864" s="2">
        <v>12.76</v>
      </c>
      <c r="J1864" s="3">
        <v>2</v>
      </c>
      <c r="K1864" s="2">
        <v>5.87</v>
      </c>
    </row>
    <row r="1865" spans="1:11" x14ac:dyDescent="0.35">
      <c r="A1865" s="1">
        <v>42616</v>
      </c>
      <c r="B1865" s="3">
        <f t="shared" si="58"/>
        <v>2016</v>
      </c>
      <c r="C1865" s="3">
        <f t="shared" si="59"/>
        <v>9</v>
      </c>
      <c r="D1865" t="s">
        <v>1649</v>
      </c>
      <c r="E1865" t="s">
        <v>249</v>
      </c>
      <c r="F1865" t="s">
        <v>28</v>
      </c>
      <c r="G1865" t="s">
        <v>46</v>
      </c>
      <c r="H1865" t="s">
        <v>1545</v>
      </c>
      <c r="I1865" s="2">
        <v>58.48</v>
      </c>
      <c r="J1865" s="3">
        <v>8</v>
      </c>
      <c r="K1865" s="2">
        <v>27.49</v>
      </c>
    </row>
    <row r="1866" spans="1:11" x14ac:dyDescent="0.35">
      <c r="A1866" s="1">
        <v>42616</v>
      </c>
      <c r="B1866" s="3">
        <f t="shared" si="58"/>
        <v>2016</v>
      </c>
      <c r="C1866" s="3">
        <f t="shared" si="59"/>
        <v>9</v>
      </c>
      <c r="D1866" t="s">
        <v>1749</v>
      </c>
      <c r="E1866" t="s">
        <v>26</v>
      </c>
      <c r="F1866" t="s">
        <v>18</v>
      </c>
      <c r="G1866" t="s">
        <v>237</v>
      </c>
      <c r="H1866" t="s">
        <v>1750</v>
      </c>
      <c r="I1866" s="2">
        <v>198.74</v>
      </c>
      <c r="J1866" s="3">
        <v>4</v>
      </c>
      <c r="K1866" s="2">
        <v>0</v>
      </c>
    </row>
    <row r="1867" spans="1:11" x14ac:dyDescent="0.35">
      <c r="A1867" s="1">
        <v>42616</v>
      </c>
      <c r="B1867" s="3">
        <f t="shared" si="58"/>
        <v>2016</v>
      </c>
      <c r="C1867" s="3">
        <f t="shared" si="59"/>
        <v>9</v>
      </c>
      <c r="D1867" t="s">
        <v>1300</v>
      </c>
      <c r="E1867" t="s">
        <v>131</v>
      </c>
      <c r="F1867" t="s">
        <v>28</v>
      </c>
      <c r="G1867" t="s">
        <v>29</v>
      </c>
      <c r="H1867" t="s">
        <v>1751</v>
      </c>
      <c r="I1867" s="2">
        <v>30.96</v>
      </c>
      <c r="J1867" s="3">
        <v>6</v>
      </c>
      <c r="K1867" s="2">
        <v>11.22</v>
      </c>
    </row>
    <row r="1868" spans="1:11" x14ac:dyDescent="0.35">
      <c r="A1868" s="1">
        <v>42646</v>
      </c>
      <c r="B1868" s="3">
        <f t="shared" si="58"/>
        <v>2016</v>
      </c>
      <c r="C1868" s="3">
        <f t="shared" si="59"/>
        <v>10</v>
      </c>
      <c r="D1868" t="s">
        <v>977</v>
      </c>
      <c r="E1868" t="s">
        <v>32</v>
      </c>
      <c r="F1868" t="s">
        <v>28</v>
      </c>
      <c r="G1868" t="s">
        <v>158</v>
      </c>
      <c r="H1868" t="s">
        <v>159</v>
      </c>
      <c r="I1868" s="2">
        <v>15.65</v>
      </c>
      <c r="J1868" s="3">
        <v>2</v>
      </c>
      <c r="K1868" s="2">
        <v>5.09</v>
      </c>
    </row>
    <row r="1869" spans="1:11" x14ac:dyDescent="0.35">
      <c r="A1869" s="1">
        <v>42646</v>
      </c>
      <c r="B1869" s="3">
        <f t="shared" si="58"/>
        <v>2016</v>
      </c>
      <c r="C1869" s="3">
        <f t="shared" si="59"/>
        <v>10</v>
      </c>
      <c r="D1869" t="s">
        <v>450</v>
      </c>
      <c r="E1869" t="s">
        <v>22</v>
      </c>
      <c r="F1869" t="s">
        <v>18</v>
      </c>
      <c r="G1869" t="s">
        <v>19</v>
      </c>
      <c r="H1869" t="s">
        <v>1752</v>
      </c>
      <c r="I1869" s="2">
        <v>599.29</v>
      </c>
      <c r="J1869" s="3">
        <v>6</v>
      </c>
      <c r="K1869" s="2">
        <v>93.22</v>
      </c>
    </row>
    <row r="1870" spans="1:11" x14ac:dyDescent="0.35">
      <c r="A1870" s="1">
        <v>42646</v>
      </c>
      <c r="B1870" s="3">
        <f t="shared" si="58"/>
        <v>2016</v>
      </c>
      <c r="C1870" s="3">
        <f t="shared" si="59"/>
        <v>10</v>
      </c>
      <c r="D1870" t="s">
        <v>1045</v>
      </c>
      <c r="E1870" t="s">
        <v>32</v>
      </c>
      <c r="F1870" t="s">
        <v>18</v>
      </c>
      <c r="G1870" t="s">
        <v>36</v>
      </c>
      <c r="H1870" t="s">
        <v>1753</v>
      </c>
      <c r="I1870" s="2">
        <v>38.08</v>
      </c>
      <c r="J1870" s="3">
        <v>5</v>
      </c>
      <c r="K1870" s="2">
        <v>-29.51</v>
      </c>
    </row>
    <row r="1871" spans="1:11" x14ac:dyDescent="0.35">
      <c r="A1871" s="1">
        <v>42646</v>
      </c>
      <c r="B1871" s="3">
        <f t="shared" si="58"/>
        <v>2016</v>
      </c>
      <c r="C1871" s="3">
        <f t="shared" si="59"/>
        <v>10</v>
      </c>
      <c r="D1871" t="s">
        <v>1645</v>
      </c>
      <c r="E1871" t="s">
        <v>45</v>
      </c>
      <c r="F1871" t="s">
        <v>28</v>
      </c>
      <c r="G1871" t="s">
        <v>46</v>
      </c>
      <c r="H1871" t="s">
        <v>316</v>
      </c>
      <c r="I1871" s="2">
        <v>6.16</v>
      </c>
      <c r="J1871" s="3">
        <v>2</v>
      </c>
      <c r="K1871" s="2">
        <v>2.96</v>
      </c>
    </row>
    <row r="1872" spans="1:11" x14ac:dyDescent="0.35">
      <c r="A1872" s="1">
        <v>42646</v>
      </c>
      <c r="B1872" s="3">
        <f t="shared" si="58"/>
        <v>2016</v>
      </c>
      <c r="C1872" s="3">
        <f t="shared" si="59"/>
        <v>10</v>
      </c>
      <c r="D1872" t="s">
        <v>1645</v>
      </c>
      <c r="E1872" t="s">
        <v>45</v>
      </c>
      <c r="F1872" t="s">
        <v>18</v>
      </c>
      <c r="G1872" t="s">
        <v>19</v>
      </c>
      <c r="H1872" t="s">
        <v>20</v>
      </c>
      <c r="I1872" s="2">
        <v>915.14</v>
      </c>
      <c r="J1872" s="3">
        <v>4</v>
      </c>
      <c r="K1872" s="2">
        <v>102.95</v>
      </c>
    </row>
    <row r="1873" spans="1:11" x14ac:dyDescent="0.35">
      <c r="A1873" s="1">
        <v>42646</v>
      </c>
      <c r="B1873" s="3">
        <f t="shared" si="58"/>
        <v>2016</v>
      </c>
      <c r="C1873" s="3">
        <f t="shared" si="59"/>
        <v>10</v>
      </c>
      <c r="D1873" t="s">
        <v>1645</v>
      </c>
      <c r="E1873" t="s">
        <v>45</v>
      </c>
      <c r="F1873" t="s">
        <v>28</v>
      </c>
      <c r="G1873" t="s">
        <v>29</v>
      </c>
      <c r="H1873" t="s">
        <v>1754</v>
      </c>
      <c r="I1873" s="2">
        <v>8.56</v>
      </c>
      <c r="J1873" s="3">
        <v>2</v>
      </c>
      <c r="K1873" s="2">
        <v>3.85</v>
      </c>
    </row>
    <row r="1874" spans="1:11" x14ac:dyDescent="0.35">
      <c r="A1874" s="1">
        <v>42646</v>
      </c>
      <c r="B1874" s="3">
        <f t="shared" si="58"/>
        <v>2016</v>
      </c>
      <c r="C1874" s="3">
        <f t="shared" si="59"/>
        <v>10</v>
      </c>
      <c r="D1874" t="s">
        <v>1645</v>
      </c>
      <c r="E1874" t="s">
        <v>45</v>
      </c>
      <c r="F1874" t="s">
        <v>28</v>
      </c>
      <c r="G1874" t="s">
        <v>29</v>
      </c>
      <c r="H1874" t="s">
        <v>429</v>
      </c>
      <c r="I1874" s="2">
        <v>97.82</v>
      </c>
      <c r="J1874" s="3">
        <v>2</v>
      </c>
      <c r="K1874" s="2">
        <v>45.98</v>
      </c>
    </row>
    <row r="1875" spans="1:11" x14ac:dyDescent="0.35">
      <c r="A1875" s="1">
        <v>42677</v>
      </c>
      <c r="B1875" s="3">
        <f t="shared" si="58"/>
        <v>2016</v>
      </c>
      <c r="C1875" s="3">
        <f t="shared" si="59"/>
        <v>11</v>
      </c>
      <c r="D1875" t="s">
        <v>197</v>
      </c>
      <c r="E1875" t="s">
        <v>1451</v>
      </c>
      <c r="F1875" t="s">
        <v>28</v>
      </c>
      <c r="G1875" t="s">
        <v>64</v>
      </c>
      <c r="H1875" t="s">
        <v>719</v>
      </c>
      <c r="I1875" s="2">
        <v>75.959999999999994</v>
      </c>
      <c r="J1875" s="3">
        <v>2</v>
      </c>
      <c r="K1875" s="2">
        <v>22.79</v>
      </c>
    </row>
    <row r="1876" spans="1:11" x14ac:dyDescent="0.35">
      <c r="A1876" s="1">
        <v>42677</v>
      </c>
      <c r="B1876" s="3">
        <f t="shared" si="58"/>
        <v>2016</v>
      </c>
      <c r="C1876" s="3">
        <f t="shared" si="59"/>
        <v>11</v>
      </c>
      <c r="D1876" t="s">
        <v>197</v>
      </c>
      <c r="E1876" t="s">
        <v>1451</v>
      </c>
      <c r="F1876" t="s">
        <v>28</v>
      </c>
      <c r="G1876" t="s">
        <v>48</v>
      </c>
      <c r="H1876" t="s">
        <v>281</v>
      </c>
      <c r="I1876" s="2">
        <v>27.24</v>
      </c>
      <c r="J1876" s="3">
        <v>6</v>
      </c>
      <c r="K1876" s="2">
        <v>13.35</v>
      </c>
    </row>
    <row r="1877" spans="1:11" x14ac:dyDescent="0.35">
      <c r="A1877" s="1">
        <v>42677</v>
      </c>
      <c r="B1877" s="3">
        <f t="shared" si="58"/>
        <v>2016</v>
      </c>
      <c r="C1877" s="3">
        <f t="shared" si="59"/>
        <v>11</v>
      </c>
      <c r="D1877" t="s">
        <v>1260</v>
      </c>
      <c r="E1877" t="s">
        <v>17</v>
      </c>
      <c r="F1877" t="s">
        <v>28</v>
      </c>
      <c r="G1877" t="s">
        <v>64</v>
      </c>
      <c r="H1877" t="s">
        <v>1755</v>
      </c>
      <c r="I1877" s="2">
        <v>8.82</v>
      </c>
      <c r="J1877" s="3">
        <v>3</v>
      </c>
      <c r="K1877" s="2">
        <v>2.38</v>
      </c>
    </row>
    <row r="1878" spans="1:11" x14ac:dyDescent="0.35">
      <c r="A1878" s="1">
        <v>42677</v>
      </c>
      <c r="B1878" s="3">
        <f t="shared" si="58"/>
        <v>2016</v>
      </c>
      <c r="C1878" s="3">
        <f t="shared" si="59"/>
        <v>11</v>
      </c>
      <c r="D1878" t="s">
        <v>1756</v>
      </c>
      <c r="E1878" t="s">
        <v>45</v>
      </c>
      <c r="F1878" t="s">
        <v>18</v>
      </c>
      <c r="G1878" t="s">
        <v>19</v>
      </c>
      <c r="H1878" t="s">
        <v>1757</v>
      </c>
      <c r="I1878" s="2">
        <v>217.58</v>
      </c>
      <c r="J1878" s="3">
        <v>2</v>
      </c>
      <c r="K1878" s="2">
        <v>-29.92</v>
      </c>
    </row>
    <row r="1879" spans="1:11" x14ac:dyDescent="0.35">
      <c r="A1879" s="1">
        <v>42677</v>
      </c>
      <c r="B1879" s="3">
        <f t="shared" si="58"/>
        <v>2016</v>
      </c>
      <c r="C1879" s="3">
        <f t="shared" si="59"/>
        <v>11</v>
      </c>
      <c r="D1879" t="s">
        <v>1756</v>
      </c>
      <c r="E1879" t="s">
        <v>45</v>
      </c>
      <c r="F1879" t="s">
        <v>13</v>
      </c>
      <c r="G1879" t="s">
        <v>14</v>
      </c>
      <c r="H1879" t="s">
        <v>1758</v>
      </c>
      <c r="I1879" s="2">
        <v>82.95</v>
      </c>
      <c r="J1879" s="3">
        <v>5</v>
      </c>
      <c r="K1879" s="2">
        <v>29.03</v>
      </c>
    </row>
    <row r="1880" spans="1:11" x14ac:dyDescent="0.35">
      <c r="A1880" s="1">
        <v>42677</v>
      </c>
      <c r="B1880" s="3">
        <f t="shared" si="58"/>
        <v>2016</v>
      </c>
      <c r="C1880" s="3">
        <f t="shared" si="59"/>
        <v>11</v>
      </c>
      <c r="D1880" t="s">
        <v>1756</v>
      </c>
      <c r="E1880" t="s">
        <v>45</v>
      </c>
      <c r="F1880" t="s">
        <v>28</v>
      </c>
      <c r="G1880" t="s">
        <v>46</v>
      </c>
      <c r="H1880" t="s">
        <v>1377</v>
      </c>
      <c r="I1880" s="2">
        <v>87.71</v>
      </c>
      <c r="J1880" s="3">
        <v>7</v>
      </c>
      <c r="K1880" s="2">
        <v>41.22</v>
      </c>
    </row>
    <row r="1881" spans="1:11" x14ac:dyDescent="0.35">
      <c r="A1881" s="1">
        <v>42677</v>
      </c>
      <c r="B1881" s="3">
        <f t="shared" si="58"/>
        <v>2016</v>
      </c>
      <c r="C1881" s="3">
        <f t="shared" si="59"/>
        <v>11</v>
      </c>
      <c r="D1881" t="s">
        <v>1756</v>
      </c>
      <c r="E1881" t="s">
        <v>45</v>
      </c>
      <c r="F1881" t="s">
        <v>28</v>
      </c>
      <c r="G1881" t="s">
        <v>58</v>
      </c>
      <c r="H1881" t="s">
        <v>1759</v>
      </c>
      <c r="I1881" s="2">
        <v>1101.48</v>
      </c>
      <c r="J1881" s="3">
        <v>4</v>
      </c>
      <c r="K1881" s="2">
        <v>429.58</v>
      </c>
    </row>
    <row r="1882" spans="1:11" x14ac:dyDescent="0.35">
      <c r="A1882" s="1">
        <v>42677</v>
      </c>
      <c r="B1882" s="3">
        <f t="shared" si="58"/>
        <v>2016</v>
      </c>
      <c r="C1882" s="3">
        <f t="shared" si="59"/>
        <v>11</v>
      </c>
      <c r="D1882" t="s">
        <v>957</v>
      </c>
      <c r="E1882" t="s">
        <v>118</v>
      </c>
      <c r="F1882" t="s">
        <v>28</v>
      </c>
      <c r="G1882" t="s">
        <v>33</v>
      </c>
      <c r="H1882" t="s">
        <v>518</v>
      </c>
      <c r="I1882" s="2">
        <v>20</v>
      </c>
      <c r="J1882" s="3">
        <v>4</v>
      </c>
      <c r="K1882" s="2">
        <v>9.6</v>
      </c>
    </row>
    <row r="1883" spans="1:11" x14ac:dyDescent="0.35">
      <c r="A1883" s="1">
        <v>42677</v>
      </c>
      <c r="B1883" s="3">
        <f t="shared" si="58"/>
        <v>2016</v>
      </c>
      <c r="C1883" s="3">
        <f t="shared" si="59"/>
        <v>11</v>
      </c>
      <c r="D1883" t="s">
        <v>957</v>
      </c>
      <c r="E1883" t="s">
        <v>118</v>
      </c>
      <c r="F1883" t="s">
        <v>28</v>
      </c>
      <c r="G1883" t="s">
        <v>64</v>
      </c>
      <c r="H1883" t="s">
        <v>892</v>
      </c>
      <c r="I1883" s="2">
        <v>7.98</v>
      </c>
      <c r="J1883" s="3">
        <v>3</v>
      </c>
      <c r="K1883" s="2">
        <v>2.0699999999999998</v>
      </c>
    </row>
    <row r="1884" spans="1:11" x14ac:dyDescent="0.35">
      <c r="A1884" s="1">
        <v>42677</v>
      </c>
      <c r="B1884" s="3">
        <f t="shared" si="58"/>
        <v>2016</v>
      </c>
      <c r="C1884" s="3">
        <f t="shared" si="59"/>
        <v>11</v>
      </c>
      <c r="D1884" t="s">
        <v>957</v>
      </c>
      <c r="E1884" t="s">
        <v>118</v>
      </c>
      <c r="F1884" t="s">
        <v>18</v>
      </c>
      <c r="G1884" t="s">
        <v>36</v>
      </c>
      <c r="H1884" t="s">
        <v>1760</v>
      </c>
      <c r="I1884" s="2">
        <v>24.1</v>
      </c>
      <c r="J1884" s="3">
        <v>5</v>
      </c>
      <c r="K1884" s="2">
        <v>9.16</v>
      </c>
    </row>
    <row r="1885" spans="1:11" x14ac:dyDescent="0.35">
      <c r="A1885" s="1">
        <v>42677</v>
      </c>
      <c r="B1885" s="3">
        <f t="shared" si="58"/>
        <v>2016</v>
      </c>
      <c r="C1885" s="3">
        <f t="shared" si="59"/>
        <v>11</v>
      </c>
      <c r="D1885" t="s">
        <v>957</v>
      </c>
      <c r="E1885" t="s">
        <v>118</v>
      </c>
      <c r="F1885" t="s">
        <v>28</v>
      </c>
      <c r="G1885" t="s">
        <v>64</v>
      </c>
      <c r="H1885" t="s">
        <v>1761</v>
      </c>
      <c r="I1885" s="2">
        <v>8.75</v>
      </c>
      <c r="J1885" s="3">
        <v>1</v>
      </c>
      <c r="K1885" s="2">
        <v>2.63</v>
      </c>
    </row>
    <row r="1886" spans="1:11" x14ac:dyDescent="0.35">
      <c r="A1886" s="1">
        <v>42677</v>
      </c>
      <c r="B1886" s="3">
        <f t="shared" si="58"/>
        <v>2016</v>
      </c>
      <c r="C1886" s="3">
        <f t="shared" si="59"/>
        <v>11</v>
      </c>
      <c r="D1886" t="s">
        <v>957</v>
      </c>
      <c r="E1886" t="s">
        <v>118</v>
      </c>
      <c r="F1886" t="s">
        <v>18</v>
      </c>
      <c r="G1886" t="s">
        <v>42</v>
      </c>
      <c r="H1886" t="s">
        <v>1762</v>
      </c>
      <c r="I1886" s="2">
        <v>842.94</v>
      </c>
      <c r="J1886" s="3">
        <v>3</v>
      </c>
      <c r="K1886" s="2">
        <v>160.16</v>
      </c>
    </row>
    <row r="1887" spans="1:11" x14ac:dyDescent="0.35">
      <c r="A1887" s="1">
        <v>42677</v>
      </c>
      <c r="B1887" s="3">
        <f t="shared" si="58"/>
        <v>2016</v>
      </c>
      <c r="C1887" s="3">
        <f t="shared" si="59"/>
        <v>11</v>
      </c>
      <c r="D1887" t="s">
        <v>571</v>
      </c>
      <c r="E1887" t="s">
        <v>45</v>
      </c>
      <c r="F1887" t="s">
        <v>28</v>
      </c>
      <c r="G1887" t="s">
        <v>33</v>
      </c>
      <c r="H1887" t="s">
        <v>887</v>
      </c>
      <c r="I1887" s="2">
        <v>15.26</v>
      </c>
      <c r="J1887" s="3">
        <v>7</v>
      </c>
      <c r="K1887" s="2">
        <v>5.04</v>
      </c>
    </row>
    <row r="1888" spans="1:11" x14ac:dyDescent="0.35">
      <c r="A1888" s="1">
        <v>42677</v>
      </c>
      <c r="B1888" s="3">
        <f t="shared" si="58"/>
        <v>2016</v>
      </c>
      <c r="C1888" s="3">
        <f t="shared" si="59"/>
        <v>11</v>
      </c>
      <c r="D1888" t="s">
        <v>571</v>
      </c>
      <c r="E1888" t="s">
        <v>45</v>
      </c>
      <c r="F1888" t="s">
        <v>28</v>
      </c>
      <c r="G1888" t="s">
        <v>58</v>
      </c>
      <c r="H1888" t="s">
        <v>1763</v>
      </c>
      <c r="I1888" s="2">
        <v>43.32</v>
      </c>
      <c r="J1888" s="3">
        <v>2</v>
      </c>
      <c r="K1888" s="2">
        <v>14.3</v>
      </c>
    </row>
    <row r="1889" spans="1:11" x14ac:dyDescent="0.35">
      <c r="A1889" s="1">
        <v>42677</v>
      </c>
      <c r="B1889" s="3">
        <f t="shared" si="58"/>
        <v>2016</v>
      </c>
      <c r="C1889" s="3">
        <f t="shared" si="59"/>
        <v>11</v>
      </c>
      <c r="D1889" t="s">
        <v>571</v>
      </c>
      <c r="E1889" t="s">
        <v>45</v>
      </c>
      <c r="F1889" t="s">
        <v>28</v>
      </c>
      <c r="G1889" t="s">
        <v>48</v>
      </c>
      <c r="H1889" t="s">
        <v>281</v>
      </c>
      <c r="I1889" s="2">
        <v>43.58</v>
      </c>
      <c r="J1889" s="3">
        <v>12</v>
      </c>
      <c r="K1889" s="2">
        <v>15.8</v>
      </c>
    </row>
    <row r="1890" spans="1:11" x14ac:dyDescent="0.35">
      <c r="A1890" s="1">
        <v>42677</v>
      </c>
      <c r="B1890" s="3">
        <f t="shared" si="58"/>
        <v>2016</v>
      </c>
      <c r="C1890" s="3">
        <f t="shared" si="59"/>
        <v>11</v>
      </c>
      <c r="D1890" t="s">
        <v>571</v>
      </c>
      <c r="E1890" t="s">
        <v>45</v>
      </c>
      <c r="F1890" t="s">
        <v>28</v>
      </c>
      <c r="G1890" t="s">
        <v>29</v>
      </c>
      <c r="H1890" t="s">
        <v>1764</v>
      </c>
      <c r="I1890" s="2">
        <v>116.28</v>
      </c>
      <c r="J1890" s="3">
        <v>3</v>
      </c>
      <c r="K1890" s="2">
        <v>56.98</v>
      </c>
    </row>
    <row r="1891" spans="1:11" x14ac:dyDescent="0.35">
      <c r="A1891" s="1">
        <v>42677</v>
      </c>
      <c r="B1891" s="3">
        <f t="shared" si="58"/>
        <v>2016</v>
      </c>
      <c r="C1891" s="3">
        <f t="shared" si="59"/>
        <v>11</v>
      </c>
      <c r="D1891" t="s">
        <v>571</v>
      </c>
      <c r="E1891" t="s">
        <v>45</v>
      </c>
      <c r="F1891" t="s">
        <v>28</v>
      </c>
      <c r="G1891" t="s">
        <v>48</v>
      </c>
      <c r="H1891" t="s">
        <v>1765</v>
      </c>
      <c r="I1891" s="2">
        <v>9.3000000000000007</v>
      </c>
      <c r="J1891" s="3">
        <v>2</v>
      </c>
      <c r="K1891" s="2">
        <v>3.02</v>
      </c>
    </row>
    <row r="1892" spans="1:11" x14ac:dyDescent="0.35">
      <c r="A1892" s="1">
        <v>42677</v>
      </c>
      <c r="B1892" s="3">
        <f t="shared" si="58"/>
        <v>2016</v>
      </c>
      <c r="C1892" s="3">
        <f t="shared" si="59"/>
        <v>11</v>
      </c>
      <c r="D1892" t="s">
        <v>571</v>
      </c>
      <c r="E1892" t="s">
        <v>45</v>
      </c>
      <c r="F1892" t="s">
        <v>28</v>
      </c>
      <c r="G1892" t="s">
        <v>29</v>
      </c>
      <c r="H1892" t="s">
        <v>1766</v>
      </c>
      <c r="I1892" s="2">
        <v>19.440000000000001</v>
      </c>
      <c r="J1892" s="3">
        <v>3</v>
      </c>
      <c r="K1892" s="2">
        <v>9.33</v>
      </c>
    </row>
    <row r="1893" spans="1:11" x14ac:dyDescent="0.35">
      <c r="A1893" s="1">
        <v>42677</v>
      </c>
      <c r="B1893" s="3">
        <f t="shared" si="58"/>
        <v>2016</v>
      </c>
      <c r="C1893" s="3">
        <f t="shared" si="59"/>
        <v>11</v>
      </c>
      <c r="D1893" t="s">
        <v>571</v>
      </c>
      <c r="E1893" t="s">
        <v>45</v>
      </c>
      <c r="F1893" t="s">
        <v>28</v>
      </c>
      <c r="G1893" t="s">
        <v>29</v>
      </c>
      <c r="H1893" t="s">
        <v>1767</v>
      </c>
      <c r="I1893" s="2">
        <v>314.55</v>
      </c>
      <c r="J1893" s="3">
        <v>3</v>
      </c>
      <c r="K1893" s="2">
        <v>150.97999999999999</v>
      </c>
    </row>
    <row r="1894" spans="1:11" x14ac:dyDescent="0.35">
      <c r="A1894" s="1">
        <v>42677</v>
      </c>
      <c r="B1894" s="3">
        <f t="shared" si="58"/>
        <v>2016</v>
      </c>
      <c r="C1894" s="3">
        <f t="shared" si="59"/>
        <v>11</v>
      </c>
      <c r="D1894" t="s">
        <v>1768</v>
      </c>
      <c r="E1894" t="s">
        <v>32</v>
      </c>
      <c r="F1894" t="s">
        <v>28</v>
      </c>
      <c r="G1894" t="s">
        <v>29</v>
      </c>
      <c r="H1894" t="s">
        <v>1508</v>
      </c>
      <c r="I1894" s="2">
        <v>9.25</v>
      </c>
      <c r="J1894" s="3">
        <v>2</v>
      </c>
      <c r="K1894" s="2">
        <v>3.35</v>
      </c>
    </row>
    <row r="1895" spans="1:11" x14ac:dyDescent="0.35">
      <c r="A1895" s="1">
        <v>42677</v>
      </c>
      <c r="B1895" s="3">
        <f t="shared" si="58"/>
        <v>2016</v>
      </c>
      <c r="C1895" s="3">
        <f t="shared" si="59"/>
        <v>11</v>
      </c>
      <c r="D1895" t="s">
        <v>1423</v>
      </c>
      <c r="E1895" t="s">
        <v>107</v>
      </c>
      <c r="F1895" t="s">
        <v>28</v>
      </c>
      <c r="G1895" t="s">
        <v>48</v>
      </c>
      <c r="H1895" t="s">
        <v>1338</v>
      </c>
      <c r="I1895" s="2">
        <v>4.16</v>
      </c>
      <c r="J1895" s="3">
        <v>7</v>
      </c>
      <c r="K1895" s="2">
        <v>-3.47</v>
      </c>
    </row>
    <row r="1896" spans="1:11" x14ac:dyDescent="0.35">
      <c r="A1896" s="1">
        <v>42677</v>
      </c>
      <c r="B1896" s="3">
        <f t="shared" si="58"/>
        <v>2016</v>
      </c>
      <c r="C1896" s="3">
        <f t="shared" si="59"/>
        <v>11</v>
      </c>
      <c r="D1896" t="s">
        <v>1423</v>
      </c>
      <c r="E1896" t="s">
        <v>107</v>
      </c>
      <c r="F1896" t="s">
        <v>13</v>
      </c>
      <c r="G1896" t="s">
        <v>204</v>
      </c>
      <c r="H1896" t="s">
        <v>1769</v>
      </c>
      <c r="I1896" s="2">
        <v>179.99</v>
      </c>
      <c r="J1896" s="3">
        <v>3</v>
      </c>
      <c r="K1896" s="2">
        <v>-251.99</v>
      </c>
    </row>
    <row r="1897" spans="1:11" x14ac:dyDescent="0.35">
      <c r="A1897" s="1">
        <v>42677</v>
      </c>
      <c r="B1897" s="3">
        <f t="shared" si="58"/>
        <v>2016</v>
      </c>
      <c r="C1897" s="3">
        <f t="shared" si="59"/>
        <v>11</v>
      </c>
      <c r="D1897" t="s">
        <v>1234</v>
      </c>
      <c r="E1897" t="s">
        <v>89</v>
      </c>
      <c r="F1897" t="s">
        <v>13</v>
      </c>
      <c r="G1897" t="s">
        <v>14</v>
      </c>
      <c r="H1897" t="s">
        <v>407</v>
      </c>
      <c r="I1897" s="2">
        <v>72</v>
      </c>
      <c r="J1897" s="3">
        <v>1</v>
      </c>
      <c r="K1897" s="2">
        <v>14.4</v>
      </c>
    </row>
    <row r="1898" spans="1:11" x14ac:dyDescent="0.35">
      <c r="A1898" s="1">
        <v>42677</v>
      </c>
      <c r="B1898" s="3">
        <f t="shared" si="58"/>
        <v>2016</v>
      </c>
      <c r="C1898" s="3">
        <f t="shared" si="59"/>
        <v>11</v>
      </c>
      <c r="D1898" t="s">
        <v>1234</v>
      </c>
      <c r="E1898" t="s">
        <v>89</v>
      </c>
      <c r="F1898" t="s">
        <v>18</v>
      </c>
      <c r="G1898" t="s">
        <v>19</v>
      </c>
      <c r="H1898" t="s">
        <v>1770</v>
      </c>
      <c r="I1898" s="2">
        <v>470.16</v>
      </c>
      <c r="J1898" s="3">
        <v>7</v>
      </c>
      <c r="K1898" s="2">
        <v>-13.43</v>
      </c>
    </row>
    <row r="1899" spans="1:11" x14ac:dyDescent="0.35">
      <c r="A1899" s="1">
        <v>42707</v>
      </c>
      <c r="B1899" s="3">
        <f t="shared" si="58"/>
        <v>2016</v>
      </c>
      <c r="C1899" s="3">
        <f t="shared" si="59"/>
        <v>12</v>
      </c>
      <c r="D1899" t="s">
        <v>1152</v>
      </c>
      <c r="E1899" t="s">
        <v>22</v>
      </c>
      <c r="F1899" t="s">
        <v>28</v>
      </c>
      <c r="G1899" t="s">
        <v>29</v>
      </c>
      <c r="H1899" t="s">
        <v>744</v>
      </c>
      <c r="I1899" s="2">
        <v>182.72</v>
      </c>
      <c r="J1899" s="3">
        <v>8</v>
      </c>
      <c r="K1899" s="2">
        <v>84.05</v>
      </c>
    </row>
    <row r="1900" spans="1:11" x14ac:dyDescent="0.35">
      <c r="A1900" s="1">
        <v>42707</v>
      </c>
      <c r="B1900" s="3">
        <f t="shared" si="58"/>
        <v>2016</v>
      </c>
      <c r="C1900" s="3">
        <f t="shared" si="59"/>
        <v>12</v>
      </c>
      <c r="D1900" t="s">
        <v>1152</v>
      </c>
      <c r="E1900" t="s">
        <v>22</v>
      </c>
      <c r="F1900" t="s">
        <v>18</v>
      </c>
      <c r="G1900" t="s">
        <v>42</v>
      </c>
      <c r="H1900" t="s">
        <v>978</v>
      </c>
      <c r="I1900" s="2">
        <v>400.03</v>
      </c>
      <c r="J1900" s="3">
        <v>2</v>
      </c>
      <c r="K1900" s="2">
        <v>-153.35</v>
      </c>
    </row>
    <row r="1901" spans="1:11" x14ac:dyDescent="0.35">
      <c r="A1901" s="1">
        <v>42707</v>
      </c>
      <c r="B1901" s="3">
        <f t="shared" si="58"/>
        <v>2016</v>
      </c>
      <c r="C1901" s="3">
        <f t="shared" si="59"/>
        <v>12</v>
      </c>
      <c r="D1901" t="s">
        <v>1152</v>
      </c>
      <c r="E1901" t="s">
        <v>22</v>
      </c>
      <c r="F1901" t="s">
        <v>28</v>
      </c>
      <c r="G1901" t="s">
        <v>38</v>
      </c>
      <c r="H1901" t="s">
        <v>1771</v>
      </c>
      <c r="I1901" s="2">
        <v>33.630000000000003</v>
      </c>
      <c r="J1901" s="3">
        <v>3</v>
      </c>
      <c r="K1901" s="2">
        <v>10.09</v>
      </c>
    </row>
    <row r="1902" spans="1:11" x14ac:dyDescent="0.35">
      <c r="A1902" s="1">
        <v>42707</v>
      </c>
      <c r="B1902" s="3">
        <f t="shared" si="58"/>
        <v>2016</v>
      </c>
      <c r="C1902" s="3">
        <f t="shared" si="59"/>
        <v>12</v>
      </c>
      <c r="D1902" t="s">
        <v>1152</v>
      </c>
      <c r="E1902" t="s">
        <v>22</v>
      </c>
      <c r="F1902" t="s">
        <v>18</v>
      </c>
      <c r="G1902" t="s">
        <v>19</v>
      </c>
      <c r="H1902" t="s">
        <v>1170</v>
      </c>
      <c r="I1902" s="2">
        <v>542.65</v>
      </c>
      <c r="J1902" s="3">
        <v>3</v>
      </c>
      <c r="K1902" s="2">
        <v>102.5</v>
      </c>
    </row>
    <row r="1903" spans="1:11" x14ac:dyDescent="0.35">
      <c r="A1903" s="1">
        <v>42707</v>
      </c>
      <c r="B1903" s="3">
        <f t="shared" si="58"/>
        <v>2016</v>
      </c>
      <c r="C1903" s="3">
        <f t="shared" si="59"/>
        <v>12</v>
      </c>
      <c r="D1903" t="s">
        <v>1152</v>
      </c>
      <c r="E1903" t="s">
        <v>22</v>
      </c>
      <c r="F1903" t="s">
        <v>28</v>
      </c>
      <c r="G1903" t="s">
        <v>46</v>
      </c>
      <c r="H1903" t="s">
        <v>1620</v>
      </c>
      <c r="I1903" s="2">
        <v>6.3</v>
      </c>
      <c r="J1903" s="3">
        <v>2</v>
      </c>
      <c r="K1903" s="2">
        <v>3.02</v>
      </c>
    </row>
    <row r="1904" spans="1:11" x14ac:dyDescent="0.35">
      <c r="A1904" s="1">
        <v>42707</v>
      </c>
      <c r="B1904" s="3">
        <f t="shared" si="58"/>
        <v>2016</v>
      </c>
      <c r="C1904" s="3">
        <f t="shared" si="59"/>
        <v>12</v>
      </c>
      <c r="D1904" t="s">
        <v>1772</v>
      </c>
      <c r="E1904" t="s">
        <v>89</v>
      </c>
      <c r="F1904" t="s">
        <v>28</v>
      </c>
      <c r="G1904" t="s">
        <v>58</v>
      </c>
      <c r="H1904" t="s">
        <v>1471</v>
      </c>
      <c r="I1904" s="2">
        <v>394.82</v>
      </c>
      <c r="J1904" s="3">
        <v>4</v>
      </c>
      <c r="K1904" s="2">
        <v>93.77</v>
      </c>
    </row>
    <row r="1905" spans="1:11" x14ac:dyDescent="0.35">
      <c r="A1905" s="1">
        <v>42707</v>
      </c>
      <c r="B1905" s="3">
        <f t="shared" si="58"/>
        <v>2016</v>
      </c>
      <c r="C1905" s="3">
        <f t="shared" si="59"/>
        <v>12</v>
      </c>
      <c r="D1905" t="s">
        <v>1772</v>
      </c>
      <c r="E1905" t="s">
        <v>89</v>
      </c>
      <c r="F1905" t="s">
        <v>28</v>
      </c>
      <c r="G1905" t="s">
        <v>48</v>
      </c>
      <c r="H1905" t="s">
        <v>63</v>
      </c>
      <c r="I1905" s="2">
        <v>18.190000000000001</v>
      </c>
      <c r="J1905" s="3">
        <v>4</v>
      </c>
      <c r="K1905" s="2">
        <v>-14.55</v>
      </c>
    </row>
    <row r="1906" spans="1:11" x14ac:dyDescent="0.35">
      <c r="A1906" s="1">
        <v>42707</v>
      </c>
      <c r="B1906" s="3">
        <f t="shared" si="58"/>
        <v>2016</v>
      </c>
      <c r="C1906" s="3">
        <f t="shared" si="59"/>
        <v>12</v>
      </c>
      <c r="D1906" t="s">
        <v>1081</v>
      </c>
      <c r="E1906" t="s">
        <v>45</v>
      </c>
      <c r="F1906" t="s">
        <v>13</v>
      </c>
      <c r="G1906" t="s">
        <v>14</v>
      </c>
      <c r="H1906" t="s">
        <v>1229</v>
      </c>
      <c r="I1906" s="2">
        <v>1649.95</v>
      </c>
      <c r="J1906" s="3">
        <v>5</v>
      </c>
      <c r="K1906" s="2">
        <v>659.98</v>
      </c>
    </row>
    <row r="1907" spans="1:11" x14ac:dyDescent="0.35">
      <c r="A1907" s="1">
        <v>42707</v>
      </c>
      <c r="B1907" s="3">
        <f t="shared" si="58"/>
        <v>2016</v>
      </c>
      <c r="C1907" s="3">
        <f t="shared" si="59"/>
        <v>12</v>
      </c>
      <c r="D1907" t="s">
        <v>1081</v>
      </c>
      <c r="E1907" t="s">
        <v>45</v>
      </c>
      <c r="F1907" t="s">
        <v>18</v>
      </c>
      <c r="G1907" t="s">
        <v>36</v>
      </c>
      <c r="H1907" t="s">
        <v>1773</v>
      </c>
      <c r="I1907" s="2">
        <v>111.9</v>
      </c>
      <c r="J1907" s="3">
        <v>6</v>
      </c>
      <c r="K1907" s="2">
        <v>51.47</v>
      </c>
    </row>
    <row r="1908" spans="1:11" x14ac:dyDescent="0.35">
      <c r="A1908" s="1">
        <v>42707</v>
      </c>
      <c r="B1908" s="3">
        <f t="shared" si="58"/>
        <v>2016</v>
      </c>
      <c r="C1908" s="3">
        <f t="shared" si="59"/>
        <v>12</v>
      </c>
      <c r="D1908" t="s">
        <v>1515</v>
      </c>
      <c r="E1908" t="s">
        <v>575</v>
      </c>
      <c r="F1908" t="s">
        <v>18</v>
      </c>
      <c r="G1908" t="s">
        <v>42</v>
      </c>
      <c r="H1908" t="s">
        <v>980</v>
      </c>
      <c r="I1908" s="2">
        <v>581.96</v>
      </c>
      <c r="J1908" s="3">
        <v>2</v>
      </c>
      <c r="K1908" s="2">
        <v>104.75</v>
      </c>
    </row>
    <row r="1909" spans="1:11" x14ac:dyDescent="0.35">
      <c r="A1909" s="1">
        <v>42707</v>
      </c>
      <c r="B1909" s="3">
        <f t="shared" si="58"/>
        <v>2016</v>
      </c>
      <c r="C1909" s="3">
        <f t="shared" si="59"/>
        <v>12</v>
      </c>
      <c r="D1909" t="s">
        <v>1515</v>
      </c>
      <c r="E1909" t="s">
        <v>575</v>
      </c>
      <c r="F1909" t="s">
        <v>18</v>
      </c>
      <c r="G1909" t="s">
        <v>19</v>
      </c>
      <c r="H1909" t="s">
        <v>252</v>
      </c>
      <c r="I1909" s="2">
        <v>29.98</v>
      </c>
      <c r="J1909" s="3">
        <v>1</v>
      </c>
      <c r="K1909" s="2">
        <v>8.09</v>
      </c>
    </row>
    <row r="1910" spans="1:11" x14ac:dyDescent="0.35">
      <c r="A1910" s="1">
        <v>42707</v>
      </c>
      <c r="B1910" s="3">
        <f t="shared" si="58"/>
        <v>2016</v>
      </c>
      <c r="C1910" s="3">
        <f t="shared" si="59"/>
        <v>12</v>
      </c>
      <c r="D1910" t="s">
        <v>1774</v>
      </c>
      <c r="E1910" t="s">
        <v>45</v>
      </c>
      <c r="F1910" t="s">
        <v>28</v>
      </c>
      <c r="G1910" t="s">
        <v>38</v>
      </c>
      <c r="H1910" t="s">
        <v>576</v>
      </c>
      <c r="I1910" s="2">
        <v>772.68</v>
      </c>
      <c r="J1910" s="3">
        <v>4</v>
      </c>
      <c r="K1910" s="2">
        <v>108.18</v>
      </c>
    </row>
    <row r="1911" spans="1:11" x14ac:dyDescent="0.35">
      <c r="A1911" s="1">
        <v>42707</v>
      </c>
      <c r="B1911" s="3">
        <f t="shared" si="58"/>
        <v>2016</v>
      </c>
      <c r="C1911" s="3">
        <f t="shared" si="59"/>
        <v>12</v>
      </c>
      <c r="D1911" t="s">
        <v>219</v>
      </c>
      <c r="E1911" t="s">
        <v>45</v>
      </c>
      <c r="F1911" t="s">
        <v>18</v>
      </c>
      <c r="G1911" t="s">
        <v>42</v>
      </c>
      <c r="H1911" t="s">
        <v>1775</v>
      </c>
      <c r="I1911" s="2">
        <v>268.7</v>
      </c>
      <c r="J1911" s="3">
        <v>3</v>
      </c>
      <c r="K1911" s="2">
        <v>6.72</v>
      </c>
    </row>
    <row r="1912" spans="1:11" x14ac:dyDescent="0.35">
      <c r="A1912" s="1">
        <v>42707</v>
      </c>
      <c r="B1912" s="3">
        <f t="shared" si="58"/>
        <v>2016</v>
      </c>
      <c r="C1912" s="3">
        <f t="shared" si="59"/>
        <v>12</v>
      </c>
      <c r="D1912" t="s">
        <v>219</v>
      </c>
      <c r="E1912" t="s">
        <v>45</v>
      </c>
      <c r="F1912" t="s">
        <v>28</v>
      </c>
      <c r="G1912" t="s">
        <v>64</v>
      </c>
      <c r="H1912" t="s">
        <v>526</v>
      </c>
      <c r="I1912" s="2">
        <v>21.92</v>
      </c>
      <c r="J1912" s="3">
        <v>8</v>
      </c>
      <c r="K1912" s="2">
        <v>5.92</v>
      </c>
    </row>
    <row r="1913" spans="1:11" x14ac:dyDescent="0.35">
      <c r="A1913" s="1">
        <v>42707</v>
      </c>
      <c r="B1913" s="3">
        <f t="shared" si="58"/>
        <v>2016</v>
      </c>
      <c r="C1913" s="3">
        <f t="shared" si="59"/>
        <v>12</v>
      </c>
      <c r="D1913" t="s">
        <v>219</v>
      </c>
      <c r="E1913" t="s">
        <v>45</v>
      </c>
      <c r="F1913" t="s">
        <v>28</v>
      </c>
      <c r="G1913" t="s">
        <v>38</v>
      </c>
      <c r="H1913" t="s">
        <v>328</v>
      </c>
      <c r="I1913" s="2">
        <v>48.72</v>
      </c>
      <c r="J1913" s="3">
        <v>3</v>
      </c>
      <c r="K1913" s="2">
        <v>7.31</v>
      </c>
    </row>
    <row r="1914" spans="1:11" x14ac:dyDescent="0.35">
      <c r="A1914" s="1">
        <v>42707</v>
      </c>
      <c r="B1914" s="3">
        <f t="shared" si="58"/>
        <v>2016</v>
      </c>
      <c r="C1914" s="3">
        <f t="shared" si="59"/>
        <v>12</v>
      </c>
      <c r="D1914" t="s">
        <v>219</v>
      </c>
      <c r="E1914" t="s">
        <v>45</v>
      </c>
      <c r="F1914" t="s">
        <v>18</v>
      </c>
      <c r="G1914" t="s">
        <v>237</v>
      </c>
      <c r="H1914" t="s">
        <v>973</v>
      </c>
      <c r="I1914" s="2">
        <v>205.67</v>
      </c>
      <c r="J1914" s="3">
        <v>2</v>
      </c>
      <c r="K1914" s="2">
        <v>-12.1</v>
      </c>
    </row>
    <row r="1915" spans="1:11" x14ac:dyDescent="0.35">
      <c r="A1915" s="1">
        <v>42373</v>
      </c>
      <c r="B1915" s="3">
        <f t="shared" si="58"/>
        <v>2016</v>
      </c>
      <c r="C1915" s="3">
        <f t="shared" si="59"/>
        <v>1</v>
      </c>
      <c r="D1915" t="s">
        <v>1776</v>
      </c>
      <c r="E1915" t="s">
        <v>81</v>
      </c>
      <c r="F1915" t="s">
        <v>13</v>
      </c>
      <c r="G1915" t="s">
        <v>143</v>
      </c>
      <c r="H1915" t="s">
        <v>1619</v>
      </c>
      <c r="I1915" s="2">
        <v>959.97</v>
      </c>
      <c r="J1915" s="3">
        <v>4</v>
      </c>
      <c r="K1915" s="2">
        <v>120</v>
      </c>
    </row>
    <row r="1916" spans="1:11" x14ac:dyDescent="0.35">
      <c r="A1916" s="1">
        <v>42373</v>
      </c>
      <c r="B1916" s="3">
        <f t="shared" si="58"/>
        <v>2016</v>
      </c>
      <c r="C1916" s="3">
        <f t="shared" si="59"/>
        <v>1</v>
      </c>
      <c r="D1916" t="s">
        <v>1777</v>
      </c>
      <c r="E1916" t="s">
        <v>89</v>
      </c>
      <c r="F1916" t="s">
        <v>28</v>
      </c>
      <c r="G1916" t="s">
        <v>64</v>
      </c>
      <c r="H1916" t="s">
        <v>748</v>
      </c>
      <c r="I1916" s="2">
        <v>4.67</v>
      </c>
      <c r="J1916" s="3">
        <v>1</v>
      </c>
      <c r="K1916" s="2">
        <v>0.57999999999999996</v>
      </c>
    </row>
    <row r="1917" spans="1:11" x14ac:dyDescent="0.35">
      <c r="A1917" s="1">
        <v>42373</v>
      </c>
      <c r="B1917" s="3">
        <f t="shared" si="58"/>
        <v>2016</v>
      </c>
      <c r="C1917" s="3">
        <f t="shared" si="59"/>
        <v>1</v>
      </c>
      <c r="D1917" t="s">
        <v>1777</v>
      </c>
      <c r="E1917" t="s">
        <v>89</v>
      </c>
      <c r="F1917" t="s">
        <v>28</v>
      </c>
      <c r="G1917" t="s">
        <v>48</v>
      </c>
      <c r="H1917" t="s">
        <v>914</v>
      </c>
      <c r="I1917" s="2">
        <v>104.58</v>
      </c>
      <c r="J1917" s="3">
        <v>6</v>
      </c>
      <c r="K1917" s="2">
        <v>-80.180000000000007</v>
      </c>
    </row>
    <row r="1918" spans="1:11" x14ac:dyDescent="0.35">
      <c r="A1918" s="1">
        <v>42404</v>
      </c>
      <c r="B1918" s="3">
        <f t="shared" si="58"/>
        <v>2016</v>
      </c>
      <c r="C1918" s="3">
        <f t="shared" si="59"/>
        <v>2</v>
      </c>
      <c r="D1918" t="s">
        <v>1778</v>
      </c>
      <c r="E1918" t="s">
        <v>211</v>
      </c>
      <c r="F1918" t="s">
        <v>18</v>
      </c>
      <c r="G1918" t="s">
        <v>36</v>
      </c>
      <c r="H1918" t="s">
        <v>583</v>
      </c>
      <c r="I1918" s="2">
        <v>14.37</v>
      </c>
      <c r="J1918" s="3">
        <v>2</v>
      </c>
      <c r="K1918" s="2">
        <v>3.95</v>
      </c>
    </row>
    <row r="1919" spans="1:11" x14ac:dyDescent="0.35">
      <c r="A1919" s="1">
        <v>42404</v>
      </c>
      <c r="B1919" s="3">
        <f t="shared" si="58"/>
        <v>2016</v>
      </c>
      <c r="C1919" s="3">
        <f t="shared" si="59"/>
        <v>2</v>
      </c>
      <c r="D1919" t="s">
        <v>653</v>
      </c>
      <c r="E1919" t="s">
        <v>249</v>
      </c>
      <c r="F1919" t="s">
        <v>13</v>
      </c>
      <c r="G1919" t="s">
        <v>23</v>
      </c>
      <c r="H1919" t="s">
        <v>156</v>
      </c>
      <c r="I1919" s="2">
        <v>90.48</v>
      </c>
      <c r="J1919" s="3">
        <v>2</v>
      </c>
      <c r="K1919" s="2">
        <v>23.52</v>
      </c>
    </row>
    <row r="1920" spans="1:11" x14ac:dyDescent="0.35">
      <c r="A1920" s="1">
        <v>42404</v>
      </c>
      <c r="B1920" s="3">
        <f t="shared" si="58"/>
        <v>2016</v>
      </c>
      <c r="C1920" s="3">
        <f t="shared" si="59"/>
        <v>2</v>
      </c>
      <c r="D1920" t="s">
        <v>1047</v>
      </c>
      <c r="E1920" t="s">
        <v>45</v>
      </c>
      <c r="F1920" t="s">
        <v>28</v>
      </c>
      <c r="G1920" t="s">
        <v>38</v>
      </c>
      <c r="H1920" t="s">
        <v>363</v>
      </c>
      <c r="I1920" s="2">
        <v>93.02</v>
      </c>
      <c r="J1920" s="3">
        <v>2</v>
      </c>
      <c r="K1920" s="2">
        <v>3.72</v>
      </c>
    </row>
    <row r="1921" spans="1:11" x14ac:dyDescent="0.35">
      <c r="A1921" s="1">
        <v>42433</v>
      </c>
      <c r="B1921" s="3">
        <f t="shared" si="58"/>
        <v>2016</v>
      </c>
      <c r="C1921" s="3">
        <f t="shared" si="59"/>
        <v>3</v>
      </c>
      <c r="D1921" t="s">
        <v>1779</v>
      </c>
      <c r="E1921" t="s">
        <v>45</v>
      </c>
      <c r="F1921" t="s">
        <v>28</v>
      </c>
      <c r="G1921" t="s">
        <v>64</v>
      </c>
      <c r="H1921" t="s">
        <v>1780</v>
      </c>
      <c r="I1921" s="2">
        <v>16.989999999999998</v>
      </c>
      <c r="J1921" s="3">
        <v>1</v>
      </c>
      <c r="K1921" s="2">
        <v>4.93</v>
      </c>
    </row>
    <row r="1922" spans="1:11" x14ac:dyDescent="0.35">
      <c r="A1922" s="1">
        <v>42433</v>
      </c>
      <c r="B1922" s="3">
        <f t="shared" ref="B1922:B1985" si="60">YEAR(A1922)</f>
        <v>2016</v>
      </c>
      <c r="C1922" s="3">
        <f t="shared" ref="C1922:C1985" si="61">MONTH(A1922)</f>
        <v>3</v>
      </c>
      <c r="D1922" t="s">
        <v>1781</v>
      </c>
      <c r="E1922" t="s">
        <v>77</v>
      </c>
      <c r="F1922" t="s">
        <v>28</v>
      </c>
      <c r="G1922" t="s">
        <v>46</v>
      </c>
      <c r="H1922" t="s">
        <v>355</v>
      </c>
      <c r="I1922" s="2">
        <v>10.08</v>
      </c>
      <c r="J1922" s="3">
        <v>4</v>
      </c>
      <c r="K1922" s="2">
        <v>3.53</v>
      </c>
    </row>
    <row r="1923" spans="1:11" x14ac:dyDescent="0.35">
      <c r="A1923" s="1">
        <v>42433</v>
      </c>
      <c r="B1923" s="3">
        <f t="shared" si="60"/>
        <v>2016</v>
      </c>
      <c r="C1923" s="3">
        <f t="shared" si="61"/>
        <v>3</v>
      </c>
      <c r="D1923" t="s">
        <v>680</v>
      </c>
      <c r="E1923" t="s">
        <v>575</v>
      </c>
      <c r="F1923" t="s">
        <v>28</v>
      </c>
      <c r="G1923" t="s">
        <v>48</v>
      </c>
      <c r="H1923" t="s">
        <v>681</v>
      </c>
      <c r="I1923" s="2">
        <v>128.4</v>
      </c>
      <c r="J1923" s="3">
        <v>3</v>
      </c>
      <c r="K1923" s="2">
        <v>64.2</v>
      </c>
    </row>
    <row r="1924" spans="1:11" x14ac:dyDescent="0.35">
      <c r="A1924" s="1">
        <v>42433</v>
      </c>
      <c r="B1924" s="3">
        <f t="shared" si="60"/>
        <v>2016</v>
      </c>
      <c r="C1924" s="3">
        <f t="shared" si="61"/>
        <v>3</v>
      </c>
      <c r="D1924" t="s">
        <v>1366</v>
      </c>
      <c r="E1924" t="s">
        <v>1213</v>
      </c>
      <c r="F1924" t="s">
        <v>13</v>
      </c>
      <c r="G1924" t="s">
        <v>14</v>
      </c>
      <c r="H1924" t="s">
        <v>1027</v>
      </c>
      <c r="I1924" s="2">
        <v>159.97999999999999</v>
      </c>
      <c r="J1924" s="3">
        <v>2</v>
      </c>
      <c r="K1924" s="2">
        <v>57.59</v>
      </c>
    </row>
    <row r="1925" spans="1:11" x14ac:dyDescent="0.35">
      <c r="A1925" s="1">
        <v>42464</v>
      </c>
      <c r="B1925" s="3">
        <f t="shared" si="60"/>
        <v>2016</v>
      </c>
      <c r="C1925" s="3">
        <f t="shared" si="61"/>
        <v>4</v>
      </c>
      <c r="D1925" t="s">
        <v>524</v>
      </c>
      <c r="E1925" t="s">
        <v>173</v>
      </c>
      <c r="F1925" t="s">
        <v>13</v>
      </c>
      <c r="G1925" t="s">
        <v>23</v>
      </c>
      <c r="H1925" t="s">
        <v>1782</v>
      </c>
      <c r="I1925" s="2">
        <v>149.97</v>
      </c>
      <c r="J1925" s="3">
        <v>3</v>
      </c>
      <c r="K1925" s="2">
        <v>6</v>
      </c>
    </row>
    <row r="1926" spans="1:11" x14ac:dyDescent="0.35">
      <c r="A1926" s="1">
        <v>42464</v>
      </c>
      <c r="B1926" s="3">
        <f t="shared" si="60"/>
        <v>2016</v>
      </c>
      <c r="C1926" s="3">
        <f t="shared" si="61"/>
        <v>4</v>
      </c>
      <c r="D1926" t="s">
        <v>524</v>
      </c>
      <c r="E1926" t="s">
        <v>173</v>
      </c>
      <c r="F1926" t="s">
        <v>28</v>
      </c>
      <c r="G1926" t="s">
        <v>29</v>
      </c>
      <c r="H1926" t="s">
        <v>966</v>
      </c>
      <c r="I1926" s="2">
        <v>27.81</v>
      </c>
      <c r="J1926" s="3">
        <v>3</v>
      </c>
      <c r="K1926" s="2">
        <v>13.07</v>
      </c>
    </row>
    <row r="1927" spans="1:11" x14ac:dyDescent="0.35">
      <c r="A1927" s="1">
        <v>42464</v>
      </c>
      <c r="B1927" s="3">
        <f t="shared" si="60"/>
        <v>2016</v>
      </c>
      <c r="C1927" s="3">
        <f t="shared" si="61"/>
        <v>4</v>
      </c>
      <c r="D1927" t="s">
        <v>1783</v>
      </c>
      <c r="E1927" t="s">
        <v>22</v>
      </c>
      <c r="F1927" t="s">
        <v>28</v>
      </c>
      <c r="G1927" t="s">
        <v>48</v>
      </c>
      <c r="H1927" t="s">
        <v>788</v>
      </c>
      <c r="I1927" s="2">
        <v>588.78</v>
      </c>
      <c r="J1927" s="3">
        <v>2</v>
      </c>
      <c r="K1927" s="2">
        <v>184</v>
      </c>
    </row>
    <row r="1928" spans="1:11" x14ac:dyDescent="0.35">
      <c r="A1928" s="1">
        <v>42464</v>
      </c>
      <c r="B1928" s="3">
        <f t="shared" si="60"/>
        <v>2016</v>
      </c>
      <c r="C1928" s="3">
        <f t="shared" si="61"/>
        <v>4</v>
      </c>
      <c r="D1928" t="s">
        <v>564</v>
      </c>
      <c r="E1928" t="s">
        <v>22</v>
      </c>
      <c r="F1928" t="s">
        <v>18</v>
      </c>
      <c r="G1928" t="s">
        <v>36</v>
      </c>
      <c r="H1928" t="s">
        <v>908</v>
      </c>
      <c r="I1928" s="2">
        <v>82.64</v>
      </c>
      <c r="J1928" s="3">
        <v>2</v>
      </c>
      <c r="K1928" s="2">
        <v>7.44</v>
      </c>
    </row>
    <row r="1929" spans="1:11" x14ac:dyDescent="0.35">
      <c r="A1929" s="1">
        <v>42464</v>
      </c>
      <c r="B1929" s="3">
        <f t="shared" si="60"/>
        <v>2016</v>
      </c>
      <c r="C1929" s="3">
        <f t="shared" si="61"/>
        <v>4</v>
      </c>
      <c r="D1929" t="s">
        <v>564</v>
      </c>
      <c r="E1929" t="s">
        <v>22</v>
      </c>
      <c r="F1929" t="s">
        <v>28</v>
      </c>
      <c r="G1929" t="s">
        <v>38</v>
      </c>
      <c r="H1929" t="s">
        <v>438</v>
      </c>
      <c r="I1929" s="2">
        <v>31.02</v>
      </c>
      <c r="J1929" s="3">
        <v>2</v>
      </c>
      <c r="K1929" s="2">
        <v>8.07</v>
      </c>
    </row>
    <row r="1930" spans="1:11" x14ac:dyDescent="0.35">
      <c r="A1930" s="1">
        <v>42464</v>
      </c>
      <c r="B1930" s="3">
        <f t="shared" si="60"/>
        <v>2016</v>
      </c>
      <c r="C1930" s="3">
        <f t="shared" si="61"/>
        <v>4</v>
      </c>
      <c r="D1930" t="s">
        <v>564</v>
      </c>
      <c r="E1930" t="s">
        <v>22</v>
      </c>
      <c r="F1930" t="s">
        <v>13</v>
      </c>
      <c r="G1930" t="s">
        <v>14</v>
      </c>
      <c r="H1930" t="s">
        <v>1198</v>
      </c>
      <c r="I1930" s="2">
        <v>89.97</v>
      </c>
      <c r="J1930" s="3">
        <v>3</v>
      </c>
      <c r="K1930" s="2">
        <v>37.79</v>
      </c>
    </row>
    <row r="1931" spans="1:11" x14ac:dyDescent="0.35">
      <c r="A1931" s="1">
        <v>42525</v>
      </c>
      <c r="B1931" s="3">
        <f t="shared" si="60"/>
        <v>2016</v>
      </c>
      <c r="C1931" s="3">
        <f t="shared" si="61"/>
        <v>6</v>
      </c>
      <c r="D1931" t="s">
        <v>951</v>
      </c>
      <c r="E1931" t="s">
        <v>173</v>
      </c>
      <c r="F1931" t="s">
        <v>28</v>
      </c>
      <c r="G1931" t="s">
        <v>29</v>
      </c>
      <c r="H1931" t="s">
        <v>723</v>
      </c>
      <c r="I1931" s="2">
        <v>75.88</v>
      </c>
      <c r="J1931" s="3">
        <v>2</v>
      </c>
      <c r="K1931" s="2">
        <v>35.659999999999997</v>
      </c>
    </row>
    <row r="1932" spans="1:11" x14ac:dyDescent="0.35">
      <c r="A1932" s="1">
        <v>42525</v>
      </c>
      <c r="B1932" s="3">
        <f t="shared" si="60"/>
        <v>2016</v>
      </c>
      <c r="C1932" s="3">
        <f t="shared" si="61"/>
        <v>6</v>
      </c>
      <c r="D1932" t="s">
        <v>929</v>
      </c>
      <c r="E1932" t="s">
        <v>26</v>
      </c>
      <c r="F1932" t="s">
        <v>28</v>
      </c>
      <c r="G1932" t="s">
        <v>29</v>
      </c>
      <c r="H1932" t="s">
        <v>434</v>
      </c>
      <c r="I1932" s="2">
        <v>25.92</v>
      </c>
      <c r="J1932" s="3">
        <v>5</v>
      </c>
      <c r="K1932" s="2">
        <v>9.4</v>
      </c>
    </row>
    <row r="1933" spans="1:11" x14ac:dyDescent="0.35">
      <c r="A1933" s="1">
        <v>42525</v>
      </c>
      <c r="B1933" s="3">
        <f t="shared" si="60"/>
        <v>2016</v>
      </c>
      <c r="C1933" s="3">
        <f t="shared" si="61"/>
        <v>6</v>
      </c>
      <c r="D1933" t="s">
        <v>929</v>
      </c>
      <c r="E1933" t="s">
        <v>26</v>
      </c>
      <c r="F1933" t="s">
        <v>18</v>
      </c>
      <c r="G1933" t="s">
        <v>36</v>
      </c>
      <c r="H1933" t="s">
        <v>1784</v>
      </c>
      <c r="I1933" s="2">
        <v>419.68</v>
      </c>
      <c r="J1933" s="3">
        <v>5</v>
      </c>
      <c r="K1933" s="2">
        <v>-356.73</v>
      </c>
    </row>
    <row r="1934" spans="1:11" x14ac:dyDescent="0.35">
      <c r="A1934" s="1">
        <v>42525</v>
      </c>
      <c r="B1934" s="3">
        <f t="shared" si="60"/>
        <v>2016</v>
      </c>
      <c r="C1934" s="3">
        <f t="shared" si="61"/>
        <v>6</v>
      </c>
      <c r="D1934" t="s">
        <v>929</v>
      </c>
      <c r="E1934" t="s">
        <v>26</v>
      </c>
      <c r="F1934" t="s">
        <v>18</v>
      </c>
      <c r="G1934" t="s">
        <v>36</v>
      </c>
      <c r="H1934" t="s">
        <v>1223</v>
      </c>
      <c r="I1934" s="2">
        <v>11.69</v>
      </c>
      <c r="J1934" s="3">
        <v>3</v>
      </c>
      <c r="K1934" s="2">
        <v>-4.68</v>
      </c>
    </row>
    <row r="1935" spans="1:11" x14ac:dyDescent="0.35">
      <c r="A1935" s="1">
        <v>42525</v>
      </c>
      <c r="B1935" s="3">
        <f t="shared" si="60"/>
        <v>2016</v>
      </c>
      <c r="C1935" s="3">
        <f t="shared" si="61"/>
        <v>6</v>
      </c>
      <c r="D1935" t="s">
        <v>929</v>
      </c>
      <c r="E1935" t="s">
        <v>26</v>
      </c>
      <c r="F1935" t="s">
        <v>13</v>
      </c>
      <c r="G1935" t="s">
        <v>23</v>
      </c>
      <c r="H1935" t="s">
        <v>1785</v>
      </c>
      <c r="I1935" s="2">
        <v>31.98</v>
      </c>
      <c r="J1935" s="3">
        <v>2</v>
      </c>
      <c r="K1935" s="2">
        <v>11.19</v>
      </c>
    </row>
    <row r="1936" spans="1:11" x14ac:dyDescent="0.35">
      <c r="A1936" s="1">
        <v>42525</v>
      </c>
      <c r="B1936" s="3">
        <f t="shared" si="60"/>
        <v>2016</v>
      </c>
      <c r="C1936" s="3">
        <f t="shared" si="61"/>
        <v>6</v>
      </c>
      <c r="D1936" t="s">
        <v>929</v>
      </c>
      <c r="E1936" t="s">
        <v>26</v>
      </c>
      <c r="F1936" t="s">
        <v>18</v>
      </c>
      <c r="G1936" t="s">
        <v>42</v>
      </c>
      <c r="H1936" t="s">
        <v>1489</v>
      </c>
      <c r="I1936" s="2">
        <v>177.23</v>
      </c>
      <c r="J1936" s="3">
        <v>5</v>
      </c>
      <c r="K1936" s="2">
        <v>-120.51</v>
      </c>
    </row>
    <row r="1937" spans="1:11" x14ac:dyDescent="0.35">
      <c r="A1937" s="1">
        <v>42525</v>
      </c>
      <c r="B1937" s="3">
        <f t="shared" si="60"/>
        <v>2016</v>
      </c>
      <c r="C1937" s="3">
        <f t="shared" si="61"/>
        <v>6</v>
      </c>
      <c r="D1937" t="s">
        <v>929</v>
      </c>
      <c r="E1937" t="s">
        <v>26</v>
      </c>
      <c r="F1937" t="s">
        <v>18</v>
      </c>
      <c r="G1937" t="s">
        <v>36</v>
      </c>
      <c r="H1937" t="s">
        <v>1786</v>
      </c>
      <c r="I1937" s="2">
        <v>4.04</v>
      </c>
      <c r="J1937" s="3">
        <v>3</v>
      </c>
      <c r="K1937" s="2">
        <v>-2.83</v>
      </c>
    </row>
    <row r="1938" spans="1:11" x14ac:dyDescent="0.35">
      <c r="A1938" s="1">
        <v>42525</v>
      </c>
      <c r="B1938" s="3">
        <f t="shared" si="60"/>
        <v>2016</v>
      </c>
      <c r="C1938" s="3">
        <f t="shared" si="61"/>
        <v>6</v>
      </c>
      <c r="D1938" t="s">
        <v>929</v>
      </c>
      <c r="E1938" t="s">
        <v>26</v>
      </c>
      <c r="F1938" t="s">
        <v>28</v>
      </c>
      <c r="G1938" t="s">
        <v>64</v>
      </c>
      <c r="H1938" t="s">
        <v>443</v>
      </c>
      <c r="I1938" s="2">
        <v>7.41</v>
      </c>
      <c r="J1938" s="3">
        <v>2</v>
      </c>
      <c r="K1938" s="2">
        <v>1.2</v>
      </c>
    </row>
    <row r="1939" spans="1:11" x14ac:dyDescent="0.35">
      <c r="A1939" s="1">
        <v>42525</v>
      </c>
      <c r="B1939" s="3">
        <f t="shared" si="60"/>
        <v>2016</v>
      </c>
      <c r="C1939" s="3">
        <f t="shared" si="61"/>
        <v>6</v>
      </c>
      <c r="D1939" t="s">
        <v>1787</v>
      </c>
      <c r="E1939" t="s">
        <v>22</v>
      </c>
      <c r="F1939" t="s">
        <v>28</v>
      </c>
      <c r="G1939" t="s">
        <v>29</v>
      </c>
      <c r="H1939" t="s">
        <v>123</v>
      </c>
      <c r="I1939" s="2">
        <v>14.94</v>
      </c>
      <c r="J1939" s="3">
        <v>3</v>
      </c>
      <c r="K1939" s="2">
        <v>7.02</v>
      </c>
    </row>
    <row r="1940" spans="1:11" x14ac:dyDescent="0.35">
      <c r="A1940" s="1">
        <v>42525</v>
      </c>
      <c r="B1940" s="3">
        <f t="shared" si="60"/>
        <v>2016</v>
      </c>
      <c r="C1940" s="3">
        <f t="shared" si="61"/>
        <v>6</v>
      </c>
      <c r="D1940" t="s">
        <v>1787</v>
      </c>
      <c r="E1940" t="s">
        <v>22</v>
      </c>
      <c r="F1940" t="s">
        <v>13</v>
      </c>
      <c r="G1940" t="s">
        <v>204</v>
      </c>
      <c r="H1940" t="s">
        <v>1788</v>
      </c>
      <c r="I1940" s="2">
        <v>1349.85</v>
      </c>
      <c r="J1940" s="3">
        <v>3</v>
      </c>
      <c r="K1940" s="2">
        <v>364.46</v>
      </c>
    </row>
    <row r="1941" spans="1:11" x14ac:dyDescent="0.35">
      <c r="A1941" s="1">
        <v>42525</v>
      </c>
      <c r="B1941" s="3">
        <f t="shared" si="60"/>
        <v>2016</v>
      </c>
      <c r="C1941" s="3">
        <f t="shared" si="61"/>
        <v>6</v>
      </c>
      <c r="D1941" t="s">
        <v>1787</v>
      </c>
      <c r="E1941" t="s">
        <v>22</v>
      </c>
      <c r="F1941" t="s">
        <v>18</v>
      </c>
      <c r="G1941" t="s">
        <v>237</v>
      </c>
      <c r="H1941" t="s">
        <v>1789</v>
      </c>
      <c r="I1941" s="2">
        <v>136.78</v>
      </c>
      <c r="J1941" s="3">
        <v>1</v>
      </c>
      <c r="K1941" s="2">
        <v>5.13</v>
      </c>
    </row>
    <row r="1942" spans="1:11" x14ac:dyDescent="0.35">
      <c r="A1942" s="1">
        <v>42525</v>
      </c>
      <c r="B1942" s="3">
        <f t="shared" si="60"/>
        <v>2016</v>
      </c>
      <c r="C1942" s="3">
        <f t="shared" si="61"/>
        <v>6</v>
      </c>
      <c r="D1942" t="s">
        <v>1787</v>
      </c>
      <c r="E1942" t="s">
        <v>22</v>
      </c>
      <c r="F1942" t="s">
        <v>18</v>
      </c>
      <c r="G1942" t="s">
        <v>36</v>
      </c>
      <c r="H1942" t="s">
        <v>151</v>
      </c>
      <c r="I1942" s="2">
        <v>61.12</v>
      </c>
      <c r="J1942" s="3">
        <v>4</v>
      </c>
      <c r="K1942" s="2">
        <v>20.78</v>
      </c>
    </row>
    <row r="1943" spans="1:11" x14ac:dyDescent="0.35">
      <c r="A1943" s="1">
        <v>42555</v>
      </c>
      <c r="B1943" s="3">
        <f t="shared" si="60"/>
        <v>2016</v>
      </c>
      <c r="C1943" s="3">
        <f t="shared" si="61"/>
        <v>7</v>
      </c>
      <c r="D1943" t="s">
        <v>150</v>
      </c>
      <c r="E1943" t="s">
        <v>45</v>
      </c>
      <c r="F1943" t="s">
        <v>18</v>
      </c>
      <c r="G1943" t="s">
        <v>36</v>
      </c>
      <c r="H1943" t="s">
        <v>145</v>
      </c>
      <c r="I1943" s="2">
        <v>25.4</v>
      </c>
      <c r="J1943" s="3">
        <v>5</v>
      </c>
      <c r="K1943" s="2">
        <v>8.64</v>
      </c>
    </row>
    <row r="1944" spans="1:11" x14ac:dyDescent="0.35">
      <c r="A1944" s="1">
        <v>42555</v>
      </c>
      <c r="B1944" s="3">
        <f t="shared" si="60"/>
        <v>2016</v>
      </c>
      <c r="C1944" s="3">
        <f t="shared" si="61"/>
        <v>7</v>
      </c>
      <c r="D1944" t="s">
        <v>150</v>
      </c>
      <c r="E1944" t="s">
        <v>45</v>
      </c>
      <c r="F1944" t="s">
        <v>28</v>
      </c>
      <c r="G1944" t="s">
        <v>158</v>
      </c>
      <c r="H1944" t="s">
        <v>1709</v>
      </c>
      <c r="I1944" s="2">
        <v>43.96</v>
      </c>
      <c r="J1944" s="3">
        <v>2</v>
      </c>
      <c r="K1944" s="2">
        <v>20.66</v>
      </c>
    </row>
    <row r="1945" spans="1:11" x14ac:dyDescent="0.35">
      <c r="A1945" s="1">
        <v>42555</v>
      </c>
      <c r="B1945" s="3">
        <f t="shared" si="60"/>
        <v>2016</v>
      </c>
      <c r="C1945" s="3">
        <f t="shared" si="61"/>
        <v>7</v>
      </c>
      <c r="D1945" t="s">
        <v>150</v>
      </c>
      <c r="E1945" t="s">
        <v>45</v>
      </c>
      <c r="F1945" t="s">
        <v>18</v>
      </c>
      <c r="G1945" t="s">
        <v>237</v>
      </c>
      <c r="H1945" t="s">
        <v>1044</v>
      </c>
      <c r="I1945" s="2">
        <v>1279.17</v>
      </c>
      <c r="J1945" s="3">
        <v>5</v>
      </c>
      <c r="K1945" s="2">
        <v>225.74</v>
      </c>
    </row>
    <row r="1946" spans="1:11" x14ac:dyDescent="0.35">
      <c r="A1946" s="1">
        <v>42555</v>
      </c>
      <c r="B1946" s="3">
        <f t="shared" si="60"/>
        <v>2016</v>
      </c>
      <c r="C1946" s="3">
        <f t="shared" si="61"/>
        <v>7</v>
      </c>
      <c r="D1946" t="s">
        <v>150</v>
      </c>
      <c r="E1946" t="s">
        <v>45</v>
      </c>
      <c r="F1946" t="s">
        <v>28</v>
      </c>
      <c r="G1946" t="s">
        <v>38</v>
      </c>
      <c r="H1946" t="s">
        <v>270</v>
      </c>
      <c r="I1946" s="2">
        <v>27.92</v>
      </c>
      <c r="J1946" s="3">
        <v>4</v>
      </c>
      <c r="K1946" s="2">
        <v>0.56000000000000005</v>
      </c>
    </row>
    <row r="1947" spans="1:11" x14ac:dyDescent="0.35">
      <c r="A1947" s="1">
        <v>42555</v>
      </c>
      <c r="B1947" s="3">
        <f t="shared" si="60"/>
        <v>2016</v>
      </c>
      <c r="C1947" s="3">
        <f t="shared" si="61"/>
        <v>7</v>
      </c>
      <c r="D1947" t="s">
        <v>636</v>
      </c>
      <c r="E1947" t="s">
        <v>17</v>
      </c>
      <c r="F1947" t="s">
        <v>18</v>
      </c>
      <c r="G1947" t="s">
        <v>36</v>
      </c>
      <c r="H1947" t="s">
        <v>145</v>
      </c>
      <c r="I1947" s="2">
        <v>25.4</v>
      </c>
      <c r="J1947" s="3">
        <v>5</v>
      </c>
      <c r="K1947" s="2">
        <v>8.64</v>
      </c>
    </row>
    <row r="1948" spans="1:11" x14ac:dyDescent="0.35">
      <c r="A1948" s="1">
        <v>42555</v>
      </c>
      <c r="B1948" s="3">
        <f t="shared" si="60"/>
        <v>2016</v>
      </c>
      <c r="C1948" s="3">
        <f t="shared" si="61"/>
        <v>7</v>
      </c>
      <c r="D1948" t="s">
        <v>636</v>
      </c>
      <c r="E1948" t="s">
        <v>17</v>
      </c>
      <c r="F1948" t="s">
        <v>13</v>
      </c>
      <c r="G1948" t="s">
        <v>23</v>
      </c>
      <c r="H1948" t="s">
        <v>1790</v>
      </c>
      <c r="I1948" s="2">
        <v>177.48</v>
      </c>
      <c r="J1948" s="3">
        <v>3</v>
      </c>
      <c r="K1948" s="2">
        <v>19.97</v>
      </c>
    </row>
    <row r="1949" spans="1:11" x14ac:dyDescent="0.35">
      <c r="A1949" s="1">
        <v>42555</v>
      </c>
      <c r="B1949" s="3">
        <f t="shared" si="60"/>
        <v>2016</v>
      </c>
      <c r="C1949" s="3">
        <f t="shared" si="61"/>
        <v>7</v>
      </c>
      <c r="D1949" t="s">
        <v>636</v>
      </c>
      <c r="E1949" t="s">
        <v>17</v>
      </c>
      <c r="F1949" t="s">
        <v>13</v>
      </c>
      <c r="G1949" t="s">
        <v>23</v>
      </c>
      <c r="H1949" t="s">
        <v>1791</v>
      </c>
      <c r="I1949" s="2">
        <v>71.98</v>
      </c>
      <c r="J1949" s="3">
        <v>3</v>
      </c>
      <c r="K1949" s="2">
        <v>9</v>
      </c>
    </row>
    <row r="1950" spans="1:11" x14ac:dyDescent="0.35">
      <c r="A1950" s="1">
        <v>42586</v>
      </c>
      <c r="B1950" s="3">
        <f t="shared" si="60"/>
        <v>2016</v>
      </c>
      <c r="C1950" s="3">
        <f t="shared" si="61"/>
        <v>8</v>
      </c>
      <c r="D1950" t="s">
        <v>1792</v>
      </c>
      <c r="E1950" t="s">
        <v>173</v>
      </c>
      <c r="F1950" t="s">
        <v>28</v>
      </c>
      <c r="G1950" t="s">
        <v>215</v>
      </c>
      <c r="H1950" t="s">
        <v>1053</v>
      </c>
      <c r="I1950" s="2">
        <v>35.06</v>
      </c>
      <c r="J1950" s="3">
        <v>2</v>
      </c>
      <c r="K1950" s="2">
        <v>10.52</v>
      </c>
    </row>
    <row r="1951" spans="1:11" x14ac:dyDescent="0.35">
      <c r="A1951" s="1">
        <v>42586</v>
      </c>
      <c r="B1951" s="3">
        <f t="shared" si="60"/>
        <v>2016</v>
      </c>
      <c r="C1951" s="3">
        <f t="shared" si="61"/>
        <v>8</v>
      </c>
      <c r="D1951" t="s">
        <v>1792</v>
      </c>
      <c r="E1951" t="s">
        <v>173</v>
      </c>
      <c r="F1951" t="s">
        <v>28</v>
      </c>
      <c r="G1951" t="s">
        <v>46</v>
      </c>
      <c r="H1951" t="s">
        <v>1295</v>
      </c>
      <c r="I1951" s="2">
        <v>4.13</v>
      </c>
      <c r="J1951" s="3">
        <v>1</v>
      </c>
      <c r="K1951" s="2">
        <v>1.9</v>
      </c>
    </row>
    <row r="1952" spans="1:11" x14ac:dyDescent="0.35">
      <c r="A1952" s="1">
        <v>42586</v>
      </c>
      <c r="B1952" s="3">
        <f t="shared" si="60"/>
        <v>2016</v>
      </c>
      <c r="C1952" s="3">
        <f t="shared" si="61"/>
        <v>8</v>
      </c>
      <c r="D1952" t="s">
        <v>1792</v>
      </c>
      <c r="E1952" t="s">
        <v>173</v>
      </c>
      <c r="F1952" t="s">
        <v>18</v>
      </c>
      <c r="G1952" t="s">
        <v>36</v>
      </c>
      <c r="H1952" t="s">
        <v>468</v>
      </c>
      <c r="I1952" s="2">
        <v>109.8</v>
      </c>
      <c r="J1952" s="3">
        <v>9</v>
      </c>
      <c r="K1952" s="2">
        <v>46.12</v>
      </c>
    </row>
    <row r="1953" spans="1:11" x14ac:dyDescent="0.35">
      <c r="A1953" s="1">
        <v>42586</v>
      </c>
      <c r="B1953" s="3">
        <f t="shared" si="60"/>
        <v>2016</v>
      </c>
      <c r="C1953" s="3">
        <f t="shared" si="61"/>
        <v>8</v>
      </c>
      <c r="D1953" t="s">
        <v>1792</v>
      </c>
      <c r="E1953" t="s">
        <v>173</v>
      </c>
      <c r="F1953" t="s">
        <v>28</v>
      </c>
      <c r="G1953" t="s">
        <v>46</v>
      </c>
      <c r="H1953" t="s">
        <v>1793</v>
      </c>
      <c r="I1953" s="2">
        <v>9.82</v>
      </c>
      <c r="J1953" s="3">
        <v>2</v>
      </c>
      <c r="K1953" s="2">
        <v>4.8099999999999996</v>
      </c>
    </row>
    <row r="1954" spans="1:11" x14ac:dyDescent="0.35">
      <c r="A1954" s="1">
        <v>42586</v>
      </c>
      <c r="B1954" s="3">
        <f t="shared" si="60"/>
        <v>2016</v>
      </c>
      <c r="C1954" s="3">
        <f t="shared" si="61"/>
        <v>8</v>
      </c>
      <c r="D1954" t="s">
        <v>1794</v>
      </c>
      <c r="E1954" t="s">
        <v>26</v>
      </c>
      <c r="F1954" t="s">
        <v>28</v>
      </c>
      <c r="G1954" t="s">
        <v>48</v>
      </c>
      <c r="H1954" t="s">
        <v>1122</v>
      </c>
      <c r="I1954" s="2">
        <v>3.98</v>
      </c>
      <c r="J1954" s="3">
        <v>5</v>
      </c>
      <c r="K1954" s="2">
        <v>-6.57</v>
      </c>
    </row>
    <row r="1955" spans="1:11" x14ac:dyDescent="0.35">
      <c r="A1955" s="1">
        <v>42586</v>
      </c>
      <c r="B1955" s="3">
        <f t="shared" si="60"/>
        <v>2016</v>
      </c>
      <c r="C1955" s="3">
        <f t="shared" si="61"/>
        <v>8</v>
      </c>
      <c r="D1955" t="s">
        <v>1795</v>
      </c>
      <c r="E1955" t="s">
        <v>45</v>
      </c>
      <c r="F1955" t="s">
        <v>13</v>
      </c>
      <c r="G1955" t="s">
        <v>23</v>
      </c>
      <c r="H1955" t="s">
        <v>756</v>
      </c>
      <c r="I1955" s="2">
        <v>302.38</v>
      </c>
      <c r="J1955" s="3">
        <v>2</v>
      </c>
      <c r="K1955" s="2">
        <v>30.24</v>
      </c>
    </row>
    <row r="1956" spans="1:11" x14ac:dyDescent="0.35">
      <c r="A1956" s="1">
        <v>42586</v>
      </c>
      <c r="B1956" s="3">
        <f t="shared" si="60"/>
        <v>2016</v>
      </c>
      <c r="C1956" s="3">
        <f t="shared" si="61"/>
        <v>8</v>
      </c>
      <c r="D1956" t="s">
        <v>1795</v>
      </c>
      <c r="E1956" t="s">
        <v>45</v>
      </c>
      <c r="F1956" t="s">
        <v>28</v>
      </c>
      <c r="G1956" t="s">
        <v>48</v>
      </c>
      <c r="H1956" t="s">
        <v>775</v>
      </c>
      <c r="I1956" s="2">
        <v>20.95</v>
      </c>
      <c r="J1956" s="3">
        <v>3</v>
      </c>
      <c r="K1956" s="2">
        <v>7.07</v>
      </c>
    </row>
    <row r="1957" spans="1:11" x14ac:dyDescent="0.35">
      <c r="A1957" s="1">
        <v>42586</v>
      </c>
      <c r="B1957" s="3">
        <f t="shared" si="60"/>
        <v>2016</v>
      </c>
      <c r="C1957" s="3">
        <f t="shared" si="61"/>
        <v>8</v>
      </c>
      <c r="D1957" t="s">
        <v>1795</v>
      </c>
      <c r="E1957" t="s">
        <v>45</v>
      </c>
      <c r="F1957" t="s">
        <v>28</v>
      </c>
      <c r="G1957" t="s">
        <v>48</v>
      </c>
      <c r="H1957" t="s">
        <v>1796</v>
      </c>
      <c r="I1957" s="2">
        <v>11.78</v>
      </c>
      <c r="J1957" s="3">
        <v>3</v>
      </c>
      <c r="K1957" s="2">
        <v>3.98</v>
      </c>
    </row>
    <row r="1958" spans="1:11" x14ac:dyDescent="0.35">
      <c r="A1958" s="1">
        <v>42617</v>
      </c>
      <c r="B1958" s="3">
        <f t="shared" si="60"/>
        <v>2016</v>
      </c>
      <c r="C1958" s="3">
        <f t="shared" si="61"/>
        <v>9</v>
      </c>
      <c r="D1958" t="s">
        <v>86</v>
      </c>
      <c r="E1958" t="s">
        <v>32</v>
      </c>
      <c r="F1958" t="s">
        <v>28</v>
      </c>
      <c r="G1958" t="s">
        <v>64</v>
      </c>
      <c r="H1958" t="s">
        <v>1520</v>
      </c>
      <c r="I1958" s="2">
        <v>3.91</v>
      </c>
      <c r="J1958" s="3">
        <v>1</v>
      </c>
      <c r="K1958" s="2">
        <v>1.03</v>
      </c>
    </row>
    <row r="1959" spans="1:11" x14ac:dyDescent="0.35">
      <c r="A1959" s="1">
        <v>42617</v>
      </c>
      <c r="B1959" s="3">
        <f t="shared" si="60"/>
        <v>2016</v>
      </c>
      <c r="C1959" s="3">
        <f t="shared" si="61"/>
        <v>9</v>
      </c>
      <c r="D1959" t="s">
        <v>86</v>
      </c>
      <c r="E1959" t="s">
        <v>32</v>
      </c>
      <c r="F1959" t="s">
        <v>28</v>
      </c>
      <c r="G1959" t="s">
        <v>64</v>
      </c>
      <c r="H1959" t="s">
        <v>829</v>
      </c>
      <c r="I1959" s="2">
        <v>62.38</v>
      </c>
      <c r="J1959" s="3">
        <v>3</v>
      </c>
      <c r="K1959" s="2">
        <v>7.02</v>
      </c>
    </row>
    <row r="1960" spans="1:11" x14ac:dyDescent="0.35">
      <c r="A1960" s="1">
        <v>42617</v>
      </c>
      <c r="B1960" s="3">
        <f t="shared" si="60"/>
        <v>2016</v>
      </c>
      <c r="C1960" s="3">
        <f t="shared" si="61"/>
        <v>9</v>
      </c>
      <c r="D1960" t="s">
        <v>201</v>
      </c>
      <c r="E1960" t="s">
        <v>22</v>
      </c>
      <c r="F1960" t="s">
        <v>18</v>
      </c>
      <c r="G1960" t="s">
        <v>36</v>
      </c>
      <c r="H1960" t="s">
        <v>1327</v>
      </c>
      <c r="I1960" s="2">
        <v>63.94</v>
      </c>
      <c r="J1960" s="3">
        <v>1</v>
      </c>
      <c r="K1960" s="2">
        <v>24.94</v>
      </c>
    </row>
    <row r="1961" spans="1:11" x14ac:dyDescent="0.35">
      <c r="A1961" s="1">
        <v>42617</v>
      </c>
      <c r="B1961" s="3">
        <f t="shared" si="60"/>
        <v>2016</v>
      </c>
      <c r="C1961" s="3">
        <f t="shared" si="61"/>
        <v>9</v>
      </c>
      <c r="D1961" t="s">
        <v>201</v>
      </c>
      <c r="E1961" t="s">
        <v>22</v>
      </c>
      <c r="F1961" t="s">
        <v>28</v>
      </c>
      <c r="G1961" t="s">
        <v>48</v>
      </c>
      <c r="H1961" t="s">
        <v>1797</v>
      </c>
      <c r="I1961" s="2">
        <v>60.6</v>
      </c>
      <c r="J1961" s="3">
        <v>5</v>
      </c>
      <c r="K1961" s="2">
        <v>20.45</v>
      </c>
    </row>
    <row r="1962" spans="1:11" x14ac:dyDescent="0.35">
      <c r="A1962" s="1">
        <v>42617</v>
      </c>
      <c r="B1962" s="3">
        <f t="shared" si="60"/>
        <v>2016</v>
      </c>
      <c r="C1962" s="3">
        <f t="shared" si="61"/>
        <v>9</v>
      </c>
      <c r="D1962" t="s">
        <v>201</v>
      </c>
      <c r="E1962" t="s">
        <v>22</v>
      </c>
      <c r="F1962" t="s">
        <v>28</v>
      </c>
      <c r="G1962" t="s">
        <v>215</v>
      </c>
      <c r="H1962" t="s">
        <v>1798</v>
      </c>
      <c r="I1962" s="2">
        <v>22.72</v>
      </c>
      <c r="J1962" s="3">
        <v>4</v>
      </c>
      <c r="K1962" s="2">
        <v>6.59</v>
      </c>
    </row>
    <row r="1963" spans="1:11" x14ac:dyDescent="0.35">
      <c r="A1963" s="1">
        <v>42617</v>
      </c>
      <c r="B1963" s="3">
        <f t="shared" si="60"/>
        <v>2016</v>
      </c>
      <c r="C1963" s="3">
        <f t="shared" si="61"/>
        <v>9</v>
      </c>
      <c r="D1963" t="s">
        <v>534</v>
      </c>
      <c r="E1963" t="s">
        <v>326</v>
      </c>
      <c r="F1963" t="s">
        <v>28</v>
      </c>
      <c r="G1963" t="s">
        <v>29</v>
      </c>
      <c r="H1963" t="s">
        <v>256</v>
      </c>
      <c r="I1963" s="2">
        <v>12.19</v>
      </c>
      <c r="J1963" s="3">
        <v>3</v>
      </c>
      <c r="K1963" s="2">
        <v>4.1100000000000003</v>
      </c>
    </row>
    <row r="1964" spans="1:11" x14ac:dyDescent="0.35">
      <c r="A1964" s="1">
        <v>42617</v>
      </c>
      <c r="B1964" s="3">
        <f t="shared" si="60"/>
        <v>2016</v>
      </c>
      <c r="C1964" s="3">
        <f t="shared" si="61"/>
        <v>9</v>
      </c>
      <c r="D1964" t="s">
        <v>534</v>
      </c>
      <c r="E1964" t="s">
        <v>326</v>
      </c>
      <c r="F1964" t="s">
        <v>28</v>
      </c>
      <c r="G1964" t="s">
        <v>58</v>
      </c>
      <c r="H1964" t="s">
        <v>1464</v>
      </c>
      <c r="I1964" s="2">
        <v>87.17</v>
      </c>
      <c r="J1964" s="3">
        <v>2</v>
      </c>
      <c r="K1964" s="2">
        <v>8.7200000000000006</v>
      </c>
    </row>
    <row r="1965" spans="1:11" x14ac:dyDescent="0.35">
      <c r="A1965" s="1">
        <v>42617</v>
      </c>
      <c r="B1965" s="3">
        <f t="shared" si="60"/>
        <v>2016</v>
      </c>
      <c r="C1965" s="3">
        <f t="shared" si="61"/>
        <v>9</v>
      </c>
      <c r="D1965" t="s">
        <v>534</v>
      </c>
      <c r="E1965" t="s">
        <v>326</v>
      </c>
      <c r="F1965" t="s">
        <v>28</v>
      </c>
      <c r="G1965" t="s">
        <v>64</v>
      </c>
      <c r="H1965" t="s">
        <v>976</v>
      </c>
      <c r="I1965" s="2">
        <v>31.74</v>
      </c>
      <c r="J1965" s="3">
        <v>2</v>
      </c>
      <c r="K1965" s="2">
        <v>8.33</v>
      </c>
    </row>
    <row r="1966" spans="1:11" x14ac:dyDescent="0.35">
      <c r="A1966" s="1">
        <v>42617</v>
      </c>
      <c r="B1966" s="3">
        <f t="shared" si="60"/>
        <v>2016</v>
      </c>
      <c r="C1966" s="3">
        <f t="shared" si="61"/>
        <v>9</v>
      </c>
      <c r="D1966" t="s">
        <v>150</v>
      </c>
      <c r="E1966" t="s">
        <v>118</v>
      </c>
      <c r="F1966" t="s">
        <v>18</v>
      </c>
      <c r="G1966" t="s">
        <v>36</v>
      </c>
      <c r="H1966" t="s">
        <v>1159</v>
      </c>
      <c r="I1966" s="2">
        <v>42.6</v>
      </c>
      <c r="J1966" s="3">
        <v>3</v>
      </c>
      <c r="K1966" s="2">
        <v>16.61</v>
      </c>
    </row>
    <row r="1967" spans="1:11" x14ac:dyDescent="0.35">
      <c r="A1967" s="1">
        <v>42617</v>
      </c>
      <c r="B1967" s="3">
        <f t="shared" si="60"/>
        <v>2016</v>
      </c>
      <c r="C1967" s="3">
        <f t="shared" si="61"/>
        <v>9</v>
      </c>
      <c r="D1967" t="s">
        <v>150</v>
      </c>
      <c r="E1967" t="s">
        <v>118</v>
      </c>
      <c r="F1967" t="s">
        <v>28</v>
      </c>
      <c r="G1967" t="s">
        <v>48</v>
      </c>
      <c r="H1967" t="s">
        <v>869</v>
      </c>
      <c r="I1967" s="2">
        <v>113.94</v>
      </c>
      <c r="J1967" s="3">
        <v>6</v>
      </c>
      <c r="K1967" s="2">
        <v>54.69</v>
      </c>
    </row>
    <row r="1968" spans="1:11" x14ac:dyDescent="0.35">
      <c r="A1968" s="1">
        <v>42617</v>
      </c>
      <c r="B1968" s="3">
        <f t="shared" si="60"/>
        <v>2016</v>
      </c>
      <c r="C1968" s="3">
        <f t="shared" si="61"/>
        <v>9</v>
      </c>
      <c r="D1968" t="s">
        <v>150</v>
      </c>
      <c r="E1968" t="s">
        <v>118</v>
      </c>
      <c r="F1968" t="s">
        <v>28</v>
      </c>
      <c r="G1968" t="s">
        <v>38</v>
      </c>
      <c r="H1968" t="s">
        <v>884</v>
      </c>
      <c r="I1968" s="2">
        <v>129.91999999999999</v>
      </c>
      <c r="J1968" s="3">
        <v>4</v>
      </c>
      <c r="K1968" s="2">
        <v>5.2</v>
      </c>
    </row>
    <row r="1969" spans="1:11" x14ac:dyDescent="0.35">
      <c r="A1969" s="1">
        <v>42617</v>
      </c>
      <c r="B1969" s="3">
        <f t="shared" si="60"/>
        <v>2016</v>
      </c>
      <c r="C1969" s="3">
        <f t="shared" si="61"/>
        <v>9</v>
      </c>
      <c r="D1969" t="s">
        <v>150</v>
      </c>
      <c r="E1969" t="s">
        <v>118</v>
      </c>
      <c r="F1969" t="s">
        <v>28</v>
      </c>
      <c r="G1969" t="s">
        <v>64</v>
      </c>
      <c r="H1969" t="s">
        <v>726</v>
      </c>
      <c r="I1969" s="2">
        <v>5.28</v>
      </c>
      <c r="J1969" s="3">
        <v>3</v>
      </c>
      <c r="K1969" s="2">
        <v>2.5299999999999998</v>
      </c>
    </row>
    <row r="1970" spans="1:11" x14ac:dyDescent="0.35">
      <c r="A1970" s="1">
        <v>42617</v>
      </c>
      <c r="B1970" s="3">
        <f t="shared" si="60"/>
        <v>2016</v>
      </c>
      <c r="C1970" s="3">
        <f t="shared" si="61"/>
        <v>9</v>
      </c>
      <c r="D1970" t="s">
        <v>445</v>
      </c>
      <c r="E1970" t="s">
        <v>55</v>
      </c>
      <c r="F1970" t="s">
        <v>28</v>
      </c>
      <c r="G1970" t="s">
        <v>38</v>
      </c>
      <c r="H1970" t="s">
        <v>185</v>
      </c>
      <c r="I1970" s="2">
        <v>535.41</v>
      </c>
      <c r="J1970" s="3">
        <v>3</v>
      </c>
      <c r="K1970" s="2">
        <v>160.62</v>
      </c>
    </row>
    <row r="1971" spans="1:11" x14ac:dyDescent="0.35">
      <c r="A1971" s="1">
        <v>42617</v>
      </c>
      <c r="B1971" s="3">
        <f t="shared" si="60"/>
        <v>2016</v>
      </c>
      <c r="C1971" s="3">
        <f t="shared" si="61"/>
        <v>9</v>
      </c>
      <c r="D1971" t="s">
        <v>422</v>
      </c>
      <c r="E1971" t="s">
        <v>190</v>
      </c>
      <c r="F1971" t="s">
        <v>28</v>
      </c>
      <c r="G1971" t="s">
        <v>158</v>
      </c>
      <c r="H1971" t="s">
        <v>159</v>
      </c>
      <c r="I1971" s="2">
        <v>16.559999999999999</v>
      </c>
      <c r="J1971" s="3">
        <v>2</v>
      </c>
      <c r="K1971" s="2">
        <v>7.78</v>
      </c>
    </row>
    <row r="1972" spans="1:11" x14ac:dyDescent="0.35">
      <c r="A1972" s="1">
        <v>42617</v>
      </c>
      <c r="B1972" s="3">
        <f t="shared" si="60"/>
        <v>2016</v>
      </c>
      <c r="C1972" s="3">
        <f t="shared" si="61"/>
        <v>9</v>
      </c>
      <c r="D1972" t="s">
        <v>422</v>
      </c>
      <c r="E1972" t="s">
        <v>190</v>
      </c>
      <c r="F1972" t="s">
        <v>13</v>
      </c>
      <c r="G1972" t="s">
        <v>14</v>
      </c>
      <c r="H1972" t="s">
        <v>751</v>
      </c>
      <c r="I1972" s="2">
        <v>279.95</v>
      </c>
      <c r="J1972" s="3">
        <v>5</v>
      </c>
      <c r="K1972" s="2">
        <v>67.19</v>
      </c>
    </row>
    <row r="1973" spans="1:11" x14ac:dyDescent="0.35">
      <c r="A1973" s="1">
        <v>42617</v>
      </c>
      <c r="B1973" s="3">
        <f t="shared" si="60"/>
        <v>2016</v>
      </c>
      <c r="C1973" s="3">
        <f t="shared" si="61"/>
        <v>9</v>
      </c>
      <c r="D1973" t="s">
        <v>809</v>
      </c>
      <c r="E1973" t="s">
        <v>67</v>
      </c>
      <c r="F1973" t="s">
        <v>28</v>
      </c>
      <c r="G1973" t="s">
        <v>29</v>
      </c>
      <c r="H1973" t="s">
        <v>1399</v>
      </c>
      <c r="I1973" s="2">
        <v>239.5</v>
      </c>
      <c r="J1973" s="3">
        <v>5</v>
      </c>
      <c r="K1973" s="2">
        <v>114.96</v>
      </c>
    </row>
    <row r="1974" spans="1:11" x14ac:dyDescent="0.35">
      <c r="A1974" s="1">
        <v>42617</v>
      </c>
      <c r="B1974" s="3">
        <f t="shared" si="60"/>
        <v>2016</v>
      </c>
      <c r="C1974" s="3">
        <f t="shared" si="61"/>
        <v>9</v>
      </c>
      <c r="D1974" t="s">
        <v>1799</v>
      </c>
      <c r="E1974" t="s">
        <v>45</v>
      </c>
      <c r="F1974" t="s">
        <v>18</v>
      </c>
      <c r="G1974" t="s">
        <v>36</v>
      </c>
      <c r="H1974" t="s">
        <v>1800</v>
      </c>
      <c r="I1974" s="2">
        <v>24.27</v>
      </c>
      <c r="J1974" s="3">
        <v>3</v>
      </c>
      <c r="K1974" s="2">
        <v>8.74</v>
      </c>
    </row>
    <row r="1975" spans="1:11" x14ac:dyDescent="0.35">
      <c r="A1975" s="1">
        <v>42617</v>
      </c>
      <c r="B1975" s="3">
        <f t="shared" si="60"/>
        <v>2016</v>
      </c>
      <c r="C1975" s="3">
        <f t="shared" si="61"/>
        <v>9</v>
      </c>
      <c r="D1975" t="s">
        <v>1799</v>
      </c>
      <c r="E1975" t="s">
        <v>45</v>
      </c>
      <c r="F1975" t="s">
        <v>13</v>
      </c>
      <c r="G1975" t="s">
        <v>143</v>
      </c>
      <c r="H1975" t="s">
        <v>1315</v>
      </c>
      <c r="I1975" s="2">
        <v>2799.96</v>
      </c>
      <c r="J1975" s="3">
        <v>5</v>
      </c>
      <c r="K1975" s="2">
        <v>944.99</v>
      </c>
    </row>
    <row r="1976" spans="1:11" x14ac:dyDescent="0.35">
      <c r="A1976" s="1">
        <v>42647</v>
      </c>
      <c r="B1976" s="3">
        <f t="shared" si="60"/>
        <v>2016</v>
      </c>
      <c r="C1976" s="3">
        <f t="shared" si="61"/>
        <v>10</v>
      </c>
      <c r="D1976" t="s">
        <v>1801</v>
      </c>
      <c r="E1976" t="s">
        <v>32</v>
      </c>
      <c r="F1976" t="s">
        <v>28</v>
      </c>
      <c r="G1976" t="s">
        <v>158</v>
      </c>
      <c r="H1976" t="s">
        <v>1802</v>
      </c>
      <c r="I1976" s="2">
        <v>59.75</v>
      </c>
      <c r="J1976" s="3">
        <v>7</v>
      </c>
      <c r="K1976" s="2">
        <v>19.420000000000002</v>
      </c>
    </row>
    <row r="1977" spans="1:11" x14ac:dyDescent="0.35">
      <c r="A1977" s="1">
        <v>42647</v>
      </c>
      <c r="B1977" s="3">
        <f t="shared" si="60"/>
        <v>2016</v>
      </c>
      <c r="C1977" s="3">
        <f t="shared" si="61"/>
        <v>10</v>
      </c>
      <c r="D1977" t="s">
        <v>1060</v>
      </c>
      <c r="E1977" t="s">
        <v>1125</v>
      </c>
      <c r="F1977" t="s">
        <v>28</v>
      </c>
      <c r="G1977" t="s">
        <v>48</v>
      </c>
      <c r="H1977" t="s">
        <v>1803</v>
      </c>
      <c r="I1977" s="2">
        <v>30.4</v>
      </c>
      <c r="J1977" s="3">
        <v>1</v>
      </c>
      <c r="K1977" s="2">
        <v>13.98</v>
      </c>
    </row>
    <row r="1978" spans="1:11" x14ac:dyDescent="0.35">
      <c r="A1978" s="1">
        <v>42647</v>
      </c>
      <c r="B1978" s="3">
        <f t="shared" si="60"/>
        <v>2016</v>
      </c>
      <c r="C1978" s="3">
        <f t="shared" si="61"/>
        <v>10</v>
      </c>
      <c r="D1978" t="s">
        <v>1060</v>
      </c>
      <c r="E1978" t="s">
        <v>1125</v>
      </c>
      <c r="F1978" t="s">
        <v>13</v>
      </c>
      <c r="G1978" t="s">
        <v>143</v>
      </c>
      <c r="H1978" t="s">
        <v>677</v>
      </c>
      <c r="I1978" s="2">
        <v>5399.91</v>
      </c>
      <c r="J1978" s="3">
        <v>9</v>
      </c>
      <c r="K1978" s="2">
        <v>2591.96</v>
      </c>
    </row>
    <row r="1979" spans="1:11" x14ac:dyDescent="0.35">
      <c r="A1979" s="1">
        <v>42647</v>
      </c>
      <c r="B1979" s="3">
        <f t="shared" si="60"/>
        <v>2016</v>
      </c>
      <c r="C1979" s="3">
        <f t="shared" si="61"/>
        <v>10</v>
      </c>
      <c r="D1979" t="s">
        <v>1060</v>
      </c>
      <c r="E1979" t="s">
        <v>1125</v>
      </c>
      <c r="F1979" t="s">
        <v>28</v>
      </c>
      <c r="G1979" t="s">
        <v>38</v>
      </c>
      <c r="H1979" t="s">
        <v>1804</v>
      </c>
      <c r="I1979" s="2">
        <v>119.1</v>
      </c>
      <c r="J1979" s="3">
        <v>3</v>
      </c>
      <c r="K1979" s="2">
        <v>34.54</v>
      </c>
    </row>
    <row r="1980" spans="1:11" x14ac:dyDescent="0.35">
      <c r="A1980" s="1">
        <v>42647</v>
      </c>
      <c r="B1980" s="3">
        <f t="shared" si="60"/>
        <v>2016</v>
      </c>
      <c r="C1980" s="3">
        <f t="shared" si="61"/>
        <v>10</v>
      </c>
      <c r="D1980" t="s">
        <v>747</v>
      </c>
      <c r="E1980" t="s">
        <v>249</v>
      </c>
      <c r="F1980" t="s">
        <v>18</v>
      </c>
      <c r="G1980" t="s">
        <v>42</v>
      </c>
      <c r="H1980" t="s">
        <v>1805</v>
      </c>
      <c r="I1980" s="2">
        <v>239.37</v>
      </c>
      <c r="J1980" s="3">
        <v>2</v>
      </c>
      <c r="K1980" s="2">
        <v>-23.94</v>
      </c>
    </row>
    <row r="1981" spans="1:11" x14ac:dyDescent="0.35">
      <c r="A1981" s="1">
        <v>42647</v>
      </c>
      <c r="B1981" s="3">
        <f t="shared" si="60"/>
        <v>2016</v>
      </c>
      <c r="C1981" s="3">
        <f t="shared" si="61"/>
        <v>10</v>
      </c>
      <c r="D1981" t="s">
        <v>172</v>
      </c>
      <c r="E1981" t="s">
        <v>77</v>
      </c>
      <c r="F1981" t="s">
        <v>13</v>
      </c>
      <c r="G1981" t="s">
        <v>23</v>
      </c>
      <c r="H1981" t="s">
        <v>738</v>
      </c>
      <c r="I1981" s="2">
        <v>52.68</v>
      </c>
      <c r="J1981" s="3">
        <v>3</v>
      </c>
      <c r="K1981" s="2">
        <v>19.760000000000002</v>
      </c>
    </row>
    <row r="1982" spans="1:11" x14ac:dyDescent="0.35">
      <c r="A1982" s="1">
        <v>42647</v>
      </c>
      <c r="B1982" s="3">
        <f t="shared" si="60"/>
        <v>2016</v>
      </c>
      <c r="C1982" s="3">
        <f t="shared" si="61"/>
        <v>10</v>
      </c>
      <c r="D1982" t="s">
        <v>172</v>
      </c>
      <c r="E1982" t="s">
        <v>77</v>
      </c>
      <c r="F1982" t="s">
        <v>18</v>
      </c>
      <c r="G1982" t="s">
        <v>36</v>
      </c>
      <c r="H1982" t="s">
        <v>1760</v>
      </c>
      <c r="I1982" s="2">
        <v>11.57</v>
      </c>
      <c r="J1982" s="3">
        <v>3</v>
      </c>
      <c r="K1982" s="2">
        <v>2.6</v>
      </c>
    </row>
    <row r="1983" spans="1:11" x14ac:dyDescent="0.35">
      <c r="A1983" s="1">
        <v>42678</v>
      </c>
      <c r="B1983" s="3">
        <f t="shared" si="60"/>
        <v>2016</v>
      </c>
      <c r="C1983" s="3">
        <f t="shared" si="61"/>
        <v>11</v>
      </c>
      <c r="D1983" t="s">
        <v>508</v>
      </c>
      <c r="E1983" t="s">
        <v>118</v>
      </c>
      <c r="F1983" t="s">
        <v>28</v>
      </c>
      <c r="G1983" t="s">
        <v>33</v>
      </c>
      <c r="H1983" t="s">
        <v>1806</v>
      </c>
      <c r="I1983" s="2">
        <v>10.74</v>
      </c>
      <c r="J1983" s="3">
        <v>3</v>
      </c>
      <c r="K1983" s="2">
        <v>5.26</v>
      </c>
    </row>
    <row r="1984" spans="1:11" x14ac:dyDescent="0.35">
      <c r="A1984" s="1">
        <v>42678</v>
      </c>
      <c r="B1984" s="3">
        <f t="shared" si="60"/>
        <v>2016</v>
      </c>
      <c r="C1984" s="3">
        <f t="shared" si="61"/>
        <v>11</v>
      </c>
      <c r="D1984" t="s">
        <v>1807</v>
      </c>
      <c r="E1984" t="s">
        <v>17</v>
      </c>
      <c r="F1984" t="s">
        <v>18</v>
      </c>
      <c r="G1984" t="s">
        <v>36</v>
      </c>
      <c r="H1984" t="s">
        <v>1747</v>
      </c>
      <c r="I1984" s="2">
        <v>209.88</v>
      </c>
      <c r="J1984" s="3">
        <v>3</v>
      </c>
      <c r="K1984" s="2">
        <v>35.68</v>
      </c>
    </row>
    <row r="1985" spans="1:11" x14ac:dyDescent="0.35">
      <c r="A1985" s="1">
        <v>42678</v>
      </c>
      <c r="B1985" s="3">
        <f t="shared" si="60"/>
        <v>2016</v>
      </c>
      <c r="C1985" s="3">
        <f t="shared" si="61"/>
        <v>11</v>
      </c>
      <c r="D1985" t="s">
        <v>706</v>
      </c>
      <c r="E1985" t="s">
        <v>45</v>
      </c>
      <c r="F1985" t="s">
        <v>18</v>
      </c>
      <c r="G1985" t="s">
        <v>36</v>
      </c>
      <c r="H1985" t="s">
        <v>357</v>
      </c>
      <c r="I1985" s="2">
        <v>38.29</v>
      </c>
      <c r="J1985" s="3">
        <v>7</v>
      </c>
      <c r="K1985" s="2">
        <v>16.46</v>
      </c>
    </row>
    <row r="1986" spans="1:11" x14ac:dyDescent="0.35">
      <c r="A1986" s="1">
        <v>42678</v>
      </c>
      <c r="B1986" s="3">
        <f t="shared" ref="B1986:B2049" si="62">YEAR(A1986)</f>
        <v>2016</v>
      </c>
      <c r="C1986" s="3">
        <f t="shared" ref="C1986:C2049" si="63">MONTH(A1986)</f>
        <v>11</v>
      </c>
      <c r="D1986" t="s">
        <v>1316</v>
      </c>
      <c r="E1986" t="s">
        <v>45</v>
      </c>
      <c r="F1986" t="s">
        <v>28</v>
      </c>
      <c r="G1986" t="s">
        <v>64</v>
      </c>
      <c r="H1986" t="s">
        <v>65</v>
      </c>
      <c r="I1986" s="2">
        <v>192.8</v>
      </c>
      <c r="J1986" s="3">
        <v>4</v>
      </c>
      <c r="K1986" s="2">
        <v>55.91</v>
      </c>
    </row>
    <row r="1987" spans="1:11" x14ac:dyDescent="0.35">
      <c r="A1987" s="1">
        <v>42678</v>
      </c>
      <c r="B1987" s="3">
        <f t="shared" si="62"/>
        <v>2016</v>
      </c>
      <c r="C1987" s="3">
        <f t="shared" si="63"/>
        <v>11</v>
      </c>
      <c r="D1987" t="s">
        <v>1045</v>
      </c>
      <c r="E1987" t="s">
        <v>107</v>
      </c>
      <c r="F1987" t="s">
        <v>28</v>
      </c>
      <c r="G1987" t="s">
        <v>215</v>
      </c>
      <c r="H1987" t="s">
        <v>1808</v>
      </c>
      <c r="I1987" s="2">
        <v>17.579999999999998</v>
      </c>
      <c r="J1987" s="3">
        <v>7</v>
      </c>
      <c r="K1987" s="2">
        <v>-4.18</v>
      </c>
    </row>
    <row r="1988" spans="1:11" x14ac:dyDescent="0.35">
      <c r="A1988" s="1">
        <v>42678</v>
      </c>
      <c r="B1988" s="3">
        <f t="shared" si="62"/>
        <v>2016</v>
      </c>
      <c r="C1988" s="3">
        <f t="shared" si="63"/>
        <v>11</v>
      </c>
      <c r="D1988" t="s">
        <v>1045</v>
      </c>
      <c r="E1988" t="s">
        <v>107</v>
      </c>
      <c r="F1988" t="s">
        <v>18</v>
      </c>
      <c r="G1988" t="s">
        <v>19</v>
      </c>
      <c r="H1988" t="s">
        <v>402</v>
      </c>
      <c r="I1988" s="2">
        <v>104.78</v>
      </c>
      <c r="J1988" s="3">
        <v>1</v>
      </c>
      <c r="K1988" s="2">
        <v>-14.41</v>
      </c>
    </row>
    <row r="1989" spans="1:11" x14ac:dyDescent="0.35">
      <c r="A1989" s="1">
        <v>42678</v>
      </c>
      <c r="B1989" s="3">
        <f t="shared" si="62"/>
        <v>2016</v>
      </c>
      <c r="C1989" s="3">
        <f t="shared" si="63"/>
        <v>11</v>
      </c>
      <c r="D1989" t="s">
        <v>1045</v>
      </c>
      <c r="E1989" t="s">
        <v>107</v>
      </c>
      <c r="F1989" t="s">
        <v>28</v>
      </c>
      <c r="G1989" t="s">
        <v>29</v>
      </c>
      <c r="H1989" t="s">
        <v>394</v>
      </c>
      <c r="I1989" s="2">
        <v>47.95</v>
      </c>
      <c r="J1989" s="3">
        <v>3</v>
      </c>
      <c r="K1989" s="2">
        <v>16.78</v>
      </c>
    </row>
    <row r="1990" spans="1:11" x14ac:dyDescent="0.35">
      <c r="A1990" s="1">
        <v>42678</v>
      </c>
      <c r="B1990" s="3">
        <f t="shared" si="62"/>
        <v>2016</v>
      </c>
      <c r="C1990" s="3">
        <f t="shared" si="63"/>
        <v>11</v>
      </c>
      <c r="D1990" t="s">
        <v>1045</v>
      </c>
      <c r="E1990" t="s">
        <v>107</v>
      </c>
      <c r="F1990" t="s">
        <v>18</v>
      </c>
      <c r="G1990" t="s">
        <v>19</v>
      </c>
      <c r="H1990" t="s">
        <v>941</v>
      </c>
      <c r="I1990" s="2">
        <v>650.35</v>
      </c>
      <c r="J1990" s="3">
        <v>3</v>
      </c>
      <c r="K1990" s="2">
        <v>-97.55</v>
      </c>
    </row>
    <row r="1991" spans="1:11" x14ac:dyDescent="0.35">
      <c r="A1991" s="1">
        <v>42678</v>
      </c>
      <c r="B1991" s="3">
        <f t="shared" si="62"/>
        <v>2016</v>
      </c>
      <c r="C1991" s="3">
        <f t="shared" si="63"/>
        <v>11</v>
      </c>
      <c r="D1991" t="s">
        <v>1045</v>
      </c>
      <c r="E1991" t="s">
        <v>107</v>
      </c>
      <c r="F1991" t="s">
        <v>28</v>
      </c>
      <c r="G1991" t="s">
        <v>46</v>
      </c>
      <c r="H1991" t="s">
        <v>840</v>
      </c>
      <c r="I1991" s="2">
        <v>629.17999999999995</v>
      </c>
      <c r="J1991" s="3">
        <v>8</v>
      </c>
      <c r="K1991" s="2">
        <v>228.08</v>
      </c>
    </row>
    <row r="1992" spans="1:11" x14ac:dyDescent="0.35">
      <c r="A1992" s="1">
        <v>42678</v>
      </c>
      <c r="B1992" s="3">
        <f t="shared" si="62"/>
        <v>2016</v>
      </c>
      <c r="C1992" s="3">
        <f t="shared" si="63"/>
        <v>11</v>
      </c>
      <c r="D1992" t="s">
        <v>1045</v>
      </c>
      <c r="E1992" t="s">
        <v>107</v>
      </c>
      <c r="F1992" t="s">
        <v>28</v>
      </c>
      <c r="G1992" t="s">
        <v>29</v>
      </c>
      <c r="H1992" t="s">
        <v>1809</v>
      </c>
      <c r="I1992" s="2">
        <v>15.18</v>
      </c>
      <c r="J1992" s="3">
        <v>1</v>
      </c>
      <c r="K1992" s="2">
        <v>5.31</v>
      </c>
    </row>
    <row r="1993" spans="1:11" x14ac:dyDescent="0.35">
      <c r="A1993" s="1">
        <v>42678</v>
      </c>
      <c r="B1993" s="3">
        <f t="shared" si="62"/>
        <v>2016</v>
      </c>
      <c r="C1993" s="3">
        <f t="shared" si="63"/>
        <v>11</v>
      </c>
      <c r="D1993" t="s">
        <v>1810</v>
      </c>
      <c r="E1993" t="s">
        <v>77</v>
      </c>
      <c r="F1993" t="s">
        <v>18</v>
      </c>
      <c r="G1993" t="s">
        <v>36</v>
      </c>
      <c r="H1993" t="s">
        <v>1710</v>
      </c>
      <c r="I1993" s="2">
        <v>50.5</v>
      </c>
      <c r="J1993" s="3">
        <v>6</v>
      </c>
      <c r="K1993" s="2">
        <v>8.2100000000000009</v>
      </c>
    </row>
    <row r="1994" spans="1:11" x14ac:dyDescent="0.35">
      <c r="A1994" s="1">
        <v>42678</v>
      </c>
      <c r="B1994" s="3">
        <f t="shared" si="62"/>
        <v>2016</v>
      </c>
      <c r="C1994" s="3">
        <f t="shared" si="63"/>
        <v>11</v>
      </c>
      <c r="D1994" t="s">
        <v>760</v>
      </c>
      <c r="E1994" t="s">
        <v>45</v>
      </c>
      <c r="F1994" t="s">
        <v>28</v>
      </c>
      <c r="G1994" t="s">
        <v>48</v>
      </c>
      <c r="H1994" t="s">
        <v>842</v>
      </c>
      <c r="I1994" s="2">
        <v>7.71</v>
      </c>
      <c r="J1994" s="3">
        <v>2</v>
      </c>
      <c r="K1994" s="2">
        <v>2.8</v>
      </c>
    </row>
    <row r="1995" spans="1:11" x14ac:dyDescent="0.35">
      <c r="A1995" s="1">
        <v>42678</v>
      </c>
      <c r="B1995" s="3">
        <f t="shared" si="62"/>
        <v>2016</v>
      </c>
      <c r="C1995" s="3">
        <f t="shared" si="63"/>
        <v>11</v>
      </c>
      <c r="D1995" t="s">
        <v>760</v>
      </c>
      <c r="E1995" t="s">
        <v>45</v>
      </c>
      <c r="F1995" t="s">
        <v>28</v>
      </c>
      <c r="G1995" t="s">
        <v>48</v>
      </c>
      <c r="H1995" t="s">
        <v>133</v>
      </c>
      <c r="I1995" s="2">
        <v>4.18</v>
      </c>
      <c r="J1995" s="3">
        <v>1</v>
      </c>
      <c r="K1995" s="2">
        <v>1.31</v>
      </c>
    </row>
    <row r="1996" spans="1:11" x14ac:dyDescent="0.35">
      <c r="A1996" s="1">
        <v>42678</v>
      </c>
      <c r="B1996" s="3">
        <f t="shared" si="62"/>
        <v>2016</v>
      </c>
      <c r="C1996" s="3">
        <f t="shared" si="63"/>
        <v>11</v>
      </c>
      <c r="D1996" t="s">
        <v>760</v>
      </c>
      <c r="E1996" t="s">
        <v>45</v>
      </c>
      <c r="F1996" t="s">
        <v>28</v>
      </c>
      <c r="G1996" t="s">
        <v>29</v>
      </c>
      <c r="H1996" t="s">
        <v>996</v>
      </c>
      <c r="I1996" s="2">
        <v>38.880000000000003</v>
      </c>
      <c r="J1996" s="3">
        <v>6</v>
      </c>
      <c r="K1996" s="2">
        <v>18.66</v>
      </c>
    </row>
    <row r="1997" spans="1:11" x14ac:dyDescent="0.35">
      <c r="A1997" s="1">
        <v>42678</v>
      </c>
      <c r="B1997" s="3">
        <f t="shared" si="62"/>
        <v>2016</v>
      </c>
      <c r="C1997" s="3">
        <f t="shared" si="63"/>
        <v>11</v>
      </c>
      <c r="D1997" t="s">
        <v>1811</v>
      </c>
      <c r="E1997" t="s">
        <v>81</v>
      </c>
      <c r="F1997" t="s">
        <v>28</v>
      </c>
      <c r="G1997" t="s">
        <v>38</v>
      </c>
      <c r="H1997" t="s">
        <v>452</v>
      </c>
      <c r="I1997" s="2">
        <v>45.25</v>
      </c>
      <c r="J1997" s="3">
        <v>2</v>
      </c>
      <c r="K1997" s="2">
        <v>3.96</v>
      </c>
    </row>
    <row r="1998" spans="1:11" x14ac:dyDescent="0.35">
      <c r="A1998" s="1">
        <v>42678</v>
      </c>
      <c r="B1998" s="3">
        <f t="shared" si="62"/>
        <v>2016</v>
      </c>
      <c r="C1998" s="3">
        <f t="shared" si="63"/>
        <v>11</v>
      </c>
      <c r="D1998" t="s">
        <v>1811</v>
      </c>
      <c r="E1998" t="s">
        <v>81</v>
      </c>
      <c r="F1998" t="s">
        <v>18</v>
      </c>
      <c r="G1998" t="s">
        <v>42</v>
      </c>
      <c r="H1998" t="s">
        <v>1812</v>
      </c>
      <c r="I1998" s="2">
        <v>876.3</v>
      </c>
      <c r="J1998" s="3">
        <v>10</v>
      </c>
      <c r="K1998" s="2">
        <v>-292.10000000000002</v>
      </c>
    </row>
    <row r="1999" spans="1:11" x14ac:dyDescent="0.35">
      <c r="A1999" s="1">
        <v>42678</v>
      </c>
      <c r="B1999" s="3">
        <f t="shared" si="62"/>
        <v>2016</v>
      </c>
      <c r="C1999" s="3">
        <f t="shared" si="63"/>
        <v>11</v>
      </c>
      <c r="D1999" t="s">
        <v>1811</v>
      </c>
      <c r="E1999" t="s">
        <v>81</v>
      </c>
      <c r="F1999" t="s">
        <v>28</v>
      </c>
      <c r="G1999" t="s">
        <v>215</v>
      </c>
      <c r="H1999" t="s">
        <v>1813</v>
      </c>
      <c r="I1999" s="2">
        <v>185.38</v>
      </c>
      <c r="J1999" s="3">
        <v>2</v>
      </c>
      <c r="K1999" s="2">
        <v>-34.76</v>
      </c>
    </row>
    <row r="2000" spans="1:11" x14ac:dyDescent="0.35">
      <c r="A2000" s="1">
        <v>42678</v>
      </c>
      <c r="B2000" s="3">
        <f t="shared" si="62"/>
        <v>2016</v>
      </c>
      <c r="C2000" s="3">
        <f t="shared" si="63"/>
        <v>11</v>
      </c>
      <c r="D2000" t="s">
        <v>1688</v>
      </c>
      <c r="E2000" t="s">
        <v>45</v>
      </c>
      <c r="F2000" t="s">
        <v>13</v>
      </c>
      <c r="G2000" t="s">
        <v>204</v>
      </c>
      <c r="H2000" t="s">
        <v>1814</v>
      </c>
      <c r="I2000" s="2">
        <v>686.4</v>
      </c>
      <c r="J2000" s="3">
        <v>2</v>
      </c>
      <c r="K2000" s="2">
        <v>77.22</v>
      </c>
    </row>
    <row r="2001" spans="1:11" x14ac:dyDescent="0.35">
      <c r="A2001" s="1">
        <v>42678</v>
      </c>
      <c r="B2001" s="3">
        <f t="shared" si="62"/>
        <v>2016</v>
      </c>
      <c r="C2001" s="3">
        <f t="shared" si="63"/>
        <v>11</v>
      </c>
      <c r="D2001" t="s">
        <v>867</v>
      </c>
      <c r="E2001" t="s">
        <v>32</v>
      </c>
      <c r="F2001" t="s">
        <v>18</v>
      </c>
      <c r="G2001" t="s">
        <v>36</v>
      </c>
      <c r="H2001" t="s">
        <v>1248</v>
      </c>
      <c r="I2001" s="2">
        <v>11.38</v>
      </c>
      <c r="J2001" s="3">
        <v>3</v>
      </c>
      <c r="K2001" s="2">
        <v>-5.69</v>
      </c>
    </row>
    <row r="2002" spans="1:11" x14ac:dyDescent="0.35">
      <c r="A2002" s="1">
        <v>42678</v>
      </c>
      <c r="B2002" s="3">
        <f t="shared" si="62"/>
        <v>2016</v>
      </c>
      <c r="C2002" s="3">
        <f t="shared" si="63"/>
        <v>11</v>
      </c>
      <c r="D2002" t="s">
        <v>867</v>
      </c>
      <c r="E2002" t="s">
        <v>32</v>
      </c>
      <c r="F2002" t="s">
        <v>18</v>
      </c>
      <c r="G2002" t="s">
        <v>36</v>
      </c>
      <c r="H2002" t="s">
        <v>908</v>
      </c>
      <c r="I2002" s="2">
        <v>66.11</v>
      </c>
      <c r="J2002" s="3">
        <v>4</v>
      </c>
      <c r="K2002" s="2">
        <v>-84.29</v>
      </c>
    </row>
    <row r="2003" spans="1:11" x14ac:dyDescent="0.35">
      <c r="A2003" s="1">
        <v>42708</v>
      </c>
      <c r="B2003" s="3">
        <f t="shared" si="62"/>
        <v>2016</v>
      </c>
      <c r="C2003" s="3">
        <f t="shared" si="63"/>
        <v>12</v>
      </c>
      <c r="D2003" t="s">
        <v>700</v>
      </c>
      <c r="E2003" t="s">
        <v>22</v>
      </c>
      <c r="F2003" t="s">
        <v>18</v>
      </c>
      <c r="G2003" t="s">
        <v>36</v>
      </c>
      <c r="H2003" t="s">
        <v>692</v>
      </c>
      <c r="I2003" s="2">
        <v>113.79</v>
      </c>
      <c r="J2003" s="3">
        <v>3</v>
      </c>
      <c r="K2003" s="2">
        <v>20.48</v>
      </c>
    </row>
    <row r="2004" spans="1:11" x14ac:dyDescent="0.35">
      <c r="A2004" s="1">
        <v>42708</v>
      </c>
      <c r="B2004" s="3">
        <f t="shared" si="62"/>
        <v>2016</v>
      </c>
      <c r="C2004" s="3">
        <f t="shared" si="63"/>
        <v>12</v>
      </c>
      <c r="D2004" t="s">
        <v>700</v>
      </c>
      <c r="E2004" t="s">
        <v>22</v>
      </c>
      <c r="F2004" t="s">
        <v>13</v>
      </c>
      <c r="G2004" t="s">
        <v>14</v>
      </c>
      <c r="H2004" t="s">
        <v>15</v>
      </c>
      <c r="I2004" s="2">
        <v>78.150000000000006</v>
      </c>
      <c r="J2004" s="3">
        <v>1</v>
      </c>
      <c r="K2004" s="2">
        <v>34.39</v>
      </c>
    </row>
    <row r="2005" spans="1:11" x14ac:dyDescent="0.35">
      <c r="A2005" s="1">
        <v>42708</v>
      </c>
      <c r="B2005" s="3">
        <f t="shared" si="62"/>
        <v>2016</v>
      </c>
      <c r="C2005" s="3">
        <f t="shared" si="63"/>
        <v>12</v>
      </c>
      <c r="D2005" t="s">
        <v>700</v>
      </c>
      <c r="E2005" t="s">
        <v>22</v>
      </c>
      <c r="F2005" t="s">
        <v>28</v>
      </c>
      <c r="G2005" t="s">
        <v>48</v>
      </c>
      <c r="H2005" t="s">
        <v>1815</v>
      </c>
      <c r="I2005" s="2">
        <v>1.73</v>
      </c>
      <c r="J2005" s="3">
        <v>1</v>
      </c>
      <c r="K2005" s="2">
        <v>0.6</v>
      </c>
    </row>
    <row r="2006" spans="1:11" x14ac:dyDescent="0.35">
      <c r="A2006" s="1">
        <v>42708</v>
      </c>
      <c r="B2006" s="3">
        <f t="shared" si="62"/>
        <v>2016</v>
      </c>
      <c r="C2006" s="3">
        <f t="shared" si="63"/>
        <v>12</v>
      </c>
      <c r="D2006" t="s">
        <v>700</v>
      </c>
      <c r="E2006" t="s">
        <v>22</v>
      </c>
      <c r="F2006" t="s">
        <v>28</v>
      </c>
      <c r="G2006" t="s">
        <v>29</v>
      </c>
      <c r="H2006" t="s">
        <v>123</v>
      </c>
      <c r="I2006" s="2">
        <v>40.56</v>
      </c>
      <c r="J2006" s="3">
        <v>4</v>
      </c>
      <c r="K2006" s="2">
        <v>19.87</v>
      </c>
    </row>
    <row r="2007" spans="1:11" x14ac:dyDescent="0.35">
      <c r="A2007" s="1">
        <v>42708</v>
      </c>
      <c r="B2007" s="3">
        <f t="shared" si="62"/>
        <v>2016</v>
      </c>
      <c r="C2007" s="3">
        <f t="shared" si="63"/>
        <v>12</v>
      </c>
      <c r="D2007" t="s">
        <v>700</v>
      </c>
      <c r="E2007" t="s">
        <v>22</v>
      </c>
      <c r="F2007" t="s">
        <v>28</v>
      </c>
      <c r="G2007" t="s">
        <v>38</v>
      </c>
      <c r="H2007" t="s">
        <v>1816</v>
      </c>
      <c r="I2007" s="2">
        <v>182.94</v>
      </c>
      <c r="J2007" s="3">
        <v>3</v>
      </c>
      <c r="K2007" s="2">
        <v>3.66</v>
      </c>
    </row>
    <row r="2008" spans="1:11" x14ac:dyDescent="0.35">
      <c r="A2008" s="1">
        <v>42708</v>
      </c>
      <c r="B2008" s="3">
        <f t="shared" si="62"/>
        <v>2016</v>
      </c>
      <c r="C2008" s="3">
        <f t="shared" si="63"/>
        <v>12</v>
      </c>
      <c r="D2008" t="s">
        <v>700</v>
      </c>
      <c r="E2008" t="s">
        <v>22</v>
      </c>
      <c r="F2008" t="s">
        <v>28</v>
      </c>
      <c r="G2008" t="s">
        <v>38</v>
      </c>
      <c r="H2008" t="s">
        <v>1817</v>
      </c>
      <c r="I2008" s="2">
        <v>193.86</v>
      </c>
      <c r="J2008" s="3">
        <v>2</v>
      </c>
      <c r="K2008" s="2">
        <v>11.63</v>
      </c>
    </row>
    <row r="2009" spans="1:11" x14ac:dyDescent="0.35">
      <c r="A2009" s="1">
        <v>42708</v>
      </c>
      <c r="B2009" s="3">
        <f t="shared" si="62"/>
        <v>2016</v>
      </c>
      <c r="C2009" s="3">
        <f t="shared" si="63"/>
        <v>12</v>
      </c>
      <c r="D2009" t="s">
        <v>1818</v>
      </c>
      <c r="E2009" t="s">
        <v>22</v>
      </c>
      <c r="F2009" t="s">
        <v>28</v>
      </c>
      <c r="G2009" t="s">
        <v>38</v>
      </c>
      <c r="H2009" t="s">
        <v>1819</v>
      </c>
      <c r="I2009" s="2">
        <v>212.88</v>
      </c>
      <c r="J2009" s="3">
        <v>6</v>
      </c>
      <c r="K2009" s="2">
        <v>0</v>
      </c>
    </row>
    <row r="2010" spans="1:11" x14ac:dyDescent="0.35">
      <c r="A2010" s="1">
        <v>42708</v>
      </c>
      <c r="B2010" s="3">
        <f t="shared" si="62"/>
        <v>2016</v>
      </c>
      <c r="C2010" s="3">
        <f t="shared" si="63"/>
        <v>12</v>
      </c>
      <c r="D2010" t="s">
        <v>1820</v>
      </c>
      <c r="E2010" t="s">
        <v>22</v>
      </c>
      <c r="F2010" t="s">
        <v>28</v>
      </c>
      <c r="G2010" t="s">
        <v>48</v>
      </c>
      <c r="H2010" t="s">
        <v>1821</v>
      </c>
      <c r="I2010" s="2">
        <v>15.53</v>
      </c>
      <c r="J2010" s="3">
        <v>3</v>
      </c>
      <c r="K2010" s="2">
        <v>5.82</v>
      </c>
    </row>
    <row r="2011" spans="1:11" x14ac:dyDescent="0.35">
      <c r="A2011" s="1">
        <v>42708</v>
      </c>
      <c r="B2011" s="3">
        <f t="shared" si="62"/>
        <v>2016</v>
      </c>
      <c r="C2011" s="3">
        <f t="shared" si="63"/>
        <v>12</v>
      </c>
      <c r="D2011" t="s">
        <v>721</v>
      </c>
      <c r="E2011" t="s">
        <v>45</v>
      </c>
      <c r="F2011" t="s">
        <v>28</v>
      </c>
      <c r="G2011" t="s">
        <v>29</v>
      </c>
      <c r="H2011" t="s">
        <v>1822</v>
      </c>
      <c r="I2011" s="2">
        <v>104.85</v>
      </c>
      <c r="J2011" s="3">
        <v>1</v>
      </c>
      <c r="K2011" s="2">
        <v>50.33</v>
      </c>
    </row>
    <row r="2012" spans="1:11" x14ac:dyDescent="0.35">
      <c r="A2012" s="1">
        <v>42374</v>
      </c>
      <c r="B2012" s="3">
        <f t="shared" si="62"/>
        <v>2016</v>
      </c>
      <c r="C2012" s="3">
        <f t="shared" si="63"/>
        <v>1</v>
      </c>
      <c r="D2012" t="s">
        <v>1823</v>
      </c>
      <c r="E2012" t="s">
        <v>77</v>
      </c>
      <c r="F2012" t="s">
        <v>13</v>
      </c>
      <c r="G2012" t="s">
        <v>14</v>
      </c>
      <c r="H2012" t="s">
        <v>1707</v>
      </c>
      <c r="I2012" s="2">
        <v>191.47</v>
      </c>
      <c r="J2012" s="3">
        <v>6</v>
      </c>
      <c r="K2012" s="2">
        <v>40.69</v>
      </c>
    </row>
    <row r="2013" spans="1:11" x14ac:dyDescent="0.35">
      <c r="A2013" s="1">
        <v>42374</v>
      </c>
      <c r="B2013" s="3">
        <f t="shared" si="62"/>
        <v>2016</v>
      </c>
      <c r="C2013" s="3">
        <f t="shared" si="63"/>
        <v>1</v>
      </c>
      <c r="D2013" t="s">
        <v>1823</v>
      </c>
      <c r="E2013" t="s">
        <v>77</v>
      </c>
      <c r="F2013" t="s">
        <v>28</v>
      </c>
      <c r="G2013" t="s">
        <v>64</v>
      </c>
      <c r="H2013" t="s">
        <v>1824</v>
      </c>
      <c r="I2013" s="2">
        <v>5.25</v>
      </c>
      <c r="J2013" s="3">
        <v>2</v>
      </c>
      <c r="K2013" s="2">
        <v>0.59</v>
      </c>
    </row>
    <row r="2014" spans="1:11" x14ac:dyDescent="0.35">
      <c r="A2014" s="1">
        <v>42374</v>
      </c>
      <c r="B2014" s="3">
        <f t="shared" si="62"/>
        <v>2016</v>
      </c>
      <c r="C2014" s="3">
        <f t="shared" si="63"/>
        <v>1</v>
      </c>
      <c r="D2014" t="s">
        <v>1823</v>
      </c>
      <c r="E2014" t="s">
        <v>77</v>
      </c>
      <c r="F2014" t="s">
        <v>13</v>
      </c>
      <c r="G2014" t="s">
        <v>23</v>
      </c>
      <c r="H2014" t="s">
        <v>187</v>
      </c>
      <c r="I2014" s="2">
        <v>59.18</v>
      </c>
      <c r="J2014" s="3">
        <v>2</v>
      </c>
      <c r="K2014" s="2">
        <v>5.18</v>
      </c>
    </row>
    <row r="2015" spans="1:11" x14ac:dyDescent="0.35">
      <c r="A2015" s="1">
        <v>42405</v>
      </c>
      <c r="B2015" s="3">
        <f t="shared" si="62"/>
        <v>2016</v>
      </c>
      <c r="C2015" s="3">
        <f t="shared" si="63"/>
        <v>2</v>
      </c>
      <c r="D2015" t="s">
        <v>724</v>
      </c>
      <c r="E2015" t="s">
        <v>165</v>
      </c>
      <c r="F2015" t="s">
        <v>28</v>
      </c>
      <c r="G2015" t="s">
        <v>38</v>
      </c>
      <c r="H2015" t="s">
        <v>598</v>
      </c>
      <c r="I2015" s="2">
        <v>80.98</v>
      </c>
      <c r="J2015" s="3">
        <v>1</v>
      </c>
      <c r="K2015" s="2">
        <v>1.62</v>
      </c>
    </row>
    <row r="2016" spans="1:11" x14ac:dyDescent="0.35">
      <c r="A2016" s="1">
        <v>42405</v>
      </c>
      <c r="B2016" s="3">
        <f t="shared" si="62"/>
        <v>2016</v>
      </c>
      <c r="C2016" s="3">
        <f t="shared" si="63"/>
        <v>2</v>
      </c>
      <c r="D2016" t="s">
        <v>724</v>
      </c>
      <c r="E2016" t="s">
        <v>165</v>
      </c>
      <c r="F2016" t="s">
        <v>28</v>
      </c>
      <c r="G2016" t="s">
        <v>29</v>
      </c>
      <c r="H2016" t="s">
        <v>297</v>
      </c>
      <c r="I2016" s="2">
        <v>348.84</v>
      </c>
      <c r="J2016" s="3">
        <v>9</v>
      </c>
      <c r="K2016" s="2">
        <v>170.93</v>
      </c>
    </row>
    <row r="2017" spans="1:11" x14ac:dyDescent="0.35">
      <c r="A2017" s="1">
        <v>42405</v>
      </c>
      <c r="B2017" s="3">
        <f t="shared" si="62"/>
        <v>2016</v>
      </c>
      <c r="C2017" s="3">
        <f t="shared" si="63"/>
        <v>2</v>
      </c>
      <c r="D2017" t="s">
        <v>724</v>
      </c>
      <c r="E2017" t="s">
        <v>165</v>
      </c>
      <c r="F2017" t="s">
        <v>28</v>
      </c>
      <c r="G2017" t="s">
        <v>33</v>
      </c>
      <c r="H2017" t="s">
        <v>1825</v>
      </c>
      <c r="I2017" s="2">
        <v>9.4499999999999993</v>
      </c>
      <c r="J2017" s="3">
        <v>5</v>
      </c>
      <c r="K2017" s="2">
        <v>0.19</v>
      </c>
    </row>
    <row r="2018" spans="1:11" x14ac:dyDescent="0.35">
      <c r="A2018" s="1">
        <v>42405</v>
      </c>
      <c r="B2018" s="3">
        <f t="shared" si="62"/>
        <v>2016</v>
      </c>
      <c r="C2018" s="3">
        <f t="shared" si="63"/>
        <v>2</v>
      </c>
      <c r="D2018" t="s">
        <v>724</v>
      </c>
      <c r="E2018" t="s">
        <v>165</v>
      </c>
      <c r="F2018" t="s">
        <v>18</v>
      </c>
      <c r="G2018" t="s">
        <v>36</v>
      </c>
      <c r="H2018" t="s">
        <v>816</v>
      </c>
      <c r="I2018" s="2">
        <v>18.84</v>
      </c>
      <c r="J2018" s="3">
        <v>3</v>
      </c>
      <c r="K2018" s="2">
        <v>7.16</v>
      </c>
    </row>
    <row r="2019" spans="1:11" x14ac:dyDescent="0.35">
      <c r="A2019" s="1">
        <v>42405</v>
      </c>
      <c r="B2019" s="3">
        <f t="shared" si="62"/>
        <v>2016</v>
      </c>
      <c r="C2019" s="3">
        <f t="shared" si="63"/>
        <v>2</v>
      </c>
      <c r="D2019" t="s">
        <v>724</v>
      </c>
      <c r="E2019" t="s">
        <v>165</v>
      </c>
      <c r="F2019" t="s">
        <v>18</v>
      </c>
      <c r="G2019" t="s">
        <v>237</v>
      </c>
      <c r="H2019" t="s">
        <v>1826</v>
      </c>
      <c r="I2019" s="2">
        <v>239.98</v>
      </c>
      <c r="J2019" s="3">
        <v>2</v>
      </c>
      <c r="K2019" s="2">
        <v>52.8</v>
      </c>
    </row>
    <row r="2020" spans="1:11" x14ac:dyDescent="0.35">
      <c r="A2020" s="1">
        <v>42405</v>
      </c>
      <c r="B2020" s="3">
        <f t="shared" si="62"/>
        <v>2016</v>
      </c>
      <c r="C2020" s="3">
        <f t="shared" si="63"/>
        <v>2</v>
      </c>
      <c r="D2020" t="s">
        <v>724</v>
      </c>
      <c r="E2020" t="s">
        <v>165</v>
      </c>
      <c r="F2020" t="s">
        <v>28</v>
      </c>
      <c r="G2020" t="s">
        <v>158</v>
      </c>
      <c r="H2020" t="s">
        <v>1827</v>
      </c>
      <c r="I2020" s="2">
        <v>167.96</v>
      </c>
      <c r="J2020" s="3">
        <v>2</v>
      </c>
      <c r="K2020" s="2">
        <v>78.94</v>
      </c>
    </row>
    <row r="2021" spans="1:11" x14ac:dyDescent="0.35">
      <c r="A2021" s="1">
        <v>42405</v>
      </c>
      <c r="B2021" s="3">
        <f t="shared" si="62"/>
        <v>2016</v>
      </c>
      <c r="C2021" s="3">
        <f t="shared" si="63"/>
        <v>2</v>
      </c>
      <c r="D2021" t="s">
        <v>724</v>
      </c>
      <c r="E2021" t="s">
        <v>165</v>
      </c>
      <c r="F2021" t="s">
        <v>13</v>
      </c>
      <c r="G2021" t="s">
        <v>23</v>
      </c>
      <c r="H2021" t="s">
        <v>629</v>
      </c>
      <c r="I2021" s="2">
        <v>104.85</v>
      </c>
      <c r="J2021" s="3">
        <v>3</v>
      </c>
      <c r="K2021" s="2">
        <v>28.31</v>
      </c>
    </row>
    <row r="2022" spans="1:11" x14ac:dyDescent="0.35">
      <c r="A2022" s="1">
        <v>42405</v>
      </c>
      <c r="B2022" s="3">
        <f t="shared" si="62"/>
        <v>2016</v>
      </c>
      <c r="C2022" s="3">
        <f t="shared" si="63"/>
        <v>2</v>
      </c>
      <c r="D2022" t="s">
        <v>724</v>
      </c>
      <c r="E2022" t="s">
        <v>165</v>
      </c>
      <c r="F2022" t="s">
        <v>13</v>
      </c>
      <c r="G2022" t="s">
        <v>23</v>
      </c>
      <c r="H2022" t="s">
        <v>533</v>
      </c>
      <c r="I2022" s="2">
        <v>484.83</v>
      </c>
      <c r="J2022" s="3">
        <v>3</v>
      </c>
      <c r="K2022" s="2">
        <v>126.06</v>
      </c>
    </row>
    <row r="2023" spans="1:11" x14ac:dyDescent="0.35">
      <c r="A2023" s="1">
        <v>42405</v>
      </c>
      <c r="B2023" s="3">
        <f t="shared" si="62"/>
        <v>2016</v>
      </c>
      <c r="C2023" s="3">
        <f t="shared" si="63"/>
        <v>2</v>
      </c>
      <c r="D2023" t="s">
        <v>724</v>
      </c>
      <c r="E2023" t="s">
        <v>165</v>
      </c>
      <c r="F2023" t="s">
        <v>28</v>
      </c>
      <c r="G2023" t="s">
        <v>29</v>
      </c>
      <c r="H2023" t="s">
        <v>1828</v>
      </c>
      <c r="I2023" s="2">
        <v>122.97</v>
      </c>
      <c r="J2023" s="3">
        <v>3</v>
      </c>
      <c r="K2023" s="2">
        <v>60.26</v>
      </c>
    </row>
    <row r="2024" spans="1:11" x14ac:dyDescent="0.35">
      <c r="A2024" s="1">
        <v>42405</v>
      </c>
      <c r="B2024" s="3">
        <f t="shared" si="62"/>
        <v>2016</v>
      </c>
      <c r="C2024" s="3">
        <f t="shared" si="63"/>
        <v>2</v>
      </c>
      <c r="D2024" t="s">
        <v>724</v>
      </c>
      <c r="E2024" t="s">
        <v>165</v>
      </c>
      <c r="F2024" t="s">
        <v>28</v>
      </c>
      <c r="G2024" t="s">
        <v>38</v>
      </c>
      <c r="H2024" t="s">
        <v>1342</v>
      </c>
      <c r="I2024" s="2">
        <v>154.44</v>
      </c>
      <c r="J2024" s="3">
        <v>3</v>
      </c>
      <c r="K2024" s="2">
        <v>1.54</v>
      </c>
    </row>
    <row r="2025" spans="1:11" x14ac:dyDescent="0.35">
      <c r="A2025" s="1">
        <v>42405</v>
      </c>
      <c r="B2025" s="3">
        <f t="shared" si="62"/>
        <v>2016</v>
      </c>
      <c r="C2025" s="3">
        <f t="shared" si="63"/>
        <v>2</v>
      </c>
      <c r="D2025" t="s">
        <v>724</v>
      </c>
      <c r="E2025" t="s">
        <v>165</v>
      </c>
      <c r="F2025" t="s">
        <v>28</v>
      </c>
      <c r="G2025" t="s">
        <v>29</v>
      </c>
      <c r="H2025" t="s">
        <v>1829</v>
      </c>
      <c r="I2025" s="2">
        <v>342.37</v>
      </c>
      <c r="J2025" s="3">
        <v>7</v>
      </c>
      <c r="K2025" s="2">
        <v>160.91</v>
      </c>
    </row>
    <row r="2026" spans="1:11" x14ac:dyDescent="0.35">
      <c r="A2026" s="1">
        <v>42405</v>
      </c>
      <c r="B2026" s="3">
        <f t="shared" si="62"/>
        <v>2016</v>
      </c>
      <c r="C2026" s="3">
        <f t="shared" si="63"/>
        <v>2</v>
      </c>
      <c r="D2026" t="s">
        <v>1612</v>
      </c>
      <c r="E2026" t="s">
        <v>45</v>
      </c>
      <c r="F2026" t="s">
        <v>28</v>
      </c>
      <c r="G2026" t="s">
        <v>46</v>
      </c>
      <c r="H2026" t="s">
        <v>343</v>
      </c>
      <c r="I2026" s="2">
        <v>14.73</v>
      </c>
      <c r="J2026" s="3">
        <v>3</v>
      </c>
      <c r="K2026" s="2">
        <v>7.22</v>
      </c>
    </row>
    <row r="2027" spans="1:11" x14ac:dyDescent="0.35">
      <c r="A2027" s="1">
        <v>42405</v>
      </c>
      <c r="B2027" s="3">
        <f t="shared" si="62"/>
        <v>2016</v>
      </c>
      <c r="C2027" s="3">
        <f t="shared" si="63"/>
        <v>2</v>
      </c>
      <c r="D2027" t="s">
        <v>1612</v>
      </c>
      <c r="E2027" t="s">
        <v>45</v>
      </c>
      <c r="F2027" t="s">
        <v>28</v>
      </c>
      <c r="G2027" t="s">
        <v>38</v>
      </c>
      <c r="H2027" t="s">
        <v>1830</v>
      </c>
      <c r="I2027" s="2">
        <v>186.54</v>
      </c>
      <c r="J2027" s="3">
        <v>3</v>
      </c>
      <c r="K2027" s="2">
        <v>50.37</v>
      </c>
    </row>
    <row r="2028" spans="1:11" x14ac:dyDescent="0.35">
      <c r="A2028" s="1">
        <v>42405</v>
      </c>
      <c r="B2028" s="3">
        <f t="shared" si="62"/>
        <v>2016</v>
      </c>
      <c r="C2028" s="3">
        <f t="shared" si="63"/>
        <v>2</v>
      </c>
      <c r="D2028" t="s">
        <v>1612</v>
      </c>
      <c r="E2028" t="s">
        <v>45</v>
      </c>
      <c r="F2028" t="s">
        <v>18</v>
      </c>
      <c r="G2028" t="s">
        <v>42</v>
      </c>
      <c r="H2028" t="s">
        <v>1364</v>
      </c>
      <c r="I2028" s="2">
        <v>557.73</v>
      </c>
      <c r="J2028" s="3">
        <v>4</v>
      </c>
      <c r="K2028" s="2">
        <v>6.97</v>
      </c>
    </row>
    <row r="2029" spans="1:11" x14ac:dyDescent="0.35">
      <c r="A2029" s="1">
        <v>42405</v>
      </c>
      <c r="B2029" s="3">
        <f t="shared" si="62"/>
        <v>2016</v>
      </c>
      <c r="C2029" s="3">
        <f t="shared" si="63"/>
        <v>2</v>
      </c>
      <c r="D2029" t="s">
        <v>1612</v>
      </c>
      <c r="E2029" t="s">
        <v>45</v>
      </c>
      <c r="F2029" t="s">
        <v>13</v>
      </c>
      <c r="G2029" t="s">
        <v>23</v>
      </c>
      <c r="H2029" t="s">
        <v>1782</v>
      </c>
      <c r="I2029" s="2">
        <v>159.97</v>
      </c>
      <c r="J2029" s="3">
        <v>4</v>
      </c>
      <c r="K2029" s="2">
        <v>-31.99</v>
      </c>
    </row>
    <row r="2030" spans="1:11" x14ac:dyDescent="0.35">
      <c r="A2030" s="1">
        <v>42434</v>
      </c>
      <c r="B2030" s="3">
        <f t="shared" si="62"/>
        <v>2016</v>
      </c>
      <c r="C2030" s="3">
        <f t="shared" si="63"/>
        <v>3</v>
      </c>
      <c r="D2030" t="s">
        <v>1831</v>
      </c>
      <c r="E2030" t="s">
        <v>32</v>
      </c>
      <c r="F2030" t="s">
        <v>28</v>
      </c>
      <c r="G2030" t="s">
        <v>158</v>
      </c>
      <c r="H2030" t="s">
        <v>511</v>
      </c>
      <c r="I2030" s="2">
        <v>149.35</v>
      </c>
      <c r="J2030" s="3">
        <v>3</v>
      </c>
      <c r="K2030" s="2">
        <v>50.41</v>
      </c>
    </row>
    <row r="2031" spans="1:11" x14ac:dyDescent="0.35">
      <c r="A2031" s="1">
        <v>42434</v>
      </c>
      <c r="B2031" s="3">
        <f t="shared" si="62"/>
        <v>2016</v>
      </c>
      <c r="C2031" s="3">
        <f t="shared" si="63"/>
        <v>3</v>
      </c>
      <c r="D2031" t="s">
        <v>1831</v>
      </c>
      <c r="E2031" t="s">
        <v>32</v>
      </c>
      <c r="F2031" t="s">
        <v>28</v>
      </c>
      <c r="G2031" t="s">
        <v>38</v>
      </c>
      <c r="H2031" t="s">
        <v>328</v>
      </c>
      <c r="I2031" s="2">
        <v>12.99</v>
      </c>
      <c r="J2031" s="3">
        <v>1</v>
      </c>
      <c r="K2031" s="2">
        <v>-0.81</v>
      </c>
    </row>
    <row r="2032" spans="1:11" x14ac:dyDescent="0.35">
      <c r="A2032" s="1">
        <v>42465</v>
      </c>
      <c r="B2032" s="3">
        <f t="shared" si="62"/>
        <v>2016</v>
      </c>
      <c r="C2032" s="3">
        <f t="shared" si="63"/>
        <v>4</v>
      </c>
      <c r="D2032" t="s">
        <v>898</v>
      </c>
      <c r="E2032" t="s">
        <v>32</v>
      </c>
      <c r="F2032" t="s">
        <v>28</v>
      </c>
      <c r="G2032" t="s">
        <v>38</v>
      </c>
      <c r="H2032" t="s">
        <v>452</v>
      </c>
      <c r="I2032" s="2">
        <v>158.37</v>
      </c>
      <c r="J2032" s="3">
        <v>7</v>
      </c>
      <c r="K2032" s="2">
        <v>13.86</v>
      </c>
    </row>
    <row r="2033" spans="1:11" x14ac:dyDescent="0.35">
      <c r="A2033" s="1">
        <v>42465</v>
      </c>
      <c r="B2033" s="3">
        <f t="shared" si="62"/>
        <v>2016</v>
      </c>
      <c r="C2033" s="3">
        <f t="shared" si="63"/>
        <v>4</v>
      </c>
      <c r="D2033" t="s">
        <v>1077</v>
      </c>
      <c r="E2033" t="s">
        <v>89</v>
      </c>
      <c r="F2033" t="s">
        <v>13</v>
      </c>
      <c r="G2033" t="s">
        <v>23</v>
      </c>
      <c r="H2033" t="s">
        <v>1832</v>
      </c>
      <c r="I2033" s="2">
        <v>118.78</v>
      </c>
      <c r="J2033" s="3">
        <v>3</v>
      </c>
      <c r="K2033" s="2">
        <v>-27.72</v>
      </c>
    </row>
    <row r="2034" spans="1:11" x14ac:dyDescent="0.35">
      <c r="A2034" s="1">
        <v>42465</v>
      </c>
      <c r="B2034" s="3">
        <f t="shared" si="62"/>
        <v>2016</v>
      </c>
      <c r="C2034" s="3">
        <f t="shared" si="63"/>
        <v>4</v>
      </c>
      <c r="D2034" t="s">
        <v>1077</v>
      </c>
      <c r="E2034" t="s">
        <v>89</v>
      </c>
      <c r="F2034" t="s">
        <v>28</v>
      </c>
      <c r="G2034" t="s">
        <v>215</v>
      </c>
      <c r="H2034" t="s">
        <v>1833</v>
      </c>
      <c r="I2034" s="2">
        <v>769.18</v>
      </c>
      <c r="J2034" s="3">
        <v>4</v>
      </c>
      <c r="K2034" s="2">
        <v>-163.44999999999999</v>
      </c>
    </row>
    <row r="2035" spans="1:11" x14ac:dyDescent="0.35">
      <c r="A2035" s="1">
        <v>42495</v>
      </c>
      <c r="B2035" s="3">
        <f t="shared" si="62"/>
        <v>2016</v>
      </c>
      <c r="C2035" s="3">
        <f t="shared" si="63"/>
        <v>5</v>
      </c>
      <c r="D2035" t="s">
        <v>106</v>
      </c>
      <c r="E2035" t="s">
        <v>118</v>
      </c>
      <c r="F2035" t="s">
        <v>28</v>
      </c>
      <c r="G2035" t="s">
        <v>29</v>
      </c>
      <c r="H2035" t="s">
        <v>588</v>
      </c>
      <c r="I2035" s="2">
        <v>79.14</v>
      </c>
      <c r="J2035" s="3">
        <v>3</v>
      </c>
      <c r="K2035" s="2">
        <v>36.4</v>
      </c>
    </row>
    <row r="2036" spans="1:11" x14ac:dyDescent="0.35">
      <c r="A2036" s="1">
        <v>42495</v>
      </c>
      <c r="B2036" s="3">
        <f t="shared" si="62"/>
        <v>2016</v>
      </c>
      <c r="C2036" s="3">
        <f t="shared" si="63"/>
        <v>5</v>
      </c>
      <c r="D2036" t="s">
        <v>1768</v>
      </c>
      <c r="E2036" t="s">
        <v>326</v>
      </c>
      <c r="F2036" t="s">
        <v>28</v>
      </c>
      <c r="G2036" t="s">
        <v>29</v>
      </c>
      <c r="H2036" t="s">
        <v>1834</v>
      </c>
      <c r="I2036" s="2">
        <v>14.35</v>
      </c>
      <c r="J2036" s="3">
        <v>3</v>
      </c>
      <c r="K2036" s="2">
        <v>5.2</v>
      </c>
    </row>
    <row r="2037" spans="1:11" x14ac:dyDescent="0.35">
      <c r="A2037" s="1">
        <v>42495</v>
      </c>
      <c r="B2037" s="3">
        <f t="shared" si="62"/>
        <v>2016</v>
      </c>
      <c r="C2037" s="3">
        <f t="shared" si="63"/>
        <v>5</v>
      </c>
      <c r="D2037" t="s">
        <v>1835</v>
      </c>
      <c r="E2037" t="s">
        <v>45</v>
      </c>
      <c r="F2037" t="s">
        <v>28</v>
      </c>
      <c r="G2037" t="s">
        <v>38</v>
      </c>
      <c r="H2037" t="s">
        <v>776</v>
      </c>
      <c r="I2037" s="2">
        <v>5.98</v>
      </c>
      <c r="J2037" s="3">
        <v>1</v>
      </c>
      <c r="K2037" s="2">
        <v>1.02</v>
      </c>
    </row>
    <row r="2038" spans="1:11" x14ac:dyDescent="0.35">
      <c r="A2038" s="1">
        <v>42495</v>
      </c>
      <c r="B2038" s="3">
        <f t="shared" si="62"/>
        <v>2016</v>
      </c>
      <c r="C2038" s="3">
        <f t="shared" si="63"/>
        <v>5</v>
      </c>
      <c r="D2038" t="s">
        <v>1835</v>
      </c>
      <c r="E2038" t="s">
        <v>45</v>
      </c>
      <c r="F2038" t="s">
        <v>13</v>
      </c>
      <c r="G2038" t="s">
        <v>23</v>
      </c>
      <c r="H2038" t="s">
        <v>1836</v>
      </c>
      <c r="I2038" s="2">
        <v>246.17</v>
      </c>
      <c r="J2038" s="3">
        <v>3</v>
      </c>
      <c r="K2038" s="2">
        <v>21.54</v>
      </c>
    </row>
    <row r="2039" spans="1:11" x14ac:dyDescent="0.35">
      <c r="A2039" s="1">
        <v>42495</v>
      </c>
      <c r="B2039" s="3">
        <f t="shared" si="62"/>
        <v>2016</v>
      </c>
      <c r="C2039" s="3">
        <f t="shared" si="63"/>
        <v>5</v>
      </c>
      <c r="D2039" t="s">
        <v>1432</v>
      </c>
      <c r="E2039" t="s">
        <v>45</v>
      </c>
      <c r="F2039" t="s">
        <v>28</v>
      </c>
      <c r="G2039" t="s">
        <v>48</v>
      </c>
      <c r="H2039" t="s">
        <v>1837</v>
      </c>
      <c r="I2039" s="2">
        <v>6.72</v>
      </c>
      <c r="J2039" s="3">
        <v>5</v>
      </c>
      <c r="K2039" s="2">
        <v>2.35</v>
      </c>
    </row>
    <row r="2040" spans="1:11" x14ac:dyDescent="0.35">
      <c r="A2040" s="1">
        <v>42495</v>
      </c>
      <c r="B2040" s="3">
        <f t="shared" si="62"/>
        <v>2016</v>
      </c>
      <c r="C2040" s="3">
        <f t="shared" si="63"/>
        <v>5</v>
      </c>
      <c r="D2040" t="s">
        <v>1432</v>
      </c>
      <c r="E2040" t="s">
        <v>45</v>
      </c>
      <c r="F2040" t="s">
        <v>18</v>
      </c>
      <c r="G2040" t="s">
        <v>42</v>
      </c>
      <c r="H2040" t="s">
        <v>672</v>
      </c>
      <c r="I2040" s="2">
        <v>298.77999999999997</v>
      </c>
      <c r="J2040" s="3">
        <v>3</v>
      </c>
      <c r="K2040" s="2">
        <v>7.47</v>
      </c>
    </row>
    <row r="2041" spans="1:11" x14ac:dyDescent="0.35">
      <c r="A2041" s="1">
        <v>42495</v>
      </c>
      <c r="B2041" s="3">
        <f t="shared" si="62"/>
        <v>2016</v>
      </c>
      <c r="C2041" s="3">
        <f t="shared" si="63"/>
        <v>5</v>
      </c>
      <c r="D2041" t="s">
        <v>1735</v>
      </c>
      <c r="E2041" t="s">
        <v>326</v>
      </c>
      <c r="F2041" t="s">
        <v>18</v>
      </c>
      <c r="G2041" t="s">
        <v>36</v>
      </c>
      <c r="H2041" t="s">
        <v>1034</v>
      </c>
      <c r="I2041" s="2">
        <v>16.72</v>
      </c>
      <c r="J2041" s="3">
        <v>5</v>
      </c>
      <c r="K2041" s="2">
        <v>3.34</v>
      </c>
    </row>
    <row r="2042" spans="1:11" x14ac:dyDescent="0.35">
      <c r="A2042" s="1">
        <v>42495</v>
      </c>
      <c r="B2042" s="3">
        <f t="shared" si="62"/>
        <v>2016</v>
      </c>
      <c r="C2042" s="3">
        <f t="shared" si="63"/>
        <v>5</v>
      </c>
      <c r="D2042" t="s">
        <v>1155</v>
      </c>
      <c r="E2042" t="s">
        <v>45</v>
      </c>
      <c r="F2042" t="s">
        <v>18</v>
      </c>
      <c r="G2042" t="s">
        <v>42</v>
      </c>
      <c r="H2042" t="s">
        <v>1741</v>
      </c>
      <c r="I2042" s="2">
        <v>71.09</v>
      </c>
      <c r="J2042" s="3">
        <v>2</v>
      </c>
      <c r="K2042" s="2">
        <v>-1.78</v>
      </c>
    </row>
    <row r="2043" spans="1:11" x14ac:dyDescent="0.35">
      <c r="A2043" s="1">
        <v>42495</v>
      </c>
      <c r="B2043" s="3">
        <f t="shared" si="62"/>
        <v>2016</v>
      </c>
      <c r="C2043" s="3">
        <f t="shared" si="63"/>
        <v>5</v>
      </c>
      <c r="D2043" t="s">
        <v>1838</v>
      </c>
      <c r="E2043" t="s">
        <v>100</v>
      </c>
      <c r="F2043" t="s">
        <v>18</v>
      </c>
      <c r="G2043" t="s">
        <v>42</v>
      </c>
      <c r="H2043" t="s">
        <v>1762</v>
      </c>
      <c r="I2043" s="2">
        <v>1685.88</v>
      </c>
      <c r="J2043" s="3">
        <v>6</v>
      </c>
      <c r="K2043" s="2">
        <v>320.32</v>
      </c>
    </row>
    <row r="2044" spans="1:11" x14ac:dyDescent="0.35">
      <c r="A2044" s="1">
        <v>42495</v>
      </c>
      <c r="B2044" s="3">
        <f t="shared" si="62"/>
        <v>2016</v>
      </c>
      <c r="C2044" s="3">
        <f t="shared" si="63"/>
        <v>5</v>
      </c>
      <c r="D2044" t="s">
        <v>1838</v>
      </c>
      <c r="E2044" t="s">
        <v>100</v>
      </c>
      <c r="F2044" t="s">
        <v>28</v>
      </c>
      <c r="G2044" t="s">
        <v>48</v>
      </c>
      <c r="H2044" t="s">
        <v>1054</v>
      </c>
      <c r="I2044" s="2">
        <v>5.73</v>
      </c>
      <c r="J2044" s="3">
        <v>2</v>
      </c>
      <c r="K2044" s="2">
        <v>2</v>
      </c>
    </row>
    <row r="2045" spans="1:11" x14ac:dyDescent="0.35">
      <c r="A2045" s="1">
        <v>42495</v>
      </c>
      <c r="B2045" s="3">
        <f t="shared" si="62"/>
        <v>2016</v>
      </c>
      <c r="C2045" s="3">
        <f t="shared" si="63"/>
        <v>5</v>
      </c>
      <c r="D2045" t="s">
        <v>636</v>
      </c>
      <c r="E2045" t="s">
        <v>77</v>
      </c>
      <c r="F2045" t="s">
        <v>28</v>
      </c>
      <c r="G2045" t="s">
        <v>29</v>
      </c>
      <c r="H2045" t="s">
        <v>1839</v>
      </c>
      <c r="I2045" s="2">
        <v>93.25</v>
      </c>
      <c r="J2045" s="3">
        <v>4</v>
      </c>
      <c r="K2045" s="2">
        <v>31.47</v>
      </c>
    </row>
    <row r="2046" spans="1:11" x14ac:dyDescent="0.35">
      <c r="A2046" s="1">
        <v>42495</v>
      </c>
      <c r="B2046" s="3">
        <f t="shared" si="62"/>
        <v>2016</v>
      </c>
      <c r="C2046" s="3">
        <f t="shared" si="63"/>
        <v>5</v>
      </c>
      <c r="D2046" t="s">
        <v>636</v>
      </c>
      <c r="E2046" t="s">
        <v>77</v>
      </c>
      <c r="F2046" t="s">
        <v>13</v>
      </c>
      <c r="G2046" t="s">
        <v>23</v>
      </c>
      <c r="H2046" t="s">
        <v>1790</v>
      </c>
      <c r="I2046" s="2">
        <v>177.48</v>
      </c>
      <c r="J2046" s="3">
        <v>3</v>
      </c>
      <c r="K2046" s="2">
        <v>19.97</v>
      </c>
    </row>
    <row r="2047" spans="1:11" x14ac:dyDescent="0.35">
      <c r="A2047" s="1">
        <v>42526</v>
      </c>
      <c r="B2047" s="3">
        <f t="shared" si="62"/>
        <v>2016</v>
      </c>
      <c r="C2047" s="3">
        <f t="shared" si="63"/>
        <v>6</v>
      </c>
      <c r="D2047" t="s">
        <v>277</v>
      </c>
      <c r="E2047" t="s">
        <v>89</v>
      </c>
      <c r="F2047" t="s">
        <v>28</v>
      </c>
      <c r="G2047" t="s">
        <v>38</v>
      </c>
      <c r="H2047" t="s">
        <v>1840</v>
      </c>
      <c r="I2047" s="2">
        <v>124.61</v>
      </c>
      <c r="J2047" s="3">
        <v>4</v>
      </c>
      <c r="K2047" s="2">
        <v>-23.36</v>
      </c>
    </row>
    <row r="2048" spans="1:11" x14ac:dyDescent="0.35">
      <c r="A2048" s="1">
        <v>42526</v>
      </c>
      <c r="B2048" s="3">
        <f t="shared" si="62"/>
        <v>2016</v>
      </c>
      <c r="C2048" s="3">
        <f t="shared" si="63"/>
        <v>6</v>
      </c>
      <c r="D2048" t="s">
        <v>277</v>
      </c>
      <c r="E2048" t="s">
        <v>89</v>
      </c>
      <c r="F2048" t="s">
        <v>28</v>
      </c>
      <c r="G2048" t="s">
        <v>46</v>
      </c>
      <c r="H2048" t="s">
        <v>1693</v>
      </c>
      <c r="I2048" s="2">
        <v>7.56</v>
      </c>
      <c r="J2048" s="3">
        <v>3</v>
      </c>
      <c r="K2048" s="2">
        <v>2.65</v>
      </c>
    </row>
    <row r="2049" spans="1:11" x14ac:dyDescent="0.35">
      <c r="A2049" s="1">
        <v>42526</v>
      </c>
      <c r="B2049" s="3">
        <f t="shared" si="62"/>
        <v>2016</v>
      </c>
      <c r="C2049" s="3">
        <f t="shared" si="63"/>
        <v>6</v>
      </c>
      <c r="D2049" t="s">
        <v>1841</v>
      </c>
      <c r="E2049" t="s">
        <v>876</v>
      </c>
      <c r="F2049" t="s">
        <v>28</v>
      </c>
      <c r="G2049" t="s">
        <v>38</v>
      </c>
      <c r="H2049" t="s">
        <v>587</v>
      </c>
      <c r="I2049" s="2">
        <v>360.38</v>
      </c>
      <c r="J2049" s="3">
        <v>2</v>
      </c>
      <c r="K2049" s="2">
        <v>93.7</v>
      </c>
    </row>
    <row r="2050" spans="1:11" x14ac:dyDescent="0.35">
      <c r="A2050" s="1">
        <v>42526</v>
      </c>
      <c r="B2050" s="3">
        <f t="shared" ref="B2050:B2113" si="64">YEAR(A2050)</f>
        <v>2016</v>
      </c>
      <c r="C2050" s="3">
        <f t="shared" ref="C2050:C2113" si="65">MONTH(A2050)</f>
        <v>6</v>
      </c>
      <c r="D2050" t="s">
        <v>1841</v>
      </c>
      <c r="E2050" t="s">
        <v>876</v>
      </c>
      <c r="F2050" t="s">
        <v>28</v>
      </c>
      <c r="G2050" t="s">
        <v>64</v>
      </c>
      <c r="H2050" t="s">
        <v>1450</v>
      </c>
      <c r="I2050" s="2">
        <v>11.16</v>
      </c>
      <c r="J2050" s="3">
        <v>2</v>
      </c>
      <c r="K2050" s="2">
        <v>2.79</v>
      </c>
    </row>
    <row r="2051" spans="1:11" x14ac:dyDescent="0.35">
      <c r="A2051" s="1">
        <v>42526</v>
      </c>
      <c r="B2051" s="3">
        <f t="shared" si="64"/>
        <v>2016</v>
      </c>
      <c r="C2051" s="3">
        <f t="shared" si="65"/>
        <v>6</v>
      </c>
      <c r="D2051" t="s">
        <v>1841</v>
      </c>
      <c r="E2051" t="s">
        <v>876</v>
      </c>
      <c r="F2051" t="s">
        <v>28</v>
      </c>
      <c r="G2051" t="s">
        <v>46</v>
      </c>
      <c r="H2051" t="s">
        <v>862</v>
      </c>
      <c r="I2051" s="2">
        <v>14.94</v>
      </c>
      <c r="J2051" s="3">
        <v>3</v>
      </c>
      <c r="K2051" s="2">
        <v>6.87</v>
      </c>
    </row>
    <row r="2052" spans="1:11" x14ac:dyDescent="0.35">
      <c r="A2052" s="1">
        <v>42526</v>
      </c>
      <c r="B2052" s="3">
        <f t="shared" si="64"/>
        <v>2016</v>
      </c>
      <c r="C2052" s="3">
        <f t="shared" si="65"/>
        <v>6</v>
      </c>
      <c r="D2052" t="s">
        <v>885</v>
      </c>
      <c r="E2052" t="s">
        <v>45</v>
      </c>
      <c r="F2052" t="s">
        <v>28</v>
      </c>
      <c r="G2052" t="s">
        <v>48</v>
      </c>
      <c r="H2052" t="s">
        <v>360</v>
      </c>
      <c r="I2052" s="2">
        <v>21.55</v>
      </c>
      <c r="J2052" s="3">
        <v>6</v>
      </c>
      <c r="K2052" s="2">
        <v>7</v>
      </c>
    </row>
    <row r="2053" spans="1:11" x14ac:dyDescent="0.35">
      <c r="A2053" s="1">
        <v>42526</v>
      </c>
      <c r="B2053" s="3">
        <f t="shared" si="64"/>
        <v>2016</v>
      </c>
      <c r="C2053" s="3">
        <f t="shared" si="65"/>
        <v>6</v>
      </c>
      <c r="D2053" t="s">
        <v>885</v>
      </c>
      <c r="E2053" t="s">
        <v>45</v>
      </c>
      <c r="F2053" t="s">
        <v>28</v>
      </c>
      <c r="G2053" t="s">
        <v>58</v>
      </c>
      <c r="H2053" t="s">
        <v>73</v>
      </c>
      <c r="I2053" s="2">
        <v>58.24</v>
      </c>
      <c r="J2053" s="3">
        <v>4</v>
      </c>
      <c r="K2053" s="2">
        <v>15.72</v>
      </c>
    </row>
    <row r="2054" spans="1:11" x14ac:dyDescent="0.35">
      <c r="A2054" s="1">
        <v>42526</v>
      </c>
      <c r="B2054" s="3">
        <f t="shared" si="64"/>
        <v>2016</v>
      </c>
      <c r="C2054" s="3">
        <f t="shared" si="65"/>
        <v>6</v>
      </c>
      <c r="D2054" t="s">
        <v>1514</v>
      </c>
      <c r="E2054" t="s">
        <v>17</v>
      </c>
      <c r="F2054" t="s">
        <v>28</v>
      </c>
      <c r="G2054" t="s">
        <v>215</v>
      </c>
      <c r="H2054" t="s">
        <v>294</v>
      </c>
      <c r="I2054" s="2">
        <v>61.38</v>
      </c>
      <c r="J2054" s="3">
        <v>6</v>
      </c>
      <c r="K2054" s="2">
        <v>15.96</v>
      </c>
    </row>
    <row r="2055" spans="1:11" x14ac:dyDescent="0.35">
      <c r="A2055" s="1">
        <v>42587</v>
      </c>
      <c r="B2055" s="3">
        <f t="shared" si="64"/>
        <v>2016</v>
      </c>
      <c r="C2055" s="3">
        <f t="shared" si="65"/>
        <v>8</v>
      </c>
      <c r="D2055" t="s">
        <v>1810</v>
      </c>
      <c r="E2055" t="s">
        <v>607</v>
      </c>
      <c r="F2055" t="s">
        <v>28</v>
      </c>
      <c r="G2055" t="s">
        <v>64</v>
      </c>
      <c r="H2055" t="s">
        <v>1842</v>
      </c>
      <c r="I2055" s="2">
        <v>197.05</v>
      </c>
      <c r="J2055" s="3">
        <v>7</v>
      </c>
      <c r="K2055" s="2">
        <v>59.12</v>
      </c>
    </row>
    <row r="2056" spans="1:11" x14ac:dyDescent="0.35">
      <c r="A2056" s="1">
        <v>42618</v>
      </c>
      <c r="B2056" s="3">
        <f t="shared" si="64"/>
        <v>2016</v>
      </c>
      <c r="C2056" s="3">
        <f t="shared" si="65"/>
        <v>9</v>
      </c>
      <c r="D2056" t="s">
        <v>1634</v>
      </c>
      <c r="E2056" t="s">
        <v>89</v>
      </c>
      <c r="F2056" t="s">
        <v>18</v>
      </c>
      <c r="G2056" t="s">
        <v>36</v>
      </c>
      <c r="H2056" t="s">
        <v>1568</v>
      </c>
      <c r="I2056" s="2">
        <v>82.8</v>
      </c>
      <c r="J2056" s="3">
        <v>2</v>
      </c>
      <c r="K2056" s="2">
        <v>10.35</v>
      </c>
    </row>
    <row r="2057" spans="1:11" x14ac:dyDescent="0.35">
      <c r="A2057" s="1">
        <v>42618</v>
      </c>
      <c r="B2057" s="3">
        <f t="shared" si="64"/>
        <v>2016</v>
      </c>
      <c r="C2057" s="3">
        <f t="shared" si="65"/>
        <v>9</v>
      </c>
      <c r="D2057" t="s">
        <v>945</v>
      </c>
      <c r="E2057" t="s">
        <v>71</v>
      </c>
      <c r="F2057" t="s">
        <v>18</v>
      </c>
      <c r="G2057" t="s">
        <v>36</v>
      </c>
      <c r="H2057" t="s">
        <v>181</v>
      </c>
      <c r="I2057" s="2">
        <v>12.22</v>
      </c>
      <c r="J2057" s="3">
        <v>1</v>
      </c>
      <c r="K2057" s="2">
        <v>3.67</v>
      </c>
    </row>
    <row r="2058" spans="1:11" x14ac:dyDescent="0.35">
      <c r="A2058" s="1">
        <v>42618</v>
      </c>
      <c r="B2058" s="3">
        <f t="shared" si="64"/>
        <v>2016</v>
      </c>
      <c r="C2058" s="3">
        <f t="shared" si="65"/>
        <v>9</v>
      </c>
      <c r="D2058" t="s">
        <v>945</v>
      </c>
      <c r="E2058" t="s">
        <v>71</v>
      </c>
      <c r="F2058" t="s">
        <v>28</v>
      </c>
      <c r="G2058" t="s">
        <v>38</v>
      </c>
      <c r="H2058" t="s">
        <v>1843</v>
      </c>
      <c r="I2058" s="2">
        <v>194.94</v>
      </c>
      <c r="J2058" s="3">
        <v>3</v>
      </c>
      <c r="K2058" s="2">
        <v>23.39</v>
      </c>
    </row>
    <row r="2059" spans="1:11" x14ac:dyDescent="0.35">
      <c r="A2059" s="1">
        <v>42618</v>
      </c>
      <c r="B2059" s="3">
        <f t="shared" si="64"/>
        <v>2016</v>
      </c>
      <c r="C2059" s="3">
        <f t="shared" si="65"/>
        <v>9</v>
      </c>
      <c r="D2059" t="s">
        <v>945</v>
      </c>
      <c r="E2059" t="s">
        <v>71</v>
      </c>
      <c r="F2059" t="s">
        <v>28</v>
      </c>
      <c r="G2059" t="s">
        <v>38</v>
      </c>
      <c r="H2059" t="s">
        <v>1844</v>
      </c>
      <c r="I2059" s="2">
        <v>70.95</v>
      </c>
      <c r="J2059" s="3">
        <v>3</v>
      </c>
      <c r="K2059" s="2">
        <v>20.58</v>
      </c>
    </row>
    <row r="2060" spans="1:11" x14ac:dyDescent="0.35">
      <c r="A2060" s="1">
        <v>42618</v>
      </c>
      <c r="B2060" s="3">
        <f t="shared" si="64"/>
        <v>2016</v>
      </c>
      <c r="C2060" s="3">
        <f t="shared" si="65"/>
        <v>9</v>
      </c>
      <c r="D2060" t="s">
        <v>945</v>
      </c>
      <c r="E2060" t="s">
        <v>71</v>
      </c>
      <c r="F2060" t="s">
        <v>28</v>
      </c>
      <c r="G2060" t="s">
        <v>29</v>
      </c>
      <c r="H2060" t="s">
        <v>874</v>
      </c>
      <c r="I2060" s="2">
        <v>91.36</v>
      </c>
      <c r="J2060" s="3">
        <v>4</v>
      </c>
      <c r="K2060" s="2">
        <v>42.03</v>
      </c>
    </row>
    <row r="2061" spans="1:11" x14ac:dyDescent="0.35">
      <c r="A2061" s="1">
        <v>42618</v>
      </c>
      <c r="B2061" s="3">
        <f t="shared" si="64"/>
        <v>2016</v>
      </c>
      <c r="C2061" s="3">
        <f t="shared" si="65"/>
        <v>9</v>
      </c>
      <c r="D2061" t="s">
        <v>945</v>
      </c>
      <c r="E2061" t="s">
        <v>71</v>
      </c>
      <c r="F2061" t="s">
        <v>18</v>
      </c>
      <c r="G2061" t="s">
        <v>19</v>
      </c>
      <c r="H2061" t="s">
        <v>1188</v>
      </c>
      <c r="I2061" s="2">
        <v>242.94</v>
      </c>
      <c r="J2061" s="3">
        <v>3</v>
      </c>
      <c r="K2061" s="2">
        <v>29.15</v>
      </c>
    </row>
    <row r="2062" spans="1:11" x14ac:dyDescent="0.35">
      <c r="A2062" s="1">
        <v>42618</v>
      </c>
      <c r="B2062" s="3">
        <f t="shared" si="64"/>
        <v>2016</v>
      </c>
      <c r="C2062" s="3">
        <f t="shared" si="65"/>
        <v>9</v>
      </c>
      <c r="D2062" t="s">
        <v>945</v>
      </c>
      <c r="E2062" t="s">
        <v>71</v>
      </c>
      <c r="F2062" t="s">
        <v>28</v>
      </c>
      <c r="G2062" t="s">
        <v>46</v>
      </c>
      <c r="H2062" t="s">
        <v>1620</v>
      </c>
      <c r="I2062" s="2">
        <v>22.05</v>
      </c>
      <c r="J2062" s="3">
        <v>7</v>
      </c>
      <c r="K2062" s="2">
        <v>10.58</v>
      </c>
    </row>
    <row r="2063" spans="1:11" x14ac:dyDescent="0.35">
      <c r="A2063" s="1">
        <v>42618</v>
      </c>
      <c r="B2063" s="3">
        <f t="shared" si="64"/>
        <v>2016</v>
      </c>
      <c r="C2063" s="3">
        <f t="shared" si="65"/>
        <v>9</v>
      </c>
      <c r="D2063" t="s">
        <v>138</v>
      </c>
      <c r="E2063" t="s">
        <v>1451</v>
      </c>
      <c r="F2063" t="s">
        <v>13</v>
      </c>
      <c r="G2063" t="s">
        <v>23</v>
      </c>
      <c r="H2063" t="s">
        <v>955</v>
      </c>
      <c r="I2063" s="2">
        <v>278.39999999999998</v>
      </c>
      <c r="J2063" s="3">
        <v>3</v>
      </c>
      <c r="K2063" s="2">
        <v>80.739999999999995</v>
      </c>
    </row>
    <row r="2064" spans="1:11" x14ac:dyDescent="0.35">
      <c r="A2064" s="1">
        <v>42618</v>
      </c>
      <c r="B2064" s="3">
        <f t="shared" si="64"/>
        <v>2016</v>
      </c>
      <c r="C2064" s="3">
        <f t="shared" si="65"/>
        <v>9</v>
      </c>
      <c r="D2064" t="s">
        <v>1124</v>
      </c>
      <c r="E2064" t="s">
        <v>1008</v>
      </c>
      <c r="F2064" t="s">
        <v>28</v>
      </c>
      <c r="G2064" t="s">
        <v>64</v>
      </c>
      <c r="H2064" t="s">
        <v>1051</v>
      </c>
      <c r="I2064" s="2">
        <v>107.94</v>
      </c>
      <c r="J2064" s="3">
        <v>3</v>
      </c>
      <c r="K2064" s="2">
        <v>26.99</v>
      </c>
    </row>
    <row r="2065" spans="1:11" x14ac:dyDescent="0.35">
      <c r="A2065" s="1">
        <v>42618</v>
      </c>
      <c r="B2065" s="3">
        <f t="shared" si="64"/>
        <v>2016</v>
      </c>
      <c r="C2065" s="3">
        <f t="shared" si="65"/>
        <v>9</v>
      </c>
      <c r="D2065" t="s">
        <v>1420</v>
      </c>
      <c r="E2065" t="s">
        <v>32</v>
      </c>
      <c r="F2065" t="s">
        <v>18</v>
      </c>
      <c r="G2065" t="s">
        <v>19</v>
      </c>
      <c r="H2065" t="s">
        <v>679</v>
      </c>
      <c r="I2065" s="2">
        <v>347.8</v>
      </c>
      <c r="J2065" s="3">
        <v>7</v>
      </c>
      <c r="K2065" s="2">
        <v>-24.84</v>
      </c>
    </row>
    <row r="2066" spans="1:11" x14ac:dyDescent="0.35">
      <c r="A2066" s="1">
        <v>42618</v>
      </c>
      <c r="B2066" s="3">
        <f t="shared" si="64"/>
        <v>2016</v>
      </c>
      <c r="C2066" s="3">
        <f t="shared" si="65"/>
        <v>9</v>
      </c>
      <c r="D2066" t="s">
        <v>391</v>
      </c>
      <c r="E2066" t="s">
        <v>45</v>
      </c>
      <c r="F2066" t="s">
        <v>13</v>
      </c>
      <c r="G2066" t="s">
        <v>14</v>
      </c>
      <c r="H2066" t="s">
        <v>1281</v>
      </c>
      <c r="I2066" s="2">
        <v>116</v>
      </c>
      <c r="J2066" s="3">
        <v>8</v>
      </c>
      <c r="K2066" s="2">
        <v>29</v>
      </c>
    </row>
    <row r="2067" spans="1:11" x14ac:dyDescent="0.35">
      <c r="A2067" s="1">
        <v>42618</v>
      </c>
      <c r="B2067" s="3">
        <f t="shared" si="64"/>
        <v>2016</v>
      </c>
      <c r="C2067" s="3">
        <f t="shared" si="65"/>
        <v>9</v>
      </c>
      <c r="D2067" t="s">
        <v>1845</v>
      </c>
      <c r="E2067" t="s">
        <v>89</v>
      </c>
      <c r="F2067" t="s">
        <v>28</v>
      </c>
      <c r="G2067" t="s">
        <v>48</v>
      </c>
      <c r="H2067" t="s">
        <v>1846</v>
      </c>
      <c r="I2067" s="2">
        <v>9.56</v>
      </c>
      <c r="J2067" s="3">
        <v>5</v>
      </c>
      <c r="K2067" s="2">
        <v>-7.33</v>
      </c>
    </row>
    <row r="2068" spans="1:11" x14ac:dyDescent="0.35">
      <c r="A2068" s="1">
        <v>42618</v>
      </c>
      <c r="B2068" s="3">
        <f t="shared" si="64"/>
        <v>2016</v>
      </c>
      <c r="C2068" s="3">
        <f t="shared" si="65"/>
        <v>9</v>
      </c>
      <c r="D2068" t="s">
        <v>1432</v>
      </c>
      <c r="E2068" t="s">
        <v>326</v>
      </c>
      <c r="F2068" t="s">
        <v>28</v>
      </c>
      <c r="G2068" t="s">
        <v>158</v>
      </c>
      <c r="H2068" t="s">
        <v>159</v>
      </c>
      <c r="I2068" s="2">
        <v>23.47</v>
      </c>
      <c r="J2068" s="3">
        <v>3</v>
      </c>
      <c r="K2068" s="2">
        <v>7.63</v>
      </c>
    </row>
    <row r="2069" spans="1:11" x14ac:dyDescent="0.35">
      <c r="A2069" s="1">
        <v>42618</v>
      </c>
      <c r="B2069" s="3">
        <f t="shared" si="64"/>
        <v>2016</v>
      </c>
      <c r="C2069" s="3">
        <f t="shared" si="65"/>
        <v>9</v>
      </c>
      <c r="D2069" t="s">
        <v>1432</v>
      </c>
      <c r="E2069" t="s">
        <v>326</v>
      </c>
      <c r="F2069" t="s">
        <v>28</v>
      </c>
      <c r="G2069" t="s">
        <v>48</v>
      </c>
      <c r="H2069" t="s">
        <v>686</v>
      </c>
      <c r="I2069" s="2">
        <v>86.06</v>
      </c>
      <c r="J2069" s="3">
        <v>7</v>
      </c>
      <c r="K2069" s="2">
        <v>-63.11</v>
      </c>
    </row>
    <row r="2070" spans="1:11" x14ac:dyDescent="0.35">
      <c r="A2070" s="1">
        <v>42618</v>
      </c>
      <c r="B2070" s="3">
        <f t="shared" si="64"/>
        <v>2016</v>
      </c>
      <c r="C2070" s="3">
        <f t="shared" si="65"/>
        <v>9</v>
      </c>
      <c r="D2070" t="s">
        <v>1432</v>
      </c>
      <c r="E2070" t="s">
        <v>326</v>
      </c>
      <c r="F2070" t="s">
        <v>13</v>
      </c>
      <c r="G2070" t="s">
        <v>23</v>
      </c>
      <c r="H2070" t="s">
        <v>1847</v>
      </c>
      <c r="I2070" s="2">
        <v>108.78</v>
      </c>
      <c r="J2070" s="3">
        <v>2</v>
      </c>
      <c r="K2070" s="2">
        <v>6.8</v>
      </c>
    </row>
    <row r="2071" spans="1:11" x14ac:dyDescent="0.35">
      <c r="A2071" s="1">
        <v>42618</v>
      </c>
      <c r="B2071" s="3">
        <f t="shared" si="64"/>
        <v>2016</v>
      </c>
      <c r="C2071" s="3">
        <f t="shared" si="65"/>
        <v>9</v>
      </c>
      <c r="D2071" t="s">
        <v>1432</v>
      </c>
      <c r="E2071" t="s">
        <v>326</v>
      </c>
      <c r="F2071" t="s">
        <v>28</v>
      </c>
      <c r="G2071" t="s">
        <v>29</v>
      </c>
      <c r="H2071" t="s">
        <v>162</v>
      </c>
      <c r="I2071" s="2">
        <v>10.27</v>
      </c>
      <c r="J2071" s="3">
        <v>3</v>
      </c>
      <c r="K2071" s="2">
        <v>3.21</v>
      </c>
    </row>
    <row r="2072" spans="1:11" x14ac:dyDescent="0.35">
      <c r="A2072" s="1">
        <v>42618</v>
      </c>
      <c r="B2072" s="3">
        <f t="shared" si="64"/>
        <v>2016</v>
      </c>
      <c r="C2072" s="3">
        <f t="shared" si="65"/>
        <v>9</v>
      </c>
      <c r="D2072" t="s">
        <v>296</v>
      </c>
      <c r="E2072" t="s">
        <v>32</v>
      </c>
      <c r="F2072" t="s">
        <v>28</v>
      </c>
      <c r="G2072" t="s">
        <v>58</v>
      </c>
      <c r="H2072" t="s">
        <v>1667</v>
      </c>
      <c r="I2072" s="2">
        <v>62.79</v>
      </c>
      <c r="J2072" s="3">
        <v>3</v>
      </c>
      <c r="K2072" s="2">
        <v>-166.39</v>
      </c>
    </row>
    <row r="2073" spans="1:11" x14ac:dyDescent="0.35">
      <c r="A2073" s="1">
        <v>42618</v>
      </c>
      <c r="B2073" s="3">
        <f t="shared" si="64"/>
        <v>2016</v>
      </c>
      <c r="C2073" s="3">
        <f t="shared" si="65"/>
        <v>9</v>
      </c>
      <c r="D2073" t="s">
        <v>296</v>
      </c>
      <c r="E2073" t="s">
        <v>32</v>
      </c>
      <c r="F2073" t="s">
        <v>28</v>
      </c>
      <c r="G2073" t="s">
        <v>33</v>
      </c>
      <c r="H2073" t="s">
        <v>1479</v>
      </c>
      <c r="I2073" s="2">
        <v>28.44</v>
      </c>
      <c r="J2073" s="3">
        <v>9</v>
      </c>
      <c r="K2073" s="2">
        <v>4.2699999999999996</v>
      </c>
    </row>
    <row r="2074" spans="1:11" x14ac:dyDescent="0.35">
      <c r="A2074" s="1">
        <v>42618</v>
      </c>
      <c r="B2074" s="3">
        <f t="shared" si="64"/>
        <v>2016</v>
      </c>
      <c r="C2074" s="3">
        <f t="shared" si="65"/>
        <v>9</v>
      </c>
      <c r="D2074" t="s">
        <v>787</v>
      </c>
      <c r="E2074" t="s">
        <v>45</v>
      </c>
      <c r="F2074" t="s">
        <v>28</v>
      </c>
      <c r="G2074" t="s">
        <v>29</v>
      </c>
      <c r="H2074" t="s">
        <v>1848</v>
      </c>
      <c r="I2074" s="2">
        <v>96.08</v>
      </c>
      <c r="J2074" s="3">
        <v>2</v>
      </c>
      <c r="K2074" s="2">
        <v>46.12</v>
      </c>
    </row>
    <row r="2075" spans="1:11" x14ac:dyDescent="0.35">
      <c r="A2075" s="1">
        <v>42618</v>
      </c>
      <c r="B2075" s="3">
        <f t="shared" si="64"/>
        <v>2016</v>
      </c>
      <c r="C2075" s="3">
        <f t="shared" si="65"/>
        <v>9</v>
      </c>
      <c r="D2075" t="s">
        <v>787</v>
      </c>
      <c r="E2075" t="s">
        <v>45</v>
      </c>
      <c r="F2075" t="s">
        <v>28</v>
      </c>
      <c r="G2075" t="s">
        <v>48</v>
      </c>
      <c r="H2075" t="s">
        <v>239</v>
      </c>
      <c r="I2075" s="2">
        <v>11.68</v>
      </c>
      <c r="J2075" s="3">
        <v>2</v>
      </c>
      <c r="K2075" s="2">
        <v>3.94</v>
      </c>
    </row>
    <row r="2076" spans="1:11" x14ac:dyDescent="0.35">
      <c r="A2076" s="1">
        <v>42618</v>
      </c>
      <c r="B2076" s="3">
        <f t="shared" si="64"/>
        <v>2016</v>
      </c>
      <c r="C2076" s="3">
        <f t="shared" si="65"/>
        <v>9</v>
      </c>
      <c r="D2076" t="s">
        <v>787</v>
      </c>
      <c r="E2076" t="s">
        <v>45</v>
      </c>
      <c r="F2076" t="s">
        <v>28</v>
      </c>
      <c r="G2076" t="s">
        <v>33</v>
      </c>
      <c r="H2076" t="s">
        <v>1849</v>
      </c>
      <c r="I2076" s="2">
        <v>4.3600000000000003</v>
      </c>
      <c r="J2076" s="3">
        <v>2</v>
      </c>
      <c r="K2076" s="2">
        <v>1.79</v>
      </c>
    </row>
    <row r="2077" spans="1:11" x14ac:dyDescent="0.35">
      <c r="A2077" s="1">
        <v>42618</v>
      </c>
      <c r="B2077" s="3">
        <f t="shared" si="64"/>
        <v>2016</v>
      </c>
      <c r="C2077" s="3">
        <f t="shared" si="65"/>
        <v>9</v>
      </c>
      <c r="D2077" t="s">
        <v>467</v>
      </c>
      <c r="E2077" t="s">
        <v>32</v>
      </c>
      <c r="F2077" t="s">
        <v>28</v>
      </c>
      <c r="G2077" t="s">
        <v>29</v>
      </c>
      <c r="H2077" t="s">
        <v>1138</v>
      </c>
      <c r="I2077" s="2">
        <v>25.92</v>
      </c>
      <c r="J2077" s="3">
        <v>5</v>
      </c>
      <c r="K2077" s="2">
        <v>9.07</v>
      </c>
    </row>
    <row r="2078" spans="1:11" x14ac:dyDescent="0.35">
      <c r="A2078" s="1">
        <v>42618</v>
      </c>
      <c r="B2078" s="3">
        <f t="shared" si="64"/>
        <v>2016</v>
      </c>
      <c r="C2078" s="3">
        <f t="shared" si="65"/>
        <v>9</v>
      </c>
      <c r="D2078" t="s">
        <v>467</v>
      </c>
      <c r="E2078" t="s">
        <v>32</v>
      </c>
      <c r="F2078" t="s">
        <v>28</v>
      </c>
      <c r="G2078" t="s">
        <v>33</v>
      </c>
      <c r="H2078" t="s">
        <v>111</v>
      </c>
      <c r="I2078" s="2">
        <v>15.81</v>
      </c>
      <c r="J2078" s="3">
        <v>8</v>
      </c>
      <c r="K2078" s="2">
        <v>5.34</v>
      </c>
    </row>
    <row r="2079" spans="1:11" x14ac:dyDescent="0.35">
      <c r="A2079" s="1">
        <v>42618</v>
      </c>
      <c r="B2079" s="3">
        <f t="shared" si="64"/>
        <v>2016</v>
      </c>
      <c r="C2079" s="3">
        <f t="shared" si="65"/>
        <v>9</v>
      </c>
      <c r="D2079" t="s">
        <v>467</v>
      </c>
      <c r="E2079" t="s">
        <v>32</v>
      </c>
      <c r="F2079" t="s">
        <v>28</v>
      </c>
      <c r="G2079" t="s">
        <v>29</v>
      </c>
      <c r="H2079" t="s">
        <v>1635</v>
      </c>
      <c r="I2079" s="2">
        <v>10.37</v>
      </c>
      <c r="J2079" s="3">
        <v>2</v>
      </c>
      <c r="K2079" s="2">
        <v>3.76</v>
      </c>
    </row>
    <row r="2080" spans="1:11" x14ac:dyDescent="0.35">
      <c r="A2080" s="1">
        <v>42618</v>
      </c>
      <c r="B2080" s="3">
        <f t="shared" si="64"/>
        <v>2016</v>
      </c>
      <c r="C2080" s="3">
        <f t="shared" si="65"/>
        <v>9</v>
      </c>
      <c r="D2080" t="s">
        <v>1850</v>
      </c>
      <c r="E2080" t="s">
        <v>22</v>
      </c>
      <c r="F2080" t="s">
        <v>28</v>
      </c>
      <c r="G2080" t="s">
        <v>29</v>
      </c>
      <c r="H2080" t="s">
        <v>1495</v>
      </c>
      <c r="I2080" s="2">
        <v>192.16</v>
      </c>
      <c r="J2080" s="3">
        <v>4</v>
      </c>
      <c r="K2080" s="2">
        <v>92.24</v>
      </c>
    </row>
    <row r="2081" spans="1:11" x14ac:dyDescent="0.35">
      <c r="A2081" s="1">
        <v>42618</v>
      </c>
      <c r="B2081" s="3">
        <f t="shared" si="64"/>
        <v>2016</v>
      </c>
      <c r="C2081" s="3">
        <f t="shared" si="65"/>
        <v>9</v>
      </c>
      <c r="D2081" t="s">
        <v>1005</v>
      </c>
      <c r="E2081" t="s">
        <v>32</v>
      </c>
      <c r="F2081" t="s">
        <v>28</v>
      </c>
      <c r="G2081" t="s">
        <v>38</v>
      </c>
      <c r="H2081" t="s">
        <v>1840</v>
      </c>
      <c r="I2081" s="2">
        <v>93.46</v>
      </c>
      <c r="J2081" s="3">
        <v>3</v>
      </c>
      <c r="K2081" s="2">
        <v>-17.52</v>
      </c>
    </row>
    <row r="2082" spans="1:11" x14ac:dyDescent="0.35">
      <c r="A2082" s="1">
        <v>42618</v>
      </c>
      <c r="B2082" s="3">
        <f t="shared" si="64"/>
        <v>2016</v>
      </c>
      <c r="C2082" s="3">
        <f t="shared" si="65"/>
        <v>9</v>
      </c>
      <c r="D2082" t="s">
        <v>1515</v>
      </c>
      <c r="E2082" t="s">
        <v>173</v>
      </c>
      <c r="F2082" t="s">
        <v>28</v>
      </c>
      <c r="G2082" t="s">
        <v>46</v>
      </c>
      <c r="H2082" t="s">
        <v>1377</v>
      </c>
      <c r="I2082" s="2">
        <v>25.06</v>
      </c>
      <c r="J2082" s="3">
        <v>2</v>
      </c>
      <c r="K2082" s="2">
        <v>11.78</v>
      </c>
    </row>
    <row r="2083" spans="1:11" x14ac:dyDescent="0.35">
      <c r="A2083" s="1">
        <v>42618</v>
      </c>
      <c r="B2083" s="3">
        <f t="shared" si="64"/>
        <v>2016</v>
      </c>
      <c r="C2083" s="3">
        <f t="shared" si="65"/>
        <v>9</v>
      </c>
      <c r="D2083" t="s">
        <v>1515</v>
      </c>
      <c r="E2083" t="s">
        <v>173</v>
      </c>
      <c r="F2083" t="s">
        <v>18</v>
      </c>
      <c r="G2083" t="s">
        <v>42</v>
      </c>
      <c r="H2083" t="s">
        <v>555</v>
      </c>
      <c r="I2083" s="2">
        <v>1652.94</v>
      </c>
      <c r="J2083" s="3">
        <v>3</v>
      </c>
      <c r="K2083" s="2">
        <v>314.06</v>
      </c>
    </row>
    <row r="2084" spans="1:11" x14ac:dyDescent="0.35">
      <c r="A2084" s="1">
        <v>42618</v>
      </c>
      <c r="B2084" s="3">
        <f t="shared" si="64"/>
        <v>2016</v>
      </c>
      <c r="C2084" s="3">
        <f t="shared" si="65"/>
        <v>9</v>
      </c>
      <c r="D2084" t="s">
        <v>1303</v>
      </c>
      <c r="E2084" t="s">
        <v>26</v>
      </c>
      <c r="F2084" t="s">
        <v>28</v>
      </c>
      <c r="G2084" t="s">
        <v>29</v>
      </c>
      <c r="H2084" t="s">
        <v>1851</v>
      </c>
      <c r="I2084" s="2">
        <v>9.25</v>
      </c>
      <c r="J2084" s="3">
        <v>2</v>
      </c>
      <c r="K2084" s="2">
        <v>3.35</v>
      </c>
    </row>
    <row r="2085" spans="1:11" x14ac:dyDescent="0.35">
      <c r="A2085" s="1">
        <v>42618</v>
      </c>
      <c r="B2085" s="3">
        <f t="shared" si="64"/>
        <v>2016</v>
      </c>
      <c r="C2085" s="3">
        <f t="shared" si="65"/>
        <v>9</v>
      </c>
      <c r="D2085" t="s">
        <v>497</v>
      </c>
      <c r="E2085" t="s">
        <v>131</v>
      </c>
      <c r="F2085" t="s">
        <v>28</v>
      </c>
      <c r="G2085" t="s">
        <v>48</v>
      </c>
      <c r="H2085" t="s">
        <v>1852</v>
      </c>
      <c r="I2085" s="2">
        <v>8.9499999999999993</v>
      </c>
      <c r="J2085" s="3">
        <v>2</v>
      </c>
      <c r="K2085" s="2">
        <v>-7.46</v>
      </c>
    </row>
    <row r="2086" spans="1:11" x14ac:dyDescent="0.35">
      <c r="A2086" s="1">
        <v>42618</v>
      </c>
      <c r="B2086" s="3">
        <f t="shared" si="64"/>
        <v>2016</v>
      </c>
      <c r="C2086" s="3">
        <f t="shared" si="65"/>
        <v>9</v>
      </c>
      <c r="D2086" t="s">
        <v>497</v>
      </c>
      <c r="E2086" t="s">
        <v>131</v>
      </c>
      <c r="F2086" t="s">
        <v>28</v>
      </c>
      <c r="G2086" t="s">
        <v>48</v>
      </c>
      <c r="H2086" t="s">
        <v>1133</v>
      </c>
      <c r="I2086" s="2">
        <v>8.86</v>
      </c>
      <c r="J2086" s="3">
        <v>6</v>
      </c>
      <c r="K2086" s="2">
        <v>-6.49</v>
      </c>
    </row>
    <row r="2087" spans="1:11" x14ac:dyDescent="0.35">
      <c r="A2087" s="1">
        <v>42618</v>
      </c>
      <c r="B2087" s="3">
        <f t="shared" si="64"/>
        <v>2016</v>
      </c>
      <c r="C2087" s="3">
        <f t="shared" si="65"/>
        <v>9</v>
      </c>
      <c r="D2087" t="s">
        <v>497</v>
      </c>
      <c r="E2087" t="s">
        <v>131</v>
      </c>
      <c r="F2087" t="s">
        <v>18</v>
      </c>
      <c r="G2087" t="s">
        <v>19</v>
      </c>
      <c r="H2087" t="s">
        <v>596</v>
      </c>
      <c r="I2087" s="2">
        <v>85.25</v>
      </c>
      <c r="J2087" s="3">
        <v>2</v>
      </c>
      <c r="K2087" s="2">
        <v>-1.22</v>
      </c>
    </row>
    <row r="2088" spans="1:11" x14ac:dyDescent="0.35">
      <c r="A2088" s="1">
        <v>42618</v>
      </c>
      <c r="B2088" s="3">
        <f t="shared" si="64"/>
        <v>2016</v>
      </c>
      <c r="C2088" s="3">
        <f t="shared" si="65"/>
        <v>9</v>
      </c>
      <c r="D2088" t="s">
        <v>254</v>
      </c>
      <c r="E2088" t="s">
        <v>32</v>
      </c>
      <c r="F2088" t="s">
        <v>18</v>
      </c>
      <c r="G2088" t="s">
        <v>36</v>
      </c>
      <c r="H2088" t="s">
        <v>411</v>
      </c>
      <c r="I2088" s="2">
        <v>21.2</v>
      </c>
      <c r="J2088" s="3">
        <v>3</v>
      </c>
      <c r="K2088" s="2">
        <v>-11.66</v>
      </c>
    </row>
    <row r="2089" spans="1:11" x14ac:dyDescent="0.35">
      <c r="A2089" s="1">
        <v>42618</v>
      </c>
      <c r="B2089" s="3">
        <f t="shared" si="64"/>
        <v>2016</v>
      </c>
      <c r="C2089" s="3">
        <f t="shared" si="65"/>
        <v>9</v>
      </c>
      <c r="D2089" t="s">
        <v>1853</v>
      </c>
      <c r="E2089" t="s">
        <v>89</v>
      </c>
      <c r="F2089" t="s">
        <v>18</v>
      </c>
      <c r="G2089" t="s">
        <v>36</v>
      </c>
      <c r="H2089" t="s">
        <v>1800</v>
      </c>
      <c r="I2089" s="2">
        <v>58.25</v>
      </c>
      <c r="J2089" s="3">
        <v>9</v>
      </c>
      <c r="K2089" s="2">
        <v>11.65</v>
      </c>
    </row>
    <row r="2090" spans="1:11" x14ac:dyDescent="0.35">
      <c r="A2090" s="1">
        <v>42618</v>
      </c>
      <c r="B2090" s="3">
        <f t="shared" si="64"/>
        <v>2016</v>
      </c>
      <c r="C2090" s="3">
        <f t="shared" si="65"/>
        <v>9</v>
      </c>
      <c r="D2090" t="s">
        <v>1853</v>
      </c>
      <c r="E2090" t="s">
        <v>89</v>
      </c>
      <c r="F2090" t="s">
        <v>18</v>
      </c>
      <c r="G2090" t="s">
        <v>19</v>
      </c>
      <c r="H2090" t="s">
        <v>1854</v>
      </c>
      <c r="I2090" s="2">
        <v>71.25</v>
      </c>
      <c r="J2090" s="3">
        <v>2</v>
      </c>
      <c r="K2090" s="2">
        <v>-19.34</v>
      </c>
    </row>
    <row r="2091" spans="1:11" x14ac:dyDescent="0.35">
      <c r="A2091" s="1">
        <v>42618</v>
      </c>
      <c r="B2091" s="3">
        <f t="shared" si="64"/>
        <v>2016</v>
      </c>
      <c r="C2091" s="3">
        <f t="shared" si="65"/>
        <v>9</v>
      </c>
      <c r="D2091" t="s">
        <v>1853</v>
      </c>
      <c r="E2091" t="s">
        <v>89</v>
      </c>
      <c r="F2091" t="s">
        <v>28</v>
      </c>
      <c r="G2091" t="s">
        <v>64</v>
      </c>
      <c r="H2091" t="s">
        <v>387</v>
      </c>
      <c r="I2091" s="2">
        <v>7.87</v>
      </c>
      <c r="J2091" s="3">
        <v>3</v>
      </c>
      <c r="K2091" s="2">
        <v>0.59</v>
      </c>
    </row>
    <row r="2092" spans="1:11" x14ac:dyDescent="0.35">
      <c r="A2092" s="1">
        <v>42618</v>
      </c>
      <c r="B2092" s="3">
        <f t="shared" si="64"/>
        <v>2016</v>
      </c>
      <c r="C2092" s="3">
        <f t="shared" si="65"/>
        <v>9</v>
      </c>
      <c r="D2092" t="s">
        <v>1853</v>
      </c>
      <c r="E2092" t="s">
        <v>89</v>
      </c>
      <c r="F2092" t="s">
        <v>18</v>
      </c>
      <c r="G2092" t="s">
        <v>19</v>
      </c>
      <c r="H2092" t="s">
        <v>1855</v>
      </c>
      <c r="I2092" s="2">
        <v>887.27</v>
      </c>
      <c r="J2092" s="3">
        <v>3</v>
      </c>
      <c r="K2092" s="2">
        <v>-63.38</v>
      </c>
    </row>
    <row r="2093" spans="1:11" x14ac:dyDescent="0.35">
      <c r="A2093" s="1">
        <v>42618</v>
      </c>
      <c r="B2093" s="3">
        <f t="shared" si="64"/>
        <v>2016</v>
      </c>
      <c r="C2093" s="3">
        <f t="shared" si="65"/>
        <v>9</v>
      </c>
      <c r="D2093" t="s">
        <v>1856</v>
      </c>
      <c r="E2093" t="s">
        <v>22</v>
      </c>
      <c r="F2093" t="s">
        <v>13</v>
      </c>
      <c r="G2093" t="s">
        <v>23</v>
      </c>
      <c r="H2093" t="s">
        <v>832</v>
      </c>
      <c r="I2093" s="2">
        <v>43.6</v>
      </c>
      <c r="J2093" s="3">
        <v>4</v>
      </c>
      <c r="K2093" s="2">
        <v>12.21</v>
      </c>
    </row>
    <row r="2094" spans="1:11" x14ac:dyDescent="0.35">
      <c r="A2094" s="1">
        <v>42679</v>
      </c>
      <c r="B2094" s="3">
        <f t="shared" si="64"/>
        <v>2016</v>
      </c>
      <c r="C2094" s="3">
        <f t="shared" si="65"/>
        <v>11</v>
      </c>
      <c r="D2094" t="s">
        <v>1131</v>
      </c>
      <c r="E2094" t="s">
        <v>45</v>
      </c>
      <c r="F2094" t="s">
        <v>28</v>
      </c>
      <c r="G2094" t="s">
        <v>48</v>
      </c>
      <c r="H2094" t="s">
        <v>1857</v>
      </c>
      <c r="I2094" s="2">
        <v>29.12</v>
      </c>
      <c r="J2094" s="3">
        <v>5</v>
      </c>
      <c r="K2094" s="2">
        <v>9.83</v>
      </c>
    </row>
    <row r="2095" spans="1:11" x14ac:dyDescent="0.35">
      <c r="A2095" s="1">
        <v>42679</v>
      </c>
      <c r="B2095" s="3">
        <f t="shared" si="64"/>
        <v>2016</v>
      </c>
      <c r="C2095" s="3">
        <f t="shared" si="65"/>
        <v>11</v>
      </c>
      <c r="D2095" t="s">
        <v>1807</v>
      </c>
      <c r="E2095" t="s">
        <v>89</v>
      </c>
      <c r="F2095" t="s">
        <v>13</v>
      </c>
      <c r="G2095" t="s">
        <v>23</v>
      </c>
      <c r="H2095" t="s">
        <v>1858</v>
      </c>
      <c r="I2095" s="2">
        <v>23.99</v>
      </c>
      <c r="J2095" s="3">
        <v>2</v>
      </c>
      <c r="K2095" s="2">
        <v>-15.99</v>
      </c>
    </row>
    <row r="2096" spans="1:11" x14ac:dyDescent="0.35">
      <c r="A2096" s="1">
        <v>42679</v>
      </c>
      <c r="B2096" s="3">
        <f t="shared" si="64"/>
        <v>2016</v>
      </c>
      <c r="C2096" s="3">
        <f t="shared" si="65"/>
        <v>11</v>
      </c>
      <c r="D2096" t="s">
        <v>562</v>
      </c>
      <c r="E2096" t="s">
        <v>32</v>
      </c>
      <c r="F2096" t="s">
        <v>18</v>
      </c>
      <c r="G2096" t="s">
        <v>42</v>
      </c>
      <c r="H2096" t="s">
        <v>1468</v>
      </c>
      <c r="I2096" s="2">
        <v>863.13</v>
      </c>
      <c r="J2096" s="3">
        <v>8</v>
      </c>
      <c r="K2096" s="2">
        <v>-160.30000000000001</v>
      </c>
    </row>
    <row r="2097" spans="1:11" x14ac:dyDescent="0.35">
      <c r="A2097" s="1">
        <v>42679</v>
      </c>
      <c r="B2097" s="3">
        <f t="shared" si="64"/>
        <v>2016</v>
      </c>
      <c r="C2097" s="3">
        <f t="shared" si="65"/>
        <v>11</v>
      </c>
      <c r="D2097" t="s">
        <v>562</v>
      </c>
      <c r="E2097" t="s">
        <v>32</v>
      </c>
      <c r="F2097" t="s">
        <v>28</v>
      </c>
      <c r="G2097" t="s">
        <v>48</v>
      </c>
      <c r="H2097" t="s">
        <v>454</v>
      </c>
      <c r="I2097" s="2">
        <v>3.56</v>
      </c>
      <c r="J2097" s="3">
        <v>3</v>
      </c>
      <c r="K2097" s="2">
        <v>-6.24</v>
      </c>
    </row>
    <row r="2098" spans="1:11" x14ac:dyDescent="0.35">
      <c r="A2098" s="1">
        <v>42679</v>
      </c>
      <c r="B2098" s="3">
        <f t="shared" si="64"/>
        <v>2016</v>
      </c>
      <c r="C2098" s="3">
        <f t="shared" si="65"/>
        <v>11</v>
      </c>
      <c r="D2098" t="s">
        <v>562</v>
      </c>
      <c r="E2098" t="s">
        <v>32</v>
      </c>
      <c r="F2098" t="s">
        <v>18</v>
      </c>
      <c r="G2098" t="s">
        <v>237</v>
      </c>
      <c r="H2098" t="s">
        <v>1859</v>
      </c>
      <c r="I2098" s="2">
        <v>956.66</v>
      </c>
      <c r="J2098" s="3">
        <v>7</v>
      </c>
      <c r="K2098" s="2">
        <v>-225.1</v>
      </c>
    </row>
    <row r="2099" spans="1:11" x14ac:dyDescent="0.35">
      <c r="A2099" s="1">
        <v>42679</v>
      </c>
      <c r="B2099" s="3">
        <f t="shared" si="64"/>
        <v>2016</v>
      </c>
      <c r="C2099" s="3">
        <f t="shared" si="65"/>
        <v>11</v>
      </c>
      <c r="D2099" t="s">
        <v>562</v>
      </c>
      <c r="E2099" t="s">
        <v>32</v>
      </c>
      <c r="F2099" t="s">
        <v>28</v>
      </c>
      <c r="G2099" t="s">
        <v>48</v>
      </c>
      <c r="H2099" t="s">
        <v>1860</v>
      </c>
      <c r="I2099" s="2">
        <v>12.59</v>
      </c>
      <c r="J2099" s="3">
        <v>3</v>
      </c>
      <c r="K2099" s="2">
        <v>-20.14</v>
      </c>
    </row>
    <row r="2100" spans="1:11" x14ac:dyDescent="0.35">
      <c r="A2100" s="1">
        <v>42679</v>
      </c>
      <c r="B2100" s="3">
        <f t="shared" si="64"/>
        <v>2016</v>
      </c>
      <c r="C2100" s="3">
        <f t="shared" si="65"/>
        <v>11</v>
      </c>
      <c r="D2100" t="s">
        <v>562</v>
      </c>
      <c r="E2100" t="s">
        <v>32</v>
      </c>
      <c r="F2100" t="s">
        <v>13</v>
      </c>
      <c r="G2100" t="s">
        <v>14</v>
      </c>
      <c r="H2100" t="s">
        <v>1861</v>
      </c>
      <c r="I2100" s="2">
        <v>171.96</v>
      </c>
      <c r="J2100" s="3">
        <v>5</v>
      </c>
      <c r="K2100" s="2">
        <v>45.14</v>
      </c>
    </row>
    <row r="2101" spans="1:11" x14ac:dyDescent="0.35">
      <c r="A2101" s="1">
        <v>42679</v>
      </c>
      <c r="B2101" s="3">
        <f t="shared" si="64"/>
        <v>2016</v>
      </c>
      <c r="C2101" s="3">
        <f t="shared" si="65"/>
        <v>11</v>
      </c>
      <c r="D2101" t="s">
        <v>1862</v>
      </c>
      <c r="E2101" t="s">
        <v>575</v>
      </c>
      <c r="F2101" t="s">
        <v>28</v>
      </c>
      <c r="G2101" t="s">
        <v>48</v>
      </c>
      <c r="H2101" t="s">
        <v>1860</v>
      </c>
      <c r="I2101" s="2">
        <v>104.9</v>
      </c>
      <c r="J2101" s="3">
        <v>5</v>
      </c>
      <c r="K2101" s="2">
        <v>50.35</v>
      </c>
    </row>
    <row r="2102" spans="1:11" x14ac:dyDescent="0.35">
      <c r="A2102" s="1">
        <v>42679</v>
      </c>
      <c r="B2102" s="3">
        <f t="shared" si="64"/>
        <v>2016</v>
      </c>
      <c r="C2102" s="3">
        <f t="shared" si="65"/>
        <v>11</v>
      </c>
      <c r="D2102" t="s">
        <v>1862</v>
      </c>
      <c r="E2102" t="s">
        <v>575</v>
      </c>
      <c r="F2102" t="s">
        <v>28</v>
      </c>
      <c r="G2102" t="s">
        <v>64</v>
      </c>
      <c r="H2102" t="s">
        <v>976</v>
      </c>
      <c r="I2102" s="2">
        <v>39.68</v>
      </c>
      <c r="J2102" s="3">
        <v>2</v>
      </c>
      <c r="K2102" s="2">
        <v>16.27</v>
      </c>
    </row>
    <row r="2103" spans="1:11" x14ac:dyDescent="0.35">
      <c r="A2103" s="1">
        <v>42679</v>
      </c>
      <c r="B2103" s="3">
        <f t="shared" si="64"/>
        <v>2016</v>
      </c>
      <c r="C2103" s="3">
        <f t="shared" si="65"/>
        <v>11</v>
      </c>
      <c r="D2103" t="s">
        <v>1862</v>
      </c>
      <c r="E2103" t="s">
        <v>575</v>
      </c>
      <c r="F2103" t="s">
        <v>28</v>
      </c>
      <c r="G2103" t="s">
        <v>46</v>
      </c>
      <c r="H2103" t="s">
        <v>1536</v>
      </c>
      <c r="I2103" s="2">
        <v>51.75</v>
      </c>
      <c r="J2103" s="3">
        <v>5</v>
      </c>
      <c r="K2103" s="2">
        <v>24.84</v>
      </c>
    </row>
    <row r="2104" spans="1:11" x14ac:dyDescent="0.35">
      <c r="A2104" s="1">
        <v>42679</v>
      </c>
      <c r="B2104" s="3">
        <f t="shared" si="64"/>
        <v>2016</v>
      </c>
      <c r="C2104" s="3">
        <f t="shared" si="65"/>
        <v>11</v>
      </c>
      <c r="D2104" t="s">
        <v>787</v>
      </c>
      <c r="E2104" t="s">
        <v>45</v>
      </c>
      <c r="F2104" t="s">
        <v>28</v>
      </c>
      <c r="G2104" t="s">
        <v>48</v>
      </c>
      <c r="H2104" t="s">
        <v>1863</v>
      </c>
      <c r="I2104" s="2">
        <v>53.25</v>
      </c>
      <c r="J2104" s="3">
        <v>2</v>
      </c>
      <c r="K2104" s="2">
        <v>19.97</v>
      </c>
    </row>
    <row r="2105" spans="1:11" x14ac:dyDescent="0.35">
      <c r="A2105" s="1">
        <v>42679</v>
      </c>
      <c r="B2105" s="3">
        <f t="shared" si="64"/>
        <v>2016</v>
      </c>
      <c r="C2105" s="3">
        <f t="shared" si="65"/>
        <v>11</v>
      </c>
      <c r="D2105" t="s">
        <v>1606</v>
      </c>
      <c r="E2105" t="s">
        <v>32</v>
      </c>
      <c r="F2105" t="s">
        <v>28</v>
      </c>
      <c r="G2105" t="s">
        <v>46</v>
      </c>
      <c r="H2105" t="s">
        <v>47</v>
      </c>
      <c r="I2105" s="2">
        <v>11.84</v>
      </c>
      <c r="J2105" s="3">
        <v>1</v>
      </c>
      <c r="K2105" s="2">
        <v>4.4400000000000004</v>
      </c>
    </row>
    <row r="2106" spans="1:11" x14ac:dyDescent="0.35">
      <c r="A2106" s="1">
        <v>42679</v>
      </c>
      <c r="B2106" s="3">
        <f t="shared" si="64"/>
        <v>2016</v>
      </c>
      <c r="C2106" s="3">
        <f t="shared" si="65"/>
        <v>11</v>
      </c>
      <c r="D2106" t="s">
        <v>485</v>
      </c>
      <c r="E2106" t="s">
        <v>17</v>
      </c>
      <c r="F2106" t="s">
        <v>13</v>
      </c>
      <c r="G2106" t="s">
        <v>14</v>
      </c>
      <c r="H2106" t="s">
        <v>1864</v>
      </c>
      <c r="I2106" s="2">
        <v>479.72</v>
      </c>
      <c r="J2106" s="3">
        <v>4</v>
      </c>
      <c r="K2106" s="2">
        <v>52.77</v>
      </c>
    </row>
    <row r="2107" spans="1:11" x14ac:dyDescent="0.35">
      <c r="A2107" s="1">
        <v>42679</v>
      </c>
      <c r="B2107" s="3">
        <f t="shared" si="64"/>
        <v>2016</v>
      </c>
      <c r="C2107" s="3">
        <f t="shared" si="65"/>
        <v>11</v>
      </c>
      <c r="D2107" t="s">
        <v>1033</v>
      </c>
      <c r="E2107" t="s">
        <v>45</v>
      </c>
      <c r="F2107" t="s">
        <v>13</v>
      </c>
      <c r="G2107" t="s">
        <v>14</v>
      </c>
      <c r="H2107" t="s">
        <v>1386</v>
      </c>
      <c r="I2107" s="2">
        <v>72</v>
      </c>
      <c r="J2107" s="3">
        <v>4</v>
      </c>
      <c r="K2107" s="2">
        <v>12.96</v>
      </c>
    </row>
    <row r="2108" spans="1:11" x14ac:dyDescent="0.35">
      <c r="A2108" s="1">
        <v>42679</v>
      </c>
      <c r="B2108" s="3">
        <f t="shared" si="64"/>
        <v>2016</v>
      </c>
      <c r="C2108" s="3">
        <f t="shared" si="65"/>
        <v>11</v>
      </c>
      <c r="D2108" t="s">
        <v>1033</v>
      </c>
      <c r="E2108" t="s">
        <v>45</v>
      </c>
      <c r="F2108" t="s">
        <v>18</v>
      </c>
      <c r="G2108" t="s">
        <v>19</v>
      </c>
      <c r="H2108" t="s">
        <v>1865</v>
      </c>
      <c r="I2108" s="2">
        <v>113.89</v>
      </c>
      <c r="J2108" s="3">
        <v>2</v>
      </c>
      <c r="K2108" s="2">
        <v>9.9700000000000006</v>
      </c>
    </row>
    <row r="2109" spans="1:11" x14ac:dyDescent="0.35">
      <c r="A2109" s="1">
        <v>42679</v>
      </c>
      <c r="B2109" s="3">
        <f t="shared" si="64"/>
        <v>2016</v>
      </c>
      <c r="C2109" s="3">
        <f t="shared" si="65"/>
        <v>11</v>
      </c>
      <c r="D2109" t="s">
        <v>1033</v>
      </c>
      <c r="E2109" t="s">
        <v>45</v>
      </c>
      <c r="F2109" t="s">
        <v>28</v>
      </c>
      <c r="G2109" t="s">
        <v>158</v>
      </c>
      <c r="H2109" t="s">
        <v>831</v>
      </c>
      <c r="I2109" s="2">
        <v>158.13</v>
      </c>
      <c r="J2109" s="3">
        <v>3</v>
      </c>
      <c r="K2109" s="2">
        <v>77.48</v>
      </c>
    </row>
    <row r="2110" spans="1:11" x14ac:dyDescent="0.35">
      <c r="A2110" s="1">
        <v>42679</v>
      </c>
      <c r="B2110" s="3">
        <f t="shared" si="64"/>
        <v>2016</v>
      </c>
      <c r="C2110" s="3">
        <f t="shared" si="65"/>
        <v>11</v>
      </c>
      <c r="D2110" t="s">
        <v>931</v>
      </c>
      <c r="E2110" t="s">
        <v>173</v>
      </c>
      <c r="F2110" t="s">
        <v>18</v>
      </c>
      <c r="G2110" t="s">
        <v>36</v>
      </c>
      <c r="H2110" t="s">
        <v>628</v>
      </c>
      <c r="I2110" s="2">
        <v>273.95999999999998</v>
      </c>
      <c r="J2110" s="3">
        <v>2</v>
      </c>
      <c r="K2110" s="2">
        <v>71.23</v>
      </c>
    </row>
    <row r="2111" spans="1:11" x14ac:dyDescent="0.35">
      <c r="A2111" s="1">
        <v>42679</v>
      </c>
      <c r="B2111" s="3">
        <f t="shared" si="64"/>
        <v>2016</v>
      </c>
      <c r="C2111" s="3">
        <f t="shared" si="65"/>
        <v>11</v>
      </c>
      <c r="D2111" t="s">
        <v>931</v>
      </c>
      <c r="E2111" t="s">
        <v>173</v>
      </c>
      <c r="F2111" t="s">
        <v>13</v>
      </c>
      <c r="G2111" t="s">
        <v>14</v>
      </c>
      <c r="H2111" t="s">
        <v>1195</v>
      </c>
      <c r="I2111" s="2">
        <v>89.97</v>
      </c>
      <c r="J2111" s="3">
        <v>3</v>
      </c>
      <c r="K2111" s="2">
        <v>18.89</v>
      </c>
    </row>
    <row r="2112" spans="1:11" x14ac:dyDescent="0.35">
      <c r="A2112" s="1">
        <v>42679</v>
      </c>
      <c r="B2112" s="3">
        <f t="shared" si="64"/>
        <v>2016</v>
      </c>
      <c r="C2112" s="3">
        <f t="shared" si="65"/>
        <v>11</v>
      </c>
      <c r="D2112" t="s">
        <v>931</v>
      </c>
      <c r="E2112" t="s">
        <v>173</v>
      </c>
      <c r="F2112" t="s">
        <v>18</v>
      </c>
      <c r="G2112" t="s">
        <v>36</v>
      </c>
      <c r="H2112" t="s">
        <v>1866</v>
      </c>
      <c r="I2112" s="2">
        <v>756.8</v>
      </c>
      <c r="J2112" s="3">
        <v>5</v>
      </c>
      <c r="K2112" s="2">
        <v>75.680000000000007</v>
      </c>
    </row>
    <row r="2113" spans="1:11" x14ac:dyDescent="0.35">
      <c r="A2113" s="1">
        <v>42709</v>
      </c>
      <c r="B2113" s="3">
        <f t="shared" si="64"/>
        <v>2016</v>
      </c>
      <c r="C2113" s="3">
        <f t="shared" si="65"/>
        <v>12</v>
      </c>
      <c r="D2113" t="s">
        <v>1230</v>
      </c>
      <c r="E2113" t="s">
        <v>17</v>
      </c>
      <c r="F2113" t="s">
        <v>28</v>
      </c>
      <c r="G2113" t="s">
        <v>48</v>
      </c>
      <c r="H2113" t="s">
        <v>1867</v>
      </c>
      <c r="I2113" s="2">
        <v>407.98</v>
      </c>
      <c r="J2113" s="3">
        <v>3</v>
      </c>
      <c r="K2113" s="2">
        <v>132.59</v>
      </c>
    </row>
    <row r="2114" spans="1:11" x14ac:dyDescent="0.35">
      <c r="A2114" s="1">
        <v>42709</v>
      </c>
      <c r="B2114" s="3">
        <f t="shared" ref="B2114:B2177" si="66">YEAR(A2114)</f>
        <v>2016</v>
      </c>
      <c r="C2114" s="3">
        <f t="shared" ref="C2114:C2177" si="67">MONTH(A2114)</f>
        <v>12</v>
      </c>
      <c r="D2114" t="s">
        <v>1868</v>
      </c>
      <c r="E2114" t="s">
        <v>12</v>
      </c>
      <c r="F2114" t="s">
        <v>13</v>
      </c>
      <c r="G2114" t="s">
        <v>23</v>
      </c>
      <c r="H2114" t="s">
        <v>629</v>
      </c>
      <c r="I2114" s="2">
        <v>384.45</v>
      </c>
      <c r="J2114" s="3">
        <v>11</v>
      </c>
      <c r="K2114" s="2">
        <v>103.8</v>
      </c>
    </row>
    <row r="2115" spans="1:11" x14ac:dyDescent="0.35">
      <c r="A2115" s="1">
        <v>42709</v>
      </c>
      <c r="B2115" s="3">
        <f t="shared" si="66"/>
        <v>2016</v>
      </c>
      <c r="C2115" s="3">
        <f t="shared" si="67"/>
        <v>12</v>
      </c>
      <c r="D2115" t="s">
        <v>1868</v>
      </c>
      <c r="E2115" t="s">
        <v>12</v>
      </c>
      <c r="F2115" t="s">
        <v>13</v>
      </c>
      <c r="G2115" t="s">
        <v>23</v>
      </c>
      <c r="H2115" t="s">
        <v>1782</v>
      </c>
      <c r="I2115" s="2">
        <v>149.97</v>
      </c>
      <c r="J2115" s="3">
        <v>3</v>
      </c>
      <c r="K2115" s="2">
        <v>6</v>
      </c>
    </row>
    <row r="2116" spans="1:11" x14ac:dyDescent="0.35">
      <c r="A2116" s="1">
        <v>42709</v>
      </c>
      <c r="B2116" s="3">
        <f t="shared" si="66"/>
        <v>2016</v>
      </c>
      <c r="C2116" s="3">
        <f t="shared" si="67"/>
        <v>12</v>
      </c>
      <c r="D2116" t="s">
        <v>1868</v>
      </c>
      <c r="E2116" t="s">
        <v>12</v>
      </c>
      <c r="F2116" t="s">
        <v>18</v>
      </c>
      <c r="G2116" t="s">
        <v>19</v>
      </c>
      <c r="H2116" t="s">
        <v>718</v>
      </c>
      <c r="I2116" s="2">
        <v>1951.84</v>
      </c>
      <c r="J2116" s="3">
        <v>8</v>
      </c>
      <c r="K2116" s="2">
        <v>585.54999999999995</v>
      </c>
    </row>
    <row r="2117" spans="1:11" x14ac:dyDescent="0.35">
      <c r="A2117" s="1">
        <v>42709</v>
      </c>
      <c r="B2117" s="3">
        <f t="shared" si="66"/>
        <v>2016</v>
      </c>
      <c r="C2117" s="3">
        <f t="shared" si="67"/>
        <v>12</v>
      </c>
      <c r="D2117" t="s">
        <v>1868</v>
      </c>
      <c r="E2117" t="s">
        <v>12</v>
      </c>
      <c r="F2117" t="s">
        <v>28</v>
      </c>
      <c r="G2117" t="s">
        <v>48</v>
      </c>
      <c r="H2117" t="s">
        <v>1217</v>
      </c>
      <c r="I2117" s="2">
        <v>171.55</v>
      </c>
      <c r="J2117" s="3">
        <v>5</v>
      </c>
      <c r="K2117" s="2">
        <v>80.63</v>
      </c>
    </row>
    <row r="2118" spans="1:11" x14ac:dyDescent="0.35">
      <c r="A2118" s="1">
        <v>42709</v>
      </c>
      <c r="B2118" s="3">
        <f t="shared" si="66"/>
        <v>2016</v>
      </c>
      <c r="C2118" s="3">
        <f t="shared" si="67"/>
        <v>12</v>
      </c>
      <c r="D2118" t="s">
        <v>1613</v>
      </c>
      <c r="E2118" t="s">
        <v>118</v>
      </c>
      <c r="F2118" t="s">
        <v>18</v>
      </c>
      <c r="G2118" t="s">
        <v>36</v>
      </c>
      <c r="H2118" t="s">
        <v>1327</v>
      </c>
      <c r="I2118" s="2">
        <v>191.82</v>
      </c>
      <c r="J2118" s="3">
        <v>3</v>
      </c>
      <c r="K2118" s="2">
        <v>74.81</v>
      </c>
    </row>
    <row r="2119" spans="1:11" x14ac:dyDescent="0.35">
      <c r="A2119" s="1">
        <v>42709</v>
      </c>
      <c r="B2119" s="3">
        <f t="shared" si="66"/>
        <v>2016</v>
      </c>
      <c r="C2119" s="3">
        <f t="shared" si="67"/>
        <v>12</v>
      </c>
      <c r="D2119" t="s">
        <v>1613</v>
      </c>
      <c r="E2119" t="s">
        <v>22</v>
      </c>
      <c r="F2119" t="s">
        <v>28</v>
      </c>
      <c r="G2119" t="s">
        <v>38</v>
      </c>
      <c r="H2119" t="s">
        <v>1600</v>
      </c>
      <c r="I2119" s="2">
        <v>465.18</v>
      </c>
      <c r="J2119" s="3">
        <v>3</v>
      </c>
      <c r="K2119" s="2">
        <v>120.95</v>
      </c>
    </row>
    <row r="2120" spans="1:11" x14ac:dyDescent="0.35">
      <c r="A2120" s="1">
        <v>42709</v>
      </c>
      <c r="B2120" s="3">
        <f t="shared" si="66"/>
        <v>2016</v>
      </c>
      <c r="C2120" s="3">
        <f t="shared" si="67"/>
        <v>12</v>
      </c>
      <c r="D2120" t="s">
        <v>1869</v>
      </c>
      <c r="E2120" t="s">
        <v>51</v>
      </c>
      <c r="F2120" t="s">
        <v>18</v>
      </c>
      <c r="G2120" t="s">
        <v>237</v>
      </c>
      <c r="H2120" t="s">
        <v>1870</v>
      </c>
      <c r="I2120" s="2">
        <v>81.94</v>
      </c>
      <c r="J2120" s="3">
        <v>1</v>
      </c>
      <c r="K2120" s="2">
        <v>20.49</v>
      </c>
    </row>
    <row r="2121" spans="1:11" x14ac:dyDescent="0.35">
      <c r="A2121" s="1">
        <v>42709</v>
      </c>
      <c r="B2121" s="3">
        <f t="shared" si="66"/>
        <v>2016</v>
      </c>
      <c r="C2121" s="3">
        <f t="shared" si="67"/>
        <v>12</v>
      </c>
      <c r="D2121" t="s">
        <v>1871</v>
      </c>
      <c r="E2121" t="s">
        <v>1872</v>
      </c>
      <c r="F2121" t="s">
        <v>28</v>
      </c>
      <c r="G2121" t="s">
        <v>64</v>
      </c>
      <c r="H2121" t="s">
        <v>948</v>
      </c>
      <c r="I2121" s="2">
        <v>33.92</v>
      </c>
      <c r="J2121" s="3">
        <v>8</v>
      </c>
      <c r="K2121" s="2">
        <v>13.23</v>
      </c>
    </row>
    <row r="2122" spans="1:11" x14ac:dyDescent="0.35">
      <c r="A2122" s="1">
        <v>42709</v>
      </c>
      <c r="B2122" s="3">
        <f t="shared" si="66"/>
        <v>2016</v>
      </c>
      <c r="C2122" s="3">
        <f t="shared" si="67"/>
        <v>12</v>
      </c>
      <c r="D2122" t="s">
        <v>1873</v>
      </c>
      <c r="E2122" t="s">
        <v>118</v>
      </c>
      <c r="F2122" t="s">
        <v>13</v>
      </c>
      <c r="G2122" t="s">
        <v>23</v>
      </c>
      <c r="H2122" t="s">
        <v>949</v>
      </c>
      <c r="I2122" s="2">
        <v>699.98</v>
      </c>
      <c r="J2122" s="3">
        <v>2</v>
      </c>
      <c r="K2122" s="2">
        <v>195.99</v>
      </c>
    </row>
    <row r="2123" spans="1:11" x14ac:dyDescent="0.35">
      <c r="A2123" s="1">
        <v>42709</v>
      </c>
      <c r="B2123" s="3">
        <f t="shared" si="66"/>
        <v>2016</v>
      </c>
      <c r="C2123" s="3">
        <f t="shared" si="67"/>
        <v>12</v>
      </c>
      <c r="D2123" t="s">
        <v>1873</v>
      </c>
      <c r="E2123" t="s">
        <v>118</v>
      </c>
      <c r="F2123" t="s">
        <v>28</v>
      </c>
      <c r="G2123" t="s">
        <v>38</v>
      </c>
      <c r="H2123" t="s">
        <v>1843</v>
      </c>
      <c r="I2123" s="2">
        <v>584.82000000000005</v>
      </c>
      <c r="J2123" s="3">
        <v>9</v>
      </c>
      <c r="K2123" s="2">
        <v>70.180000000000007</v>
      </c>
    </row>
    <row r="2124" spans="1:11" x14ac:dyDescent="0.35">
      <c r="A2124" s="1">
        <v>42709</v>
      </c>
      <c r="B2124" s="3">
        <f t="shared" si="66"/>
        <v>2016</v>
      </c>
      <c r="C2124" s="3">
        <f t="shared" si="67"/>
        <v>12</v>
      </c>
      <c r="D2124" t="s">
        <v>1781</v>
      </c>
      <c r="E2124" t="s">
        <v>26</v>
      </c>
      <c r="F2124" t="s">
        <v>28</v>
      </c>
      <c r="G2124" t="s">
        <v>46</v>
      </c>
      <c r="H2124" t="s">
        <v>880</v>
      </c>
      <c r="I2124" s="2">
        <v>11.95</v>
      </c>
      <c r="J2124" s="3">
        <v>3</v>
      </c>
      <c r="K2124" s="2">
        <v>3.88</v>
      </c>
    </row>
    <row r="2125" spans="1:11" x14ac:dyDescent="0.35">
      <c r="A2125" s="1">
        <v>42709</v>
      </c>
      <c r="B2125" s="3">
        <f t="shared" si="66"/>
        <v>2016</v>
      </c>
      <c r="C2125" s="3">
        <f t="shared" si="67"/>
        <v>12</v>
      </c>
      <c r="D2125" t="s">
        <v>1352</v>
      </c>
      <c r="E2125" t="s">
        <v>26</v>
      </c>
      <c r="F2125" t="s">
        <v>28</v>
      </c>
      <c r="G2125" t="s">
        <v>64</v>
      </c>
      <c r="H2125" t="s">
        <v>1631</v>
      </c>
      <c r="I2125" s="2">
        <v>3.54</v>
      </c>
      <c r="J2125" s="3">
        <v>2</v>
      </c>
      <c r="K2125" s="2">
        <v>0.31</v>
      </c>
    </row>
    <row r="2126" spans="1:11" x14ac:dyDescent="0.35">
      <c r="A2126" s="1">
        <v>42709</v>
      </c>
      <c r="B2126" s="3">
        <f t="shared" si="66"/>
        <v>2016</v>
      </c>
      <c r="C2126" s="3">
        <f t="shared" si="67"/>
        <v>12</v>
      </c>
      <c r="D2126" t="s">
        <v>1874</v>
      </c>
      <c r="E2126" t="s">
        <v>876</v>
      </c>
      <c r="F2126" t="s">
        <v>18</v>
      </c>
      <c r="G2126" t="s">
        <v>36</v>
      </c>
      <c r="H2126" t="s">
        <v>1222</v>
      </c>
      <c r="I2126" s="2">
        <v>13.4</v>
      </c>
      <c r="J2126" s="3">
        <v>1</v>
      </c>
      <c r="K2126" s="2">
        <v>6.43</v>
      </c>
    </row>
    <row r="2127" spans="1:11" x14ac:dyDescent="0.35">
      <c r="A2127" s="1">
        <v>42709</v>
      </c>
      <c r="B2127" s="3">
        <f t="shared" si="66"/>
        <v>2016</v>
      </c>
      <c r="C2127" s="3">
        <f t="shared" si="67"/>
        <v>12</v>
      </c>
      <c r="D2127" t="s">
        <v>1874</v>
      </c>
      <c r="E2127" t="s">
        <v>876</v>
      </c>
      <c r="F2127" t="s">
        <v>28</v>
      </c>
      <c r="G2127" t="s">
        <v>29</v>
      </c>
      <c r="H2127" t="s">
        <v>123</v>
      </c>
      <c r="I2127" s="2">
        <v>4.9800000000000004</v>
      </c>
      <c r="J2127" s="3">
        <v>1</v>
      </c>
      <c r="K2127" s="2">
        <v>2.34</v>
      </c>
    </row>
    <row r="2128" spans="1:11" x14ac:dyDescent="0.35">
      <c r="A2128" s="1">
        <v>42709</v>
      </c>
      <c r="B2128" s="3">
        <f t="shared" si="66"/>
        <v>2016</v>
      </c>
      <c r="C2128" s="3">
        <f t="shared" si="67"/>
        <v>12</v>
      </c>
      <c r="D2128" t="s">
        <v>1874</v>
      </c>
      <c r="E2128" t="s">
        <v>876</v>
      </c>
      <c r="F2128" t="s">
        <v>28</v>
      </c>
      <c r="G2128" t="s">
        <v>158</v>
      </c>
      <c r="H2128" t="s">
        <v>1875</v>
      </c>
      <c r="I2128" s="2">
        <v>109.69</v>
      </c>
      <c r="J2128" s="3">
        <v>7</v>
      </c>
      <c r="K2128" s="2">
        <v>51.55</v>
      </c>
    </row>
    <row r="2129" spans="1:11" x14ac:dyDescent="0.35">
      <c r="A2129" s="1">
        <v>42406</v>
      </c>
      <c r="B2129" s="3">
        <f t="shared" si="66"/>
        <v>2016</v>
      </c>
      <c r="C2129" s="3">
        <f t="shared" si="67"/>
        <v>2</v>
      </c>
      <c r="D2129" t="s">
        <v>1389</v>
      </c>
      <c r="E2129" t="s">
        <v>326</v>
      </c>
      <c r="F2129" t="s">
        <v>18</v>
      </c>
      <c r="G2129" t="s">
        <v>36</v>
      </c>
      <c r="H2129" t="s">
        <v>908</v>
      </c>
      <c r="I2129" s="2">
        <v>132.22</v>
      </c>
      <c r="J2129" s="3">
        <v>4</v>
      </c>
      <c r="K2129" s="2">
        <v>-18.18</v>
      </c>
    </row>
    <row r="2130" spans="1:11" x14ac:dyDescent="0.35">
      <c r="A2130" s="1">
        <v>42435</v>
      </c>
      <c r="B2130" s="3">
        <f t="shared" si="66"/>
        <v>2016</v>
      </c>
      <c r="C2130" s="3">
        <f t="shared" si="67"/>
        <v>3</v>
      </c>
      <c r="D2130" t="s">
        <v>1166</v>
      </c>
      <c r="E2130" t="s">
        <v>89</v>
      </c>
      <c r="F2130" t="s">
        <v>13</v>
      </c>
      <c r="G2130" t="s">
        <v>23</v>
      </c>
      <c r="H2130" t="s">
        <v>78</v>
      </c>
      <c r="I2130" s="2">
        <v>431.94</v>
      </c>
      <c r="J2130" s="3">
        <v>2</v>
      </c>
      <c r="K2130" s="2">
        <v>-71.989999999999995</v>
      </c>
    </row>
    <row r="2131" spans="1:11" x14ac:dyDescent="0.35">
      <c r="A2131" s="1">
        <v>42435</v>
      </c>
      <c r="B2131" s="3">
        <f t="shared" si="66"/>
        <v>2016</v>
      </c>
      <c r="C2131" s="3">
        <f t="shared" si="67"/>
        <v>3</v>
      </c>
      <c r="D2131" t="s">
        <v>1166</v>
      </c>
      <c r="E2131" t="s">
        <v>89</v>
      </c>
      <c r="F2131" t="s">
        <v>28</v>
      </c>
      <c r="G2131" t="s">
        <v>48</v>
      </c>
      <c r="H2131" t="s">
        <v>330</v>
      </c>
      <c r="I2131" s="2">
        <v>2.04</v>
      </c>
      <c r="J2131" s="3">
        <v>1</v>
      </c>
      <c r="K2131" s="2">
        <v>-1.5</v>
      </c>
    </row>
    <row r="2132" spans="1:11" x14ac:dyDescent="0.35">
      <c r="A2132" s="1">
        <v>42435</v>
      </c>
      <c r="B2132" s="3">
        <f t="shared" si="66"/>
        <v>2016</v>
      </c>
      <c r="C2132" s="3">
        <f t="shared" si="67"/>
        <v>3</v>
      </c>
      <c r="D2132" t="s">
        <v>1166</v>
      </c>
      <c r="E2132" t="s">
        <v>89</v>
      </c>
      <c r="F2132" t="s">
        <v>13</v>
      </c>
      <c r="G2132" t="s">
        <v>23</v>
      </c>
      <c r="H2132" t="s">
        <v>1876</v>
      </c>
      <c r="I2132" s="2">
        <v>68.239999999999995</v>
      </c>
      <c r="J2132" s="3">
        <v>3</v>
      </c>
      <c r="K2132" s="2">
        <v>-12.51</v>
      </c>
    </row>
    <row r="2133" spans="1:11" x14ac:dyDescent="0.35">
      <c r="A2133" s="1">
        <v>42435</v>
      </c>
      <c r="B2133" s="3">
        <f t="shared" si="66"/>
        <v>2016</v>
      </c>
      <c r="C2133" s="3">
        <f t="shared" si="67"/>
        <v>3</v>
      </c>
      <c r="D2133" t="s">
        <v>1171</v>
      </c>
      <c r="E2133" t="s">
        <v>26</v>
      </c>
      <c r="F2133" t="s">
        <v>28</v>
      </c>
      <c r="G2133" t="s">
        <v>58</v>
      </c>
      <c r="H2133" t="s">
        <v>380</v>
      </c>
      <c r="I2133" s="2">
        <v>2.33</v>
      </c>
      <c r="J2133" s="3">
        <v>3</v>
      </c>
      <c r="K2133" s="2">
        <v>-6.3</v>
      </c>
    </row>
    <row r="2134" spans="1:11" x14ac:dyDescent="0.35">
      <c r="A2134" s="1">
        <v>42435</v>
      </c>
      <c r="B2134" s="3">
        <f t="shared" si="66"/>
        <v>2016</v>
      </c>
      <c r="C2134" s="3">
        <f t="shared" si="67"/>
        <v>3</v>
      </c>
      <c r="D2134" t="s">
        <v>1171</v>
      </c>
      <c r="E2134" t="s">
        <v>26</v>
      </c>
      <c r="F2134" t="s">
        <v>28</v>
      </c>
      <c r="G2134" t="s">
        <v>48</v>
      </c>
      <c r="H2134" t="s">
        <v>1815</v>
      </c>
      <c r="I2134" s="2">
        <v>1.73</v>
      </c>
      <c r="J2134" s="3">
        <v>4</v>
      </c>
      <c r="K2134" s="2">
        <v>-2.76</v>
      </c>
    </row>
    <row r="2135" spans="1:11" x14ac:dyDescent="0.35">
      <c r="A2135" s="1">
        <v>42435</v>
      </c>
      <c r="B2135" s="3">
        <f t="shared" si="66"/>
        <v>2016</v>
      </c>
      <c r="C2135" s="3">
        <f t="shared" si="67"/>
        <v>3</v>
      </c>
      <c r="D2135" t="s">
        <v>1171</v>
      </c>
      <c r="E2135" t="s">
        <v>26</v>
      </c>
      <c r="F2135" t="s">
        <v>18</v>
      </c>
      <c r="G2135" t="s">
        <v>36</v>
      </c>
      <c r="H2135" t="s">
        <v>1877</v>
      </c>
      <c r="I2135" s="2">
        <v>159.04</v>
      </c>
      <c r="J2135" s="3">
        <v>5</v>
      </c>
      <c r="K2135" s="2">
        <v>-194.82</v>
      </c>
    </row>
    <row r="2136" spans="1:11" x14ac:dyDescent="0.35">
      <c r="A2136" s="1">
        <v>42435</v>
      </c>
      <c r="B2136" s="3">
        <f t="shared" si="66"/>
        <v>2016</v>
      </c>
      <c r="C2136" s="3">
        <f t="shared" si="67"/>
        <v>3</v>
      </c>
      <c r="D2136" t="s">
        <v>1171</v>
      </c>
      <c r="E2136" t="s">
        <v>26</v>
      </c>
      <c r="F2136" t="s">
        <v>18</v>
      </c>
      <c r="G2136" t="s">
        <v>42</v>
      </c>
      <c r="H2136" t="s">
        <v>1593</v>
      </c>
      <c r="I2136" s="2">
        <v>145.97999999999999</v>
      </c>
      <c r="J2136" s="3">
        <v>2</v>
      </c>
      <c r="K2136" s="2">
        <v>-99.27</v>
      </c>
    </row>
    <row r="2137" spans="1:11" x14ac:dyDescent="0.35">
      <c r="A2137" s="1">
        <v>42466</v>
      </c>
      <c r="B2137" s="3">
        <f t="shared" si="66"/>
        <v>2016</v>
      </c>
      <c r="C2137" s="3">
        <f t="shared" si="67"/>
        <v>4</v>
      </c>
      <c r="D2137" t="s">
        <v>611</v>
      </c>
      <c r="E2137" t="s">
        <v>1395</v>
      </c>
      <c r="F2137" t="s">
        <v>13</v>
      </c>
      <c r="G2137" t="s">
        <v>23</v>
      </c>
      <c r="H2137" t="s">
        <v>1878</v>
      </c>
      <c r="I2137" s="2">
        <v>1294.75</v>
      </c>
      <c r="J2137" s="3">
        <v>5</v>
      </c>
      <c r="K2137" s="2">
        <v>336.64</v>
      </c>
    </row>
    <row r="2138" spans="1:11" x14ac:dyDescent="0.35">
      <c r="A2138" s="1">
        <v>42496</v>
      </c>
      <c r="B2138" s="3">
        <f t="shared" si="66"/>
        <v>2016</v>
      </c>
      <c r="C2138" s="3">
        <f t="shared" si="67"/>
        <v>5</v>
      </c>
      <c r="D2138" t="s">
        <v>1124</v>
      </c>
      <c r="E2138" t="s">
        <v>131</v>
      </c>
      <c r="F2138" t="s">
        <v>28</v>
      </c>
      <c r="G2138" t="s">
        <v>33</v>
      </c>
      <c r="H2138" t="s">
        <v>1879</v>
      </c>
      <c r="I2138" s="2">
        <v>7.22</v>
      </c>
      <c r="J2138" s="3">
        <v>2</v>
      </c>
      <c r="K2138" s="2">
        <v>1.71</v>
      </c>
    </row>
    <row r="2139" spans="1:11" x14ac:dyDescent="0.35">
      <c r="A2139" s="1">
        <v>42496</v>
      </c>
      <c r="B2139" s="3">
        <f t="shared" si="66"/>
        <v>2016</v>
      </c>
      <c r="C2139" s="3">
        <f t="shared" si="67"/>
        <v>5</v>
      </c>
      <c r="D2139" t="s">
        <v>1124</v>
      </c>
      <c r="E2139" t="s">
        <v>131</v>
      </c>
      <c r="F2139" t="s">
        <v>28</v>
      </c>
      <c r="G2139" t="s">
        <v>29</v>
      </c>
      <c r="H2139" t="s">
        <v>1427</v>
      </c>
      <c r="I2139" s="2">
        <v>49.57</v>
      </c>
      <c r="J2139" s="3">
        <v>2</v>
      </c>
      <c r="K2139" s="2">
        <v>15.49</v>
      </c>
    </row>
    <row r="2140" spans="1:11" x14ac:dyDescent="0.35">
      <c r="A2140" s="1">
        <v>42496</v>
      </c>
      <c r="B2140" s="3">
        <f t="shared" si="66"/>
        <v>2016</v>
      </c>
      <c r="C2140" s="3">
        <f t="shared" si="67"/>
        <v>5</v>
      </c>
      <c r="D2140" t="s">
        <v>1124</v>
      </c>
      <c r="E2140" t="s">
        <v>131</v>
      </c>
      <c r="F2140" t="s">
        <v>18</v>
      </c>
      <c r="G2140" t="s">
        <v>36</v>
      </c>
      <c r="H2140" t="s">
        <v>1880</v>
      </c>
      <c r="I2140" s="2">
        <v>54.71</v>
      </c>
      <c r="J2140" s="3">
        <v>7</v>
      </c>
      <c r="K2140" s="2">
        <v>11.63</v>
      </c>
    </row>
    <row r="2141" spans="1:11" x14ac:dyDescent="0.35">
      <c r="A2141" s="1">
        <v>42496</v>
      </c>
      <c r="B2141" s="3">
        <f t="shared" si="66"/>
        <v>2016</v>
      </c>
      <c r="C2141" s="3">
        <f t="shared" si="67"/>
        <v>5</v>
      </c>
      <c r="D2141" t="s">
        <v>1351</v>
      </c>
      <c r="E2141" t="s">
        <v>26</v>
      </c>
      <c r="F2141" t="s">
        <v>28</v>
      </c>
      <c r="G2141" t="s">
        <v>48</v>
      </c>
      <c r="H2141" t="s">
        <v>1298</v>
      </c>
      <c r="I2141" s="2">
        <v>3.21</v>
      </c>
      <c r="J2141" s="3">
        <v>2</v>
      </c>
      <c r="K2141" s="2">
        <v>-5.29</v>
      </c>
    </row>
    <row r="2142" spans="1:11" x14ac:dyDescent="0.35">
      <c r="A2142" s="1">
        <v>42496</v>
      </c>
      <c r="B2142" s="3">
        <f t="shared" si="66"/>
        <v>2016</v>
      </c>
      <c r="C2142" s="3">
        <f t="shared" si="67"/>
        <v>5</v>
      </c>
      <c r="D2142" t="s">
        <v>1351</v>
      </c>
      <c r="E2142" t="s">
        <v>26</v>
      </c>
      <c r="F2142" t="s">
        <v>13</v>
      </c>
      <c r="G2142" t="s">
        <v>14</v>
      </c>
      <c r="H2142" t="s">
        <v>475</v>
      </c>
      <c r="I2142" s="2">
        <v>26.18</v>
      </c>
      <c r="J2142" s="3">
        <v>2</v>
      </c>
      <c r="K2142" s="2">
        <v>-3.27</v>
      </c>
    </row>
    <row r="2143" spans="1:11" x14ac:dyDescent="0.35">
      <c r="A2143" s="1">
        <v>42496</v>
      </c>
      <c r="B2143" s="3">
        <f t="shared" si="66"/>
        <v>2016</v>
      </c>
      <c r="C2143" s="3">
        <f t="shared" si="67"/>
        <v>5</v>
      </c>
      <c r="D2143" t="s">
        <v>1124</v>
      </c>
      <c r="E2143" t="s">
        <v>190</v>
      </c>
      <c r="F2143" t="s">
        <v>28</v>
      </c>
      <c r="G2143" t="s">
        <v>58</v>
      </c>
      <c r="H2143" t="s">
        <v>1464</v>
      </c>
      <c r="I2143" s="2">
        <v>54.48</v>
      </c>
      <c r="J2143" s="3">
        <v>1</v>
      </c>
      <c r="K2143" s="2">
        <v>15.25</v>
      </c>
    </row>
    <row r="2144" spans="1:11" x14ac:dyDescent="0.35">
      <c r="A2144" s="1">
        <v>42496</v>
      </c>
      <c r="B2144" s="3">
        <f t="shared" si="66"/>
        <v>2016</v>
      </c>
      <c r="C2144" s="3">
        <f t="shared" si="67"/>
        <v>5</v>
      </c>
      <c r="D2144" t="s">
        <v>789</v>
      </c>
      <c r="E2144" t="s">
        <v>45</v>
      </c>
      <c r="F2144" t="s">
        <v>18</v>
      </c>
      <c r="G2144" t="s">
        <v>36</v>
      </c>
      <c r="H2144" t="s">
        <v>1881</v>
      </c>
      <c r="I2144" s="2">
        <v>41.6</v>
      </c>
      <c r="J2144" s="3">
        <v>4</v>
      </c>
      <c r="K2144" s="2">
        <v>14.14</v>
      </c>
    </row>
    <row r="2145" spans="1:11" x14ac:dyDescent="0.35">
      <c r="A2145" s="1">
        <v>42527</v>
      </c>
      <c r="B2145" s="3">
        <f t="shared" si="66"/>
        <v>2016</v>
      </c>
      <c r="C2145" s="3">
        <f t="shared" si="67"/>
        <v>6</v>
      </c>
      <c r="D2145" t="s">
        <v>508</v>
      </c>
      <c r="E2145" t="s">
        <v>26</v>
      </c>
      <c r="F2145" t="s">
        <v>13</v>
      </c>
      <c r="G2145" t="s">
        <v>23</v>
      </c>
      <c r="H2145" t="s">
        <v>1836</v>
      </c>
      <c r="I2145" s="2">
        <v>328.22</v>
      </c>
      <c r="J2145" s="3">
        <v>4</v>
      </c>
      <c r="K2145" s="2">
        <v>28.72</v>
      </c>
    </row>
    <row r="2146" spans="1:11" x14ac:dyDescent="0.35">
      <c r="A2146" s="1">
        <v>42527</v>
      </c>
      <c r="B2146" s="3">
        <f t="shared" si="66"/>
        <v>2016</v>
      </c>
      <c r="C2146" s="3">
        <f t="shared" si="67"/>
        <v>6</v>
      </c>
      <c r="D2146" t="s">
        <v>16</v>
      </c>
      <c r="E2146" t="s">
        <v>51</v>
      </c>
      <c r="F2146" t="s">
        <v>28</v>
      </c>
      <c r="G2146" t="s">
        <v>38</v>
      </c>
      <c r="H2146" t="s">
        <v>1538</v>
      </c>
      <c r="I2146" s="2">
        <v>714.3</v>
      </c>
      <c r="J2146" s="3">
        <v>5</v>
      </c>
      <c r="K2146" s="2">
        <v>207.15</v>
      </c>
    </row>
    <row r="2147" spans="1:11" x14ac:dyDescent="0.35">
      <c r="A2147" s="1">
        <v>42527</v>
      </c>
      <c r="B2147" s="3">
        <f t="shared" si="66"/>
        <v>2016</v>
      </c>
      <c r="C2147" s="3">
        <f t="shared" si="67"/>
        <v>6</v>
      </c>
      <c r="D2147" t="s">
        <v>1882</v>
      </c>
      <c r="E2147" t="s">
        <v>51</v>
      </c>
      <c r="F2147" t="s">
        <v>28</v>
      </c>
      <c r="G2147" t="s">
        <v>29</v>
      </c>
      <c r="H2147" t="s">
        <v>1214</v>
      </c>
      <c r="I2147" s="2">
        <v>105.52</v>
      </c>
      <c r="J2147" s="3">
        <v>4</v>
      </c>
      <c r="K2147" s="2">
        <v>48.54</v>
      </c>
    </row>
    <row r="2148" spans="1:11" x14ac:dyDescent="0.35">
      <c r="A2148" s="1">
        <v>42527</v>
      </c>
      <c r="B2148" s="3">
        <f t="shared" si="66"/>
        <v>2016</v>
      </c>
      <c r="C2148" s="3">
        <f t="shared" si="67"/>
        <v>6</v>
      </c>
      <c r="D2148" t="s">
        <v>1567</v>
      </c>
      <c r="E2148" t="s">
        <v>67</v>
      </c>
      <c r="F2148" t="s">
        <v>13</v>
      </c>
      <c r="G2148" t="s">
        <v>14</v>
      </c>
      <c r="H2148" t="s">
        <v>1198</v>
      </c>
      <c r="I2148" s="2">
        <v>179.94</v>
      </c>
      <c r="J2148" s="3">
        <v>6</v>
      </c>
      <c r="K2148" s="2">
        <v>75.569999999999993</v>
      </c>
    </row>
    <row r="2149" spans="1:11" x14ac:dyDescent="0.35">
      <c r="A2149" s="1">
        <v>42527</v>
      </c>
      <c r="B2149" s="3">
        <f t="shared" si="66"/>
        <v>2016</v>
      </c>
      <c r="C2149" s="3">
        <f t="shared" si="67"/>
        <v>6</v>
      </c>
      <c r="D2149" t="s">
        <v>1567</v>
      </c>
      <c r="E2149" t="s">
        <v>67</v>
      </c>
      <c r="F2149" t="s">
        <v>13</v>
      </c>
      <c r="G2149" t="s">
        <v>14</v>
      </c>
      <c r="H2149" t="s">
        <v>218</v>
      </c>
      <c r="I2149" s="2">
        <v>26.85</v>
      </c>
      <c r="J2149" s="3">
        <v>3</v>
      </c>
      <c r="K2149" s="2">
        <v>5.0999999999999996</v>
      </c>
    </row>
    <row r="2150" spans="1:11" x14ac:dyDescent="0.35">
      <c r="A2150" s="1">
        <v>42527</v>
      </c>
      <c r="B2150" s="3">
        <f t="shared" si="66"/>
        <v>2016</v>
      </c>
      <c r="C2150" s="3">
        <f t="shared" si="67"/>
        <v>6</v>
      </c>
      <c r="D2150" t="s">
        <v>1567</v>
      </c>
      <c r="E2150" t="s">
        <v>67</v>
      </c>
      <c r="F2150" t="s">
        <v>13</v>
      </c>
      <c r="G2150" t="s">
        <v>14</v>
      </c>
      <c r="H2150" t="s">
        <v>1883</v>
      </c>
      <c r="I2150" s="2">
        <v>323.37</v>
      </c>
      <c r="J2150" s="3">
        <v>3</v>
      </c>
      <c r="K2150" s="2">
        <v>129.35</v>
      </c>
    </row>
    <row r="2151" spans="1:11" x14ac:dyDescent="0.35">
      <c r="A2151" s="1">
        <v>42527</v>
      </c>
      <c r="B2151" s="3">
        <f t="shared" si="66"/>
        <v>2016</v>
      </c>
      <c r="C2151" s="3">
        <f t="shared" si="67"/>
        <v>6</v>
      </c>
      <c r="D2151" t="s">
        <v>1567</v>
      </c>
      <c r="E2151" t="s">
        <v>67</v>
      </c>
      <c r="F2151" t="s">
        <v>28</v>
      </c>
      <c r="G2151" t="s">
        <v>29</v>
      </c>
      <c r="H2151" t="s">
        <v>1884</v>
      </c>
      <c r="I2151" s="2">
        <v>59.94</v>
      </c>
      <c r="J2151" s="3">
        <v>3</v>
      </c>
      <c r="K2151" s="2">
        <v>28.17</v>
      </c>
    </row>
    <row r="2152" spans="1:11" x14ac:dyDescent="0.35">
      <c r="A2152" s="1">
        <v>42527</v>
      </c>
      <c r="B2152" s="3">
        <f t="shared" si="66"/>
        <v>2016</v>
      </c>
      <c r="C2152" s="3">
        <f t="shared" si="67"/>
        <v>6</v>
      </c>
      <c r="D2152" t="s">
        <v>1567</v>
      </c>
      <c r="E2152" t="s">
        <v>67</v>
      </c>
      <c r="F2152" t="s">
        <v>28</v>
      </c>
      <c r="G2152" t="s">
        <v>48</v>
      </c>
      <c r="H2152" t="s">
        <v>1885</v>
      </c>
      <c r="I2152" s="2">
        <v>64.14</v>
      </c>
      <c r="J2152" s="3">
        <v>3</v>
      </c>
      <c r="K2152" s="2">
        <v>30.79</v>
      </c>
    </row>
    <row r="2153" spans="1:11" x14ac:dyDescent="0.35">
      <c r="A2153" s="1">
        <v>42527</v>
      </c>
      <c r="B2153" s="3">
        <f t="shared" si="66"/>
        <v>2016</v>
      </c>
      <c r="C2153" s="3">
        <f t="shared" si="67"/>
        <v>6</v>
      </c>
      <c r="D2153" t="s">
        <v>1567</v>
      </c>
      <c r="E2153" t="s">
        <v>67</v>
      </c>
      <c r="F2153" t="s">
        <v>28</v>
      </c>
      <c r="G2153" t="s">
        <v>48</v>
      </c>
      <c r="H2153" t="s">
        <v>1886</v>
      </c>
      <c r="I2153" s="2">
        <v>11.67</v>
      </c>
      <c r="J2153" s="3">
        <v>3</v>
      </c>
      <c r="K2153" s="2">
        <v>5.6</v>
      </c>
    </row>
    <row r="2154" spans="1:11" x14ac:dyDescent="0.35">
      <c r="A2154" s="1">
        <v>42527</v>
      </c>
      <c r="B2154" s="3">
        <f t="shared" si="66"/>
        <v>2016</v>
      </c>
      <c r="C2154" s="3">
        <f t="shared" si="67"/>
        <v>6</v>
      </c>
      <c r="D2154" t="s">
        <v>1567</v>
      </c>
      <c r="E2154" t="s">
        <v>67</v>
      </c>
      <c r="F2154" t="s">
        <v>28</v>
      </c>
      <c r="G2154" t="s">
        <v>29</v>
      </c>
      <c r="H2154" t="s">
        <v>1887</v>
      </c>
      <c r="I2154" s="2">
        <v>12.96</v>
      </c>
      <c r="J2154" s="3">
        <v>2</v>
      </c>
      <c r="K2154" s="2">
        <v>6.22</v>
      </c>
    </row>
    <row r="2155" spans="1:11" x14ac:dyDescent="0.35">
      <c r="A2155" s="1">
        <v>42527</v>
      </c>
      <c r="B2155" s="3">
        <f t="shared" si="66"/>
        <v>2016</v>
      </c>
      <c r="C2155" s="3">
        <f t="shared" si="67"/>
        <v>6</v>
      </c>
      <c r="D2155" t="s">
        <v>284</v>
      </c>
      <c r="E2155" t="s">
        <v>45</v>
      </c>
      <c r="F2155" t="s">
        <v>28</v>
      </c>
      <c r="G2155" t="s">
        <v>46</v>
      </c>
      <c r="H2155" t="s">
        <v>1305</v>
      </c>
      <c r="I2155" s="2">
        <v>22.05</v>
      </c>
      <c r="J2155" s="3">
        <v>7</v>
      </c>
      <c r="K2155" s="2">
        <v>10.58</v>
      </c>
    </row>
    <row r="2156" spans="1:11" x14ac:dyDescent="0.35">
      <c r="A2156" s="1">
        <v>42527</v>
      </c>
      <c r="B2156" s="3">
        <f t="shared" si="66"/>
        <v>2016</v>
      </c>
      <c r="C2156" s="3">
        <f t="shared" si="67"/>
        <v>6</v>
      </c>
      <c r="D2156" t="s">
        <v>284</v>
      </c>
      <c r="E2156" t="s">
        <v>45</v>
      </c>
      <c r="F2156" t="s">
        <v>28</v>
      </c>
      <c r="G2156" t="s">
        <v>29</v>
      </c>
      <c r="H2156" t="s">
        <v>1888</v>
      </c>
      <c r="I2156" s="2">
        <v>99.9</v>
      </c>
      <c r="J2156" s="3">
        <v>5</v>
      </c>
      <c r="K2156" s="2">
        <v>46.95</v>
      </c>
    </row>
    <row r="2157" spans="1:11" x14ac:dyDescent="0.35">
      <c r="A2157" s="1">
        <v>42527</v>
      </c>
      <c r="B2157" s="3">
        <f t="shared" si="66"/>
        <v>2016</v>
      </c>
      <c r="C2157" s="3">
        <f t="shared" si="67"/>
        <v>6</v>
      </c>
      <c r="D2157" t="s">
        <v>524</v>
      </c>
      <c r="E2157" t="s">
        <v>45</v>
      </c>
      <c r="F2157" t="s">
        <v>13</v>
      </c>
      <c r="G2157" t="s">
        <v>23</v>
      </c>
      <c r="H2157" t="s">
        <v>1889</v>
      </c>
      <c r="I2157" s="2">
        <v>3023.93</v>
      </c>
      <c r="J2157" s="3">
        <v>9</v>
      </c>
      <c r="K2157" s="2">
        <v>226.79</v>
      </c>
    </row>
    <row r="2158" spans="1:11" x14ac:dyDescent="0.35">
      <c r="A2158" s="1">
        <v>42527</v>
      </c>
      <c r="B2158" s="3">
        <f t="shared" si="66"/>
        <v>2016</v>
      </c>
      <c r="C2158" s="3">
        <f t="shared" si="67"/>
        <v>6</v>
      </c>
      <c r="D2158" t="s">
        <v>524</v>
      </c>
      <c r="E2158" t="s">
        <v>45</v>
      </c>
      <c r="F2158" t="s">
        <v>13</v>
      </c>
      <c r="G2158" t="s">
        <v>14</v>
      </c>
      <c r="H2158" t="s">
        <v>800</v>
      </c>
      <c r="I2158" s="2">
        <v>26.96</v>
      </c>
      <c r="J2158" s="3">
        <v>2</v>
      </c>
      <c r="K2158" s="2">
        <v>3.77</v>
      </c>
    </row>
    <row r="2159" spans="1:11" x14ac:dyDescent="0.35">
      <c r="A2159" s="1">
        <v>42527</v>
      </c>
      <c r="B2159" s="3">
        <f t="shared" si="66"/>
        <v>2016</v>
      </c>
      <c r="C2159" s="3">
        <f t="shared" si="67"/>
        <v>6</v>
      </c>
      <c r="D2159" t="s">
        <v>524</v>
      </c>
      <c r="E2159" t="s">
        <v>45</v>
      </c>
      <c r="F2159" t="s">
        <v>13</v>
      </c>
      <c r="G2159" t="s">
        <v>23</v>
      </c>
      <c r="H2159" t="s">
        <v>213</v>
      </c>
      <c r="I2159" s="2">
        <v>477.6</v>
      </c>
      <c r="J2159" s="3">
        <v>3</v>
      </c>
      <c r="K2159" s="2">
        <v>161.19</v>
      </c>
    </row>
    <row r="2160" spans="1:11" x14ac:dyDescent="0.35">
      <c r="A2160" s="1">
        <v>42527</v>
      </c>
      <c r="B2160" s="3">
        <f t="shared" si="66"/>
        <v>2016</v>
      </c>
      <c r="C2160" s="3">
        <f t="shared" si="67"/>
        <v>6</v>
      </c>
      <c r="D2160" t="s">
        <v>1713</v>
      </c>
      <c r="E2160" t="s">
        <v>131</v>
      </c>
      <c r="F2160" t="s">
        <v>18</v>
      </c>
      <c r="G2160" t="s">
        <v>36</v>
      </c>
      <c r="H2160" t="s">
        <v>1890</v>
      </c>
      <c r="I2160" s="2">
        <v>466.32</v>
      </c>
      <c r="J2160" s="3">
        <v>3</v>
      </c>
      <c r="K2160" s="2">
        <v>34.97</v>
      </c>
    </row>
    <row r="2161" spans="1:11" x14ac:dyDescent="0.35">
      <c r="A2161" s="1">
        <v>42527</v>
      </c>
      <c r="B2161" s="3">
        <f t="shared" si="66"/>
        <v>2016</v>
      </c>
      <c r="C2161" s="3">
        <f t="shared" si="67"/>
        <v>6</v>
      </c>
      <c r="D2161" t="s">
        <v>1713</v>
      </c>
      <c r="E2161" t="s">
        <v>131</v>
      </c>
      <c r="F2161" t="s">
        <v>18</v>
      </c>
      <c r="G2161" t="s">
        <v>36</v>
      </c>
      <c r="H2161" t="s">
        <v>1891</v>
      </c>
      <c r="I2161" s="2">
        <v>82.64</v>
      </c>
      <c r="J2161" s="3">
        <v>2</v>
      </c>
      <c r="K2161" s="2">
        <v>0</v>
      </c>
    </row>
    <row r="2162" spans="1:11" x14ac:dyDescent="0.35">
      <c r="A2162" s="1">
        <v>42588</v>
      </c>
      <c r="B2162" s="3">
        <f t="shared" si="66"/>
        <v>2016</v>
      </c>
      <c r="C2162" s="3">
        <f t="shared" si="67"/>
        <v>8</v>
      </c>
      <c r="D2162" t="s">
        <v>172</v>
      </c>
      <c r="E2162" t="s">
        <v>22</v>
      </c>
      <c r="F2162" t="s">
        <v>28</v>
      </c>
      <c r="G2162" t="s">
        <v>29</v>
      </c>
      <c r="H2162" t="s">
        <v>123</v>
      </c>
      <c r="I2162" s="2">
        <v>70.88</v>
      </c>
      <c r="J2162" s="3">
        <v>2</v>
      </c>
      <c r="K2162" s="2">
        <v>33.31</v>
      </c>
    </row>
    <row r="2163" spans="1:11" x14ac:dyDescent="0.35">
      <c r="A2163" s="1">
        <v>42588</v>
      </c>
      <c r="B2163" s="3">
        <f t="shared" si="66"/>
        <v>2016</v>
      </c>
      <c r="C2163" s="3">
        <f t="shared" si="67"/>
        <v>8</v>
      </c>
      <c r="D2163" t="s">
        <v>698</v>
      </c>
      <c r="E2163" t="s">
        <v>45</v>
      </c>
      <c r="F2163" t="s">
        <v>13</v>
      </c>
      <c r="G2163" t="s">
        <v>23</v>
      </c>
      <c r="H2163" t="s">
        <v>1212</v>
      </c>
      <c r="I2163" s="2">
        <v>211.17</v>
      </c>
      <c r="J2163" s="3">
        <v>4</v>
      </c>
      <c r="K2163" s="2">
        <v>18.48</v>
      </c>
    </row>
    <row r="2164" spans="1:11" x14ac:dyDescent="0.35">
      <c r="A2164" s="1">
        <v>42588</v>
      </c>
      <c r="B2164" s="3">
        <f t="shared" si="66"/>
        <v>2016</v>
      </c>
      <c r="C2164" s="3">
        <f t="shared" si="67"/>
        <v>8</v>
      </c>
      <c r="D2164" t="s">
        <v>1820</v>
      </c>
      <c r="E2164" t="s">
        <v>22</v>
      </c>
      <c r="F2164" t="s">
        <v>28</v>
      </c>
      <c r="G2164" t="s">
        <v>64</v>
      </c>
      <c r="H2164" t="s">
        <v>523</v>
      </c>
      <c r="I2164" s="2">
        <v>38.340000000000003</v>
      </c>
      <c r="J2164" s="3">
        <v>9</v>
      </c>
      <c r="K2164" s="2">
        <v>15.72</v>
      </c>
    </row>
    <row r="2165" spans="1:11" x14ac:dyDescent="0.35">
      <c r="A2165" s="1">
        <v>42619</v>
      </c>
      <c r="B2165" s="3">
        <f t="shared" si="66"/>
        <v>2016</v>
      </c>
      <c r="C2165" s="3">
        <f t="shared" si="67"/>
        <v>9</v>
      </c>
      <c r="D2165" t="s">
        <v>1811</v>
      </c>
      <c r="E2165" t="s">
        <v>55</v>
      </c>
      <c r="F2165" t="s">
        <v>28</v>
      </c>
      <c r="G2165" t="s">
        <v>58</v>
      </c>
      <c r="H2165" t="s">
        <v>1892</v>
      </c>
      <c r="I2165" s="2">
        <v>77.88</v>
      </c>
      <c r="J2165" s="3">
        <v>6</v>
      </c>
      <c r="K2165" s="2">
        <v>22.59</v>
      </c>
    </row>
    <row r="2166" spans="1:11" x14ac:dyDescent="0.35">
      <c r="A2166" s="1">
        <v>42619</v>
      </c>
      <c r="B2166" s="3">
        <f t="shared" si="66"/>
        <v>2016</v>
      </c>
      <c r="C2166" s="3">
        <f t="shared" si="67"/>
        <v>9</v>
      </c>
      <c r="D2166" t="s">
        <v>1801</v>
      </c>
      <c r="E2166" t="s">
        <v>22</v>
      </c>
      <c r="F2166" t="s">
        <v>13</v>
      </c>
      <c r="G2166" t="s">
        <v>14</v>
      </c>
      <c r="H2166" t="s">
        <v>1599</v>
      </c>
      <c r="I2166" s="2">
        <v>31.86</v>
      </c>
      <c r="J2166" s="3">
        <v>2</v>
      </c>
      <c r="K2166" s="2">
        <v>11.15</v>
      </c>
    </row>
    <row r="2167" spans="1:11" x14ac:dyDescent="0.35">
      <c r="A2167" s="1">
        <v>42619</v>
      </c>
      <c r="B2167" s="3">
        <f t="shared" si="66"/>
        <v>2016</v>
      </c>
      <c r="C2167" s="3">
        <f t="shared" si="67"/>
        <v>9</v>
      </c>
      <c r="D2167" t="s">
        <v>1801</v>
      </c>
      <c r="E2167" t="s">
        <v>22</v>
      </c>
      <c r="F2167" t="s">
        <v>18</v>
      </c>
      <c r="G2167" t="s">
        <v>237</v>
      </c>
      <c r="H2167" t="s">
        <v>1044</v>
      </c>
      <c r="I2167" s="2">
        <v>722.35</v>
      </c>
      <c r="J2167" s="3">
        <v>3</v>
      </c>
      <c r="K2167" s="2">
        <v>90.29</v>
      </c>
    </row>
    <row r="2168" spans="1:11" x14ac:dyDescent="0.35">
      <c r="A2168" s="1">
        <v>42619</v>
      </c>
      <c r="B2168" s="3">
        <f t="shared" si="66"/>
        <v>2016</v>
      </c>
      <c r="C2168" s="3">
        <f t="shared" si="67"/>
        <v>9</v>
      </c>
      <c r="D2168" t="s">
        <v>1117</v>
      </c>
      <c r="E2168" t="s">
        <v>81</v>
      </c>
      <c r="F2168" t="s">
        <v>28</v>
      </c>
      <c r="G2168" t="s">
        <v>158</v>
      </c>
      <c r="H2168" t="s">
        <v>1628</v>
      </c>
      <c r="I2168" s="2">
        <v>95.95</v>
      </c>
      <c r="J2168" s="3">
        <v>3</v>
      </c>
      <c r="K2168" s="2">
        <v>29.99</v>
      </c>
    </row>
    <row r="2169" spans="1:11" x14ac:dyDescent="0.35">
      <c r="A2169" s="1">
        <v>42619</v>
      </c>
      <c r="B2169" s="3">
        <f t="shared" si="66"/>
        <v>2016</v>
      </c>
      <c r="C2169" s="3">
        <f t="shared" si="67"/>
        <v>9</v>
      </c>
      <c r="D2169" t="s">
        <v>1117</v>
      </c>
      <c r="E2169" t="s">
        <v>81</v>
      </c>
      <c r="F2169" t="s">
        <v>28</v>
      </c>
      <c r="G2169" t="s">
        <v>48</v>
      </c>
      <c r="H2169" t="s">
        <v>1407</v>
      </c>
      <c r="I2169" s="2">
        <v>3.2</v>
      </c>
      <c r="J2169" s="3">
        <v>2</v>
      </c>
      <c r="K2169" s="2">
        <v>-2.46</v>
      </c>
    </row>
    <row r="2170" spans="1:11" x14ac:dyDescent="0.35">
      <c r="A2170" s="1">
        <v>42619</v>
      </c>
      <c r="B2170" s="3">
        <f t="shared" si="66"/>
        <v>2016</v>
      </c>
      <c r="C2170" s="3">
        <f t="shared" si="67"/>
        <v>9</v>
      </c>
      <c r="D2170" t="s">
        <v>1893</v>
      </c>
      <c r="E2170" t="s">
        <v>32</v>
      </c>
      <c r="F2170" t="s">
        <v>28</v>
      </c>
      <c r="G2170" t="s">
        <v>38</v>
      </c>
      <c r="H2170" t="s">
        <v>1242</v>
      </c>
      <c r="I2170" s="2">
        <v>10.78</v>
      </c>
      <c r="J2170" s="3">
        <v>1</v>
      </c>
      <c r="K2170" s="2">
        <v>0.81</v>
      </c>
    </row>
    <row r="2171" spans="1:11" x14ac:dyDescent="0.35">
      <c r="A2171" s="1">
        <v>42619</v>
      </c>
      <c r="B2171" s="3">
        <f t="shared" si="66"/>
        <v>2016</v>
      </c>
      <c r="C2171" s="3">
        <f t="shared" si="67"/>
        <v>9</v>
      </c>
      <c r="D2171" t="s">
        <v>1627</v>
      </c>
      <c r="E2171" t="s">
        <v>32</v>
      </c>
      <c r="F2171" t="s">
        <v>28</v>
      </c>
      <c r="G2171" t="s">
        <v>29</v>
      </c>
      <c r="H2171" t="s">
        <v>796</v>
      </c>
      <c r="I2171" s="2">
        <v>41.92</v>
      </c>
      <c r="J2171" s="3">
        <v>4</v>
      </c>
      <c r="K2171" s="2">
        <v>15.2</v>
      </c>
    </row>
    <row r="2172" spans="1:11" x14ac:dyDescent="0.35">
      <c r="A2172" s="1">
        <v>42619</v>
      </c>
      <c r="B2172" s="3">
        <f t="shared" si="66"/>
        <v>2016</v>
      </c>
      <c r="C2172" s="3">
        <f t="shared" si="67"/>
        <v>9</v>
      </c>
      <c r="D2172" t="s">
        <v>1627</v>
      </c>
      <c r="E2172" t="s">
        <v>32</v>
      </c>
      <c r="F2172" t="s">
        <v>13</v>
      </c>
      <c r="G2172" t="s">
        <v>23</v>
      </c>
      <c r="H2172" t="s">
        <v>1894</v>
      </c>
      <c r="I2172" s="2">
        <v>329.58</v>
      </c>
      <c r="J2172" s="3">
        <v>2</v>
      </c>
      <c r="K2172" s="2">
        <v>37.08</v>
      </c>
    </row>
    <row r="2173" spans="1:11" x14ac:dyDescent="0.35">
      <c r="A2173" s="1">
        <v>42649</v>
      </c>
      <c r="B2173" s="3">
        <f t="shared" si="66"/>
        <v>2016</v>
      </c>
      <c r="C2173" s="3">
        <f t="shared" si="67"/>
        <v>10</v>
      </c>
      <c r="D2173" t="s">
        <v>1616</v>
      </c>
      <c r="E2173" t="s">
        <v>339</v>
      </c>
      <c r="F2173" t="s">
        <v>28</v>
      </c>
      <c r="G2173" t="s">
        <v>48</v>
      </c>
      <c r="H2173" t="s">
        <v>1174</v>
      </c>
      <c r="I2173" s="2">
        <v>28.85</v>
      </c>
      <c r="J2173" s="3">
        <v>5</v>
      </c>
      <c r="K2173" s="2">
        <v>14.43</v>
      </c>
    </row>
    <row r="2174" spans="1:11" x14ac:dyDescent="0.35">
      <c r="A2174" s="1">
        <v>42649</v>
      </c>
      <c r="B2174" s="3">
        <f t="shared" si="66"/>
        <v>2016</v>
      </c>
      <c r="C2174" s="3">
        <f t="shared" si="67"/>
        <v>10</v>
      </c>
      <c r="D2174" t="s">
        <v>1669</v>
      </c>
      <c r="E2174" t="s">
        <v>103</v>
      </c>
      <c r="F2174" t="s">
        <v>13</v>
      </c>
      <c r="G2174" t="s">
        <v>204</v>
      </c>
      <c r="H2174" t="s">
        <v>1895</v>
      </c>
      <c r="I2174" s="2">
        <v>703.71</v>
      </c>
      <c r="J2174" s="3">
        <v>6</v>
      </c>
      <c r="K2174" s="2">
        <v>-938.28</v>
      </c>
    </row>
    <row r="2175" spans="1:11" x14ac:dyDescent="0.35">
      <c r="A2175" s="1">
        <v>42649</v>
      </c>
      <c r="B2175" s="3">
        <f t="shared" si="66"/>
        <v>2016</v>
      </c>
      <c r="C2175" s="3">
        <f t="shared" si="67"/>
        <v>10</v>
      </c>
      <c r="D2175" t="s">
        <v>1669</v>
      </c>
      <c r="E2175" t="s">
        <v>103</v>
      </c>
      <c r="F2175" t="s">
        <v>28</v>
      </c>
      <c r="G2175" t="s">
        <v>48</v>
      </c>
      <c r="H2175" t="s">
        <v>1852</v>
      </c>
      <c r="I2175" s="2">
        <v>17.899999999999999</v>
      </c>
      <c r="J2175" s="3">
        <v>4</v>
      </c>
      <c r="K2175" s="2">
        <v>-14.92</v>
      </c>
    </row>
    <row r="2176" spans="1:11" x14ac:dyDescent="0.35">
      <c r="A2176" s="1">
        <v>42649</v>
      </c>
      <c r="B2176" s="3">
        <f t="shared" si="66"/>
        <v>2016</v>
      </c>
      <c r="C2176" s="3">
        <f t="shared" si="67"/>
        <v>10</v>
      </c>
      <c r="D2176" t="s">
        <v>1669</v>
      </c>
      <c r="E2176" t="s">
        <v>103</v>
      </c>
      <c r="F2176" t="s">
        <v>28</v>
      </c>
      <c r="G2176" t="s">
        <v>48</v>
      </c>
      <c r="H2176" t="s">
        <v>1896</v>
      </c>
      <c r="I2176" s="2">
        <v>11.98</v>
      </c>
      <c r="J2176" s="3">
        <v>4</v>
      </c>
      <c r="K2176" s="2">
        <v>-9.18</v>
      </c>
    </row>
    <row r="2177" spans="1:11" x14ac:dyDescent="0.35">
      <c r="A2177" s="1">
        <v>42649</v>
      </c>
      <c r="B2177" s="3">
        <f t="shared" si="66"/>
        <v>2016</v>
      </c>
      <c r="C2177" s="3">
        <f t="shared" si="67"/>
        <v>10</v>
      </c>
      <c r="D2177" t="s">
        <v>1669</v>
      </c>
      <c r="E2177" t="s">
        <v>103</v>
      </c>
      <c r="F2177" t="s">
        <v>13</v>
      </c>
      <c r="G2177" t="s">
        <v>14</v>
      </c>
      <c r="H2177" t="s">
        <v>1544</v>
      </c>
      <c r="I2177" s="2">
        <v>67.959999999999994</v>
      </c>
      <c r="J2177" s="3">
        <v>5</v>
      </c>
      <c r="K2177" s="2">
        <v>0.85</v>
      </c>
    </row>
    <row r="2178" spans="1:11" x14ac:dyDescent="0.35">
      <c r="A2178" s="1">
        <v>42680</v>
      </c>
      <c r="B2178" s="3">
        <f t="shared" ref="B2178:B2241" si="68">YEAR(A2178)</f>
        <v>2016</v>
      </c>
      <c r="C2178" s="3">
        <f t="shared" ref="C2178:C2241" si="69">MONTH(A2178)</f>
        <v>11</v>
      </c>
      <c r="D2178" t="s">
        <v>1897</v>
      </c>
      <c r="E2178" t="s">
        <v>45</v>
      </c>
      <c r="F2178" t="s">
        <v>18</v>
      </c>
      <c r="G2178" t="s">
        <v>19</v>
      </c>
      <c r="H2178" t="s">
        <v>1854</v>
      </c>
      <c r="I2178" s="2">
        <v>81.42</v>
      </c>
      <c r="J2178" s="3">
        <v>2</v>
      </c>
      <c r="K2178" s="2">
        <v>-9.16</v>
      </c>
    </row>
    <row r="2179" spans="1:11" x14ac:dyDescent="0.35">
      <c r="A2179" s="1">
        <v>42680</v>
      </c>
      <c r="B2179" s="3">
        <f t="shared" si="68"/>
        <v>2016</v>
      </c>
      <c r="C2179" s="3">
        <f t="shared" si="69"/>
        <v>11</v>
      </c>
      <c r="D2179" t="s">
        <v>1897</v>
      </c>
      <c r="E2179" t="s">
        <v>45</v>
      </c>
      <c r="F2179" t="s">
        <v>18</v>
      </c>
      <c r="G2179" t="s">
        <v>36</v>
      </c>
      <c r="H2179" t="s">
        <v>1877</v>
      </c>
      <c r="I2179" s="2">
        <v>238.56</v>
      </c>
      <c r="J2179" s="3">
        <v>3</v>
      </c>
      <c r="K2179" s="2">
        <v>26.24</v>
      </c>
    </row>
    <row r="2180" spans="1:11" x14ac:dyDescent="0.35">
      <c r="A2180" s="1">
        <v>42680</v>
      </c>
      <c r="B2180" s="3">
        <f t="shared" si="68"/>
        <v>2016</v>
      </c>
      <c r="C2180" s="3">
        <f t="shared" si="69"/>
        <v>11</v>
      </c>
      <c r="D2180" t="s">
        <v>1898</v>
      </c>
      <c r="E2180" t="s">
        <v>77</v>
      </c>
      <c r="F2180" t="s">
        <v>18</v>
      </c>
      <c r="G2180" t="s">
        <v>19</v>
      </c>
      <c r="H2180" t="s">
        <v>1501</v>
      </c>
      <c r="I2180" s="2">
        <v>207.98</v>
      </c>
      <c r="J2180" s="3">
        <v>2</v>
      </c>
      <c r="K2180" s="2">
        <v>-28.6</v>
      </c>
    </row>
    <row r="2181" spans="1:11" x14ac:dyDescent="0.35">
      <c r="A2181" s="1">
        <v>42680</v>
      </c>
      <c r="B2181" s="3">
        <f t="shared" si="68"/>
        <v>2016</v>
      </c>
      <c r="C2181" s="3">
        <f t="shared" si="69"/>
        <v>11</v>
      </c>
      <c r="D2181" t="s">
        <v>1898</v>
      </c>
      <c r="E2181" t="s">
        <v>77</v>
      </c>
      <c r="F2181" t="s">
        <v>28</v>
      </c>
      <c r="G2181" t="s">
        <v>29</v>
      </c>
      <c r="H2181" t="s">
        <v>1899</v>
      </c>
      <c r="I2181" s="2">
        <v>36.11</v>
      </c>
      <c r="J2181" s="3">
        <v>2</v>
      </c>
      <c r="K2181" s="2">
        <v>12.64</v>
      </c>
    </row>
    <row r="2182" spans="1:11" x14ac:dyDescent="0.35">
      <c r="A2182" s="1">
        <v>42680</v>
      </c>
      <c r="B2182" s="3">
        <f t="shared" si="68"/>
        <v>2016</v>
      </c>
      <c r="C2182" s="3">
        <f t="shared" si="69"/>
        <v>11</v>
      </c>
      <c r="D2182" t="s">
        <v>1898</v>
      </c>
      <c r="E2182" t="s">
        <v>77</v>
      </c>
      <c r="F2182" t="s">
        <v>18</v>
      </c>
      <c r="G2182" t="s">
        <v>36</v>
      </c>
      <c r="H2182" t="s">
        <v>1301</v>
      </c>
      <c r="I2182" s="2">
        <v>35.57</v>
      </c>
      <c r="J2182" s="3">
        <v>2</v>
      </c>
      <c r="K2182" s="2">
        <v>5.78</v>
      </c>
    </row>
    <row r="2183" spans="1:11" x14ac:dyDescent="0.35">
      <c r="A2183" s="1">
        <v>42680</v>
      </c>
      <c r="B2183" s="3">
        <f t="shared" si="68"/>
        <v>2016</v>
      </c>
      <c r="C2183" s="3">
        <f t="shared" si="69"/>
        <v>11</v>
      </c>
      <c r="D2183" t="s">
        <v>1898</v>
      </c>
      <c r="E2183" t="s">
        <v>77</v>
      </c>
      <c r="F2183" t="s">
        <v>28</v>
      </c>
      <c r="G2183" t="s">
        <v>29</v>
      </c>
      <c r="H2183" t="s">
        <v>431</v>
      </c>
      <c r="I2183" s="2">
        <v>88.77</v>
      </c>
      <c r="J2183" s="3">
        <v>2</v>
      </c>
      <c r="K2183" s="2">
        <v>31.07</v>
      </c>
    </row>
    <row r="2184" spans="1:11" x14ac:dyDescent="0.35">
      <c r="A2184" s="1">
        <v>42680</v>
      </c>
      <c r="B2184" s="3">
        <f t="shared" si="68"/>
        <v>2016</v>
      </c>
      <c r="C2184" s="3">
        <f t="shared" si="69"/>
        <v>11</v>
      </c>
      <c r="D2184" t="s">
        <v>1230</v>
      </c>
      <c r="E2184" t="s">
        <v>45</v>
      </c>
      <c r="F2184" t="s">
        <v>28</v>
      </c>
      <c r="G2184" t="s">
        <v>38</v>
      </c>
      <c r="H2184" t="s">
        <v>452</v>
      </c>
      <c r="I2184" s="2">
        <v>84.84</v>
      </c>
      <c r="J2184" s="3">
        <v>3</v>
      </c>
      <c r="K2184" s="2">
        <v>22.91</v>
      </c>
    </row>
    <row r="2185" spans="1:11" x14ac:dyDescent="0.35">
      <c r="A2185" s="1">
        <v>42710</v>
      </c>
      <c r="B2185" s="3">
        <f t="shared" si="68"/>
        <v>2016</v>
      </c>
      <c r="C2185" s="3">
        <f t="shared" si="69"/>
        <v>12</v>
      </c>
      <c r="D2185" t="s">
        <v>1268</v>
      </c>
      <c r="E2185" t="s">
        <v>45</v>
      </c>
      <c r="F2185" t="s">
        <v>28</v>
      </c>
      <c r="G2185" t="s">
        <v>29</v>
      </c>
      <c r="H2185" t="s">
        <v>95</v>
      </c>
      <c r="I2185" s="2">
        <v>19.440000000000001</v>
      </c>
      <c r="J2185" s="3">
        <v>3</v>
      </c>
      <c r="K2185" s="2">
        <v>9.33</v>
      </c>
    </row>
    <row r="2186" spans="1:11" x14ac:dyDescent="0.35">
      <c r="A2186" s="1">
        <v>42710</v>
      </c>
      <c r="B2186" s="3">
        <f t="shared" si="68"/>
        <v>2016</v>
      </c>
      <c r="C2186" s="3">
        <f t="shared" si="69"/>
        <v>12</v>
      </c>
      <c r="D2186" t="s">
        <v>1900</v>
      </c>
      <c r="E2186" t="s">
        <v>17</v>
      </c>
      <c r="F2186" t="s">
        <v>13</v>
      </c>
      <c r="G2186" t="s">
        <v>23</v>
      </c>
      <c r="H2186" t="s">
        <v>1901</v>
      </c>
      <c r="I2186" s="2">
        <v>156.79</v>
      </c>
      <c r="J2186" s="3">
        <v>1</v>
      </c>
      <c r="K2186" s="2">
        <v>13.72</v>
      </c>
    </row>
    <row r="2187" spans="1:11" x14ac:dyDescent="0.35">
      <c r="A2187" s="1">
        <v>42710</v>
      </c>
      <c r="B2187" s="3">
        <f t="shared" si="68"/>
        <v>2016</v>
      </c>
      <c r="C2187" s="3">
        <f t="shared" si="69"/>
        <v>12</v>
      </c>
      <c r="D2187" t="s">
        <v>1900</v>
      </c>
      <c r="E2187" t="s">
        <v>17</v>
      </c>
      <c r="F2187" t="s">
        <v>13</v>
      </c>
      <c r="G2187" t="s">
        <v>23</v>
      </c>
      <c r="H2187" t="s">
        <v>1902</v>
      </c>
      <c r="I2187" s="2">
        <v>431.98</v>
      </c>
      <c r="J2187" s="3">
        <v>3</v>
      </c>
      <c r="K2187" s="2">
        <v>27</v>
      </c>
    </row>
    <row r="2188" spans="1:11" x14ac:dyDescent="0.35">
      <c r="A2188" s="1">
        <v>42710</v>
      </c>
      <c r="B2188" s="3">
        <f t="shared" si="68"/>
        <v>2016</v>
      </c>
      <c r="C2188" s="3">
        <f t="shared" si="69"/>
        <v>12</v>
      </c>
      <c r="D2188" t="s">
        <v>1900</v>
      </c>
      <c r="E2188" t="s">
        <v>17</v>
      </c>
      <c r="F2188" t="s">
        <v>28</v>
      </c>
      <c r="G2188" t="s">
        <v>158</v>
      </c>
      <c r="H2188" t="s">
        <v>1180</v>
      </c>
      <c r="I2188" s="2">
        <v>35.89</v>
      </c>
      <c r="J2188" s="3">
        <v>1</v>
      </c>
      <c r="K2188" s="2">
        <v>16.149999999999999</v>
      </c>
    </row>
    <row r="2189" spans="1:11" x14ac:dyDescent="0.35">
      <c r="A2189" s="1">
        <v>42710</v>
      </c>
      <c r="B2189" s="3">
        <f t="shared" si="68"/>
        <v>2016</v>
      </c>
      <c r="C2189" s="3">
        <f t="shared" si="69"/>
        <v>12</v>
      </c>
      <c r="D2189" t="s">
        <v>1900</v>
      </c>
      <c r="E2189" t="s">
        <v>17</v>
      </c>
      <c r="F2189" t="s">
        <v>28</v>
      </c>
      <c r="G2189" t="s">
        <v>48</v>
      </c>
      <c r="H2189" t="s">
        <v>1903</v>
      </c>
      <c r="I2189" s="2">
        <v>47.21</v>
      </c>
      <c r="J2189" s="3">
        <v>7</v>
      </c>
      <c r="K2189" s="2">
        <v>15.34</v>
      </c>
    </row>
    <row r="2190" spans="1:11" x14ac:dyDescent="0.35">
      <c r="A2190" s="1">
        <v>42710</v>
      </c>
      <c r="B2190" s="3">
        <f t="shared" si="68"/>
        <v>2016</v>
      </c>
      <c r="C2190" s="3">
        <f t="shared" si="69"/>
        <v>12</v>
      </c>
      <c r="D2190" t="s">
        <v>1900</v>
      </c>
      <c r="E2190" t="s">
        <v>17</v>
      </c>
      <c r="F2190" t="s">
        <v>28</v>
      </c>
      <c r="G2190" t="s">
        <v>29</v>
      </c>
      <c r="H2190" t="s">
        <v>1904</v>
      </c>
      <c r="I2190" s="2">
        <v>248.08</v>
      </c>
      <c r="J2190" s="3">
        <v>7</v>
      </c>
      <c r="K2190" s="2">
        <v>116.6</v>
      </c>
    </row>
    <row r="2191" spans="1:11" x14ac:dyDescent="0.35">
      <c r="A2191" s="1">
        <v>42710</v>
      </c>
      <c r="B2191" s="3">
        <f t="shared" si="68"/>
        <v>2016</v>
      </c>
      <c r="C2191" s="3">
        <f t="shared" si="69"/>
        <v>12</v>
      </c>
      <c r="D2191" t="s">
        <v>1900</v>
      </c>
      <c r="E2191" t="s">
        <v>17</v>
      </c>
      <c r="F2191" t="s">
        <v>28</v>
      </c>
      <c r="G2191" t="s">
        <v>29</v>
      </c>
      <c r="H2191" t="s">
        <v>723</v>
      </c>
      <c r="I2191" s="2">
        <v>189.7</v>
      </c>
      <c r="J2191" s="3">
        <v>5</v>
      </c>
      <c r="K2191" s="2">
        <v>89.16</v>
      </c>
    </row>
    <row r="2192" spans="1:11" x14ac:dyDescent="0.35">
      <c r="A2192" s="1">
        <v>42710</v>
      </c>
      <c r="B2192" s="3">
        <f t="shared" si="68"/>
        <v>2016</v>
      </c>
      <c r="C2192" s="3">
        <f t="shared" si="69"/>
        <v>12</v>
      </c>
      <c r="D2192" t="s">
        <v>1900</v>
      </c>
      <c r="E2192" t="s">
        <v>17</v>
      </c>
      <c r="F2192" t="s">
        <v>28</v>
      </c>
      <c r="G2192" t="s">
        <v>48</v>
      </c>
      <c r="H2192" t="s">
        <v>134</v>
      </c>
      <c r="I2192" s="2">
        <v>59.81</v>
      </c>
      <c r="J2192" s="3">
        <v>3</v>
      </c>
      <c r="K2192" s="2">
        <v>19.440000000000001</v>
      </c>
    </row>
    <row r="2193" spans="1:11" x14ac:dyDescent="0.35">
      <c r="A2193" s="1">
        <v>42710</v>
      </c>
      <c r="B2193" s="3">
        <f t="shared" si="68"/>
        <v>2016</v>
      </c>
      <c r="C2193" s="3">
        <f t="shared" si="69"/>
        <v>12</v>
      </c>
      <c r="D2193" t="s">
        <v>1905</v>
      </c>
      <c r="E2193" t="s">
        <v>22</v>
      </c>
      <c r="F2193" t="s">
        <v>28</v>
      </c>
      <c r="G2193" t="s">
        <v>48</v>
      </c>
      <c r="H2193" t="s">
        <v>1721</v>
      </c>
      <c r="I2193" s="2">
        <v>968.74</v>
      </c>
      <c r="J2193" s="3">
        <v>7</v>
      </c>
      <c r="K2193" s="2">
        <v>314.83999999999997</v>
      </c>
    </row>
    <row r="2194" spans="1:11" x14ac:dyDescent="0.35">
      <c r="A2194" s="1">
        <v>42710</v>
      </c>
      <c r="B2194" s="3">
        <f t="shared" si="68"/>
        <v>2016</v>
      </c>
      <c r="C2194" s="3">
        <f t="shared" si="69"/>
        <v>12</v>
      </c>
      <c r="D2194" t="s">
        <v>1905</v>
      </c>
      <c r="E2194" t="s">
        <v>22</v>
      </c>
      <c r="F2194" t="s">
        <v>28</v>
      </c>
      <c r="G2194" t="s">
        <v>48</v>
      </c>
      <c r="H2194" t="s">
        <v>1885</v>
      </c>
      <c r="I2194" s="2">
        <v>222.35</v>
      </c>
      <c r="J2194" s="3">
        <v>13</v>
      </c>
      <c r="K2194" s="2">
        <v>77.819999999999993</v>
      </c>
    </row>
    <row r="2195" spans="1:11" x14ac:dyDescent="0.35">
      <c r="A2195" s="1">
        <v>42710</v>
      </c>
      <c r="B2195" s="3">
        <f t="shared" si="68"/>
        <v>2016</v>
      </c>
      <c r="C2195" s="3">
        <f t="shared" si="69"/>
        <v>12</v>
      </c>
      <c r="D2195" t="s">
        <v>1905</v>
      </c>
      <c r="E2195" t="s">
        <v>22</v>
      </c>
      <c r="F2195" t="s">
        <v>13</v>
      </c>
      <c r="G2195" t="s">
        <v>143</v>
      </c>
      <c r="H2195" t="s">
        <v>178</v>
      </c>
      <c r="I2195" s="2">
        <v>479.98</v>
      </c>
      <c r="J2195" s="3">
        <v>2</v>
      </c>
      <c r="K2195" s="2">
        <v>90</v>
      </c>
    </row>
    <row r="2196" spans="1:11" x14ac:dyDescent="0.35">
      <c r="A2196" s="1">
        <v>42710</v>
      </c>
      <c r="B2196" s="3">
        <f t="shared" si="68"/>
        <v>2016</v>
      </c>
      <c r="C2196" s="3">
        <f t="shared" si="69"/>
        <v>12</v>
      </c>
      <c r="D2196" t="s">
        <v>264</v>
      </c>
      <c r="E2196" t="s">
        <v>45</v>
      </c>
      <c r="F2196" t="s">
        <v>13</v>
      </c>
      <c r="G2196" t="s">
        <v>23</v>
      </c>
      <c r="H2196" t="s">
        <v>1906</v>
      </c>
      <c r="I2196" s="2">
        <v>271.95999999999998</v>
      </c>
      <c r="J2196" s="3">
        <v>5</v>
      </c>
      <c r="K2196" s="2">
        <v>27.2</v>
      </c>
    </row>
    <row r="2197" spans="1:11" x14ac:dyDescent="0.35">
      <c r="A2197" s="1">
        <v>42710</v>
      </c>
      <c r="B2197" s="3">
        <f t="shared" si="68"/>
        <v>2016</v>
      </c>
      <c r="C2197" s="3">
        <f t="shared" si="69"/>
        <v>12</v>
      </c>
      <c r="D2197" t="s">
        <v>264</v>
      </c>
      <c r="E2197" t="s">
        <v>45</v>
      </c>
      <c r="F2197" t="s">
        <v>28</v>
      </c>
      <c r="G2197" t="s">
        <v>64</v>
      </c>
      <c r="H2197" t="s">
        <v>1711</v>
      </c>
      <c r="I2197" s="2">
        <v>18.690000000000001</v>
      </c>
      <c r="J2197" s="3">
        <v>7</v>
      </c>
      <c r="K2197" s="2">
        <v>5.23</v>
      </c>
    </row>
    <row r="2198" spans="1:11" x14ac:dyDescent="0.35">
      <c r="A2198" s="1">
        <v>42710</v>
      </c>
      <c r="B2198" s="3">
        <f t="shared" si="68"/>
        <v>2016</v>
      </c>
      <c r="C2198" s="3">
        <f t="shared" si="69"/>
        <v>12</v>
      </c>
      <c r="D2198" t="s">
        <v>264</v>
      </c>
      <c r="E2198" t="s">
        <v>45</v>
      </c>
      <c r="F2198" t="s">
        <v>28</v>
      </c>
      <c r="G2198" t="s">
        <v>29</v>
      </c>
      <c r="H2198" t="s">
        <v>1907</v>
      </c>
      <c r="I2198" s="2">
        <v>13.36</v>
      </c>
      <c r="J2198" s="3">
        <v>2</v>
      </c>
      <c r="K2198" s="2">
        <v>6.41</v>
      </c>
    </row>
    <row r="2199" spans="1:11" x14ac:dyDescent="0.35">
      <c r="A2199" s="1">
        <v>42710</v>
      </c>
      <c r="B2199" s="3">
        <f t="shared" si="68"/>
        <v>2016</v>
      </c>
      <c r="C2199" s="3">
        <f t="shared" si="69"/>
        <v>12</v>
      </c>
      <c r="D2199" t="s">
        <v>264</v>
      </c>
      <c r="E2199" t="s">
        <v>45</v>
      </c>
      <c r="F2199" t="s">
        <v>13</v>
      </c>
      <c r="G2199" t="s">
        <v>23</v>
      </c>
      <c r="H2199" t="s">
        <v>1065</v>
      </c>
      <c r="I2199" s="2">
        <v>249.58</v>
      </c>
      <c r="J2199" s="3">
        <v>2</v>
      </c>
      <c r="K2199" s="2">
        <v>31.2</v>
      </c>
    </row>
    <row r="2200" spans="1:11" x14ac:dyDescent="0.35">
      <c r="A2200" s="1">
        <v>42710</v>
      </c>
      <c r="B2200" s="3">
        <f t="shared" si="68"/>
        <v>2016</v>
      </c>
      <c r="C2200" s="3">
        <f t="shared" si="69"/>
        <v>12</v>
      </c>
      <c r="D2200" t="s">
        <v>264</v>
      </c>
      <c r="E2200" t="s">
        <v>45</v>
      </c>
      <c r="F2200" t="s">
        <v>28</v>
      </c>
      <c r="G2200" t="s">
        <v>33</v>
      </c>
      <c r="H2200" t="s">
        <v>1405</v>
      </c>
      <c r="I2200" s="2">
        <v>13.86</v>
      </c>
      <c r="J2200" s="3">
        <v>7</v>
      </c>
      <c r="K2200" s="2">
        <v>0</v>
      </c>
    </row>
    <row r="2201" spans="1:11" x14ac:dyDescent="0.35">
      <c r="A2201" s="1">
        <v>42710</v>
      </c>
      <c r="B2201" s="3">
        <f t="shared" si="68"/>
        <v>2016</v>
      </c>
      <c r="C2201" s="3">
        <f t="shared" si="69"/>
        <v>12</v>
      </c>
      <c r="D2201" t="s">
        <v>264</v>
      </c>
      <c r="E2201" t="s">
        <v>45</v>
      </c>
      <c r="F2201" t="s">
        <v>28</v>
      </c>
      <c r="G2201" t="s">
        <v>48</v>
      </c>
      <c r="H2201" t="s">
        <v>1408</v>
      </c>
      <c r="I2201" s="2">
        <v>13.38</v>
      </c>
      <c r="J2201" s="3">
        <v>4</v>
      </c>
      <c r="K2201" s="2">
        <v>4.68</v>
      </c>
    </row>
    <row r="2202" spans="1:11" x14ac:dyDescent="0.35">
      <c r="A2202" s="1">
        <v>42710</v>
      </c>
      <c r="B2202" s="3">
        <f t="shared" si="68"/>
        <v>2016</v>
      </c>
      <c r="C2202" s="3">
        <f t="shared" si="69"/>
        <v>12</v>
      </c>
      <c r="D2202" t="s">
        <v>264</v>
      </c>
      <c r="E2202" t="s">
        <v>45</v>
      </c>
      <c r="F2202" t="s">
        <v>28</v>
      </c>
      <c r="G2202" t="s">
        <v>48</v>
      </c>
      <c r="H2202" t="s">
        <v>1172</v>
      </c>
      <c r="I2202" s="2">
        <v>437.47</v>
      </c>
      <c r="J2202" s="3">
        <v>14</v>
      </c>
      <c r="K2202" s="2">
        <v>153.12</v>
      </c>
    </row>
    <row r="2203" spans="1:11" x14ac:dyDescent="0.35">
      <c r="A2203" s="1">
        <v>42376</v>
      </c>
      <c r="B2203" s="3">
        <f t="shared" si="68"/>
        <v>2016</v>
      </c>
      <c r="C2203" s="3">
        <f t="shared" si="69"/>
        <v>1</v>
      </c>
      <c r="D2203" t="s">
        <v>54</v>
      </c>
      <c r="E2203" t="s">
        <v>45</v>
      </c>
      <c r="F2203" t="s">
        <v>28</v>
      </c>
      <c r="G2203" t="s">
        <v>64</v>
      </c>
      <c r="H2203" t="s">
        <v>1043</v>
      </c>
      <c r="I2203" s="2">
        <v>34.58</v>
      </c>
      <c r="J2203" s="3">
        <v>1</v>
      </c>
      <c r="K2203" s="2">
        <v>10.029999999999999</v>
      </c>
    </row>
    <row r="2204" spans="1:11" x14ac:dyDescent="0.35">
      <c r="A2204" s="1">
        <v>42376</v>
      </c>
      <c r="B2204" s="3">
        <f t="shared" si="68"/>
        <v>2016</v>
      </c>
      <c r="C2204" s="3">
        <f t="shared" si="69"/>
        <v>1</v>
      </c>
      <c r="D2204" t="s">
        <v>1081</v>
      </c>
      <c r="E2204" t="s">
        <v>32</v>
      </c>
      <c r="F2204" t="s">
        <v>18</v>
      </c>
      <c r="G2204" t="s">
        <v>36</v>
      </c>
      <c r="H2204" t="s">
        <v>626</v>
      </c>
      <c r="I2204" s="2">
        <v>23.08</v>
      </c>
      <c r="J2204" s="3">
        <v>3</v>
      </c>
      <c r="K2204" s="2">
        <v>-10.96</v>
      </c>
    </row>
    <row r="2205" spans="1:11" x14ac:dyDescent="0.35">
      <c r="A2205" s="1">
        <v>42376</v>
      </c>
      <c r="B2205" s="3">
        <f t="shared" si="68"/>
        <v>2016</v>
      </c>
      <c r="C2205" s="3">
        <f t="shared" si="69"/>
        <v>1</v>
      </c>
      <c r="D2205" t="s">
        <v>1081</v>
      </c>
      <c r="E2205" t="s">
        <v>32</v>
      </c>
      <c r="F2205" t="s">
        <v>28</v>
      </c>
      <c r="G2205" t="s">
        <v>29</v>
      </c>
      <c r="H2205" t="s">
        <v>1908</v>
      </c>
      <c r="I2205" s="2">
        <v>25.92</v>
      </c>
      <c r="J2205" s="3">
        <v>5</v>
      </c>
      <c r="K2205" s="2">
        <v>9.07</v>
      </c>
    </row>
    <row r="2206" spans="1:11" x14ac:dyDescent="0.35">
      <c r="A2206" s="1">
        <v>42407</v>
      </c>
      <c r="B2206" s="3">
        <f t="shared" si="68"/>
        <v>2016</v>
      </c>
      <c r="C2206" s="3">
        <f t="shared" si="69"/>
        <v>2</v>
      </c>
      <c r="D2206" t="s">
        <v>1909</v>
      </c>
      <c r="E2206" t="s">
        <v>173</v>
      </c>
      <c r="F2206" t="s">
        <v>13</v>
      </c>
      <c r="G2206" t="s">
        <v>14</v>
      </c>
      <c r="H2206" t="s">
        <v>1910</v>
      </c>
      <c r="I2206" s="2">
        <v>100</v>
      </c>
      <c r="J2206" s="3">
        <v>4</v>
      </c>
      <c r="K2206" s="2">
        <v>21</v>
      </c>
    </row>
    <row r="2207" spans="1:11" x14ac:dyDescent="0.35">
      <c r="A2207" s="1">
        <v>42407</v>
      </c>
      <c r="B2207" s="3">
        <f t="shared" si="68"/>
        <v>2016</v>
      </c>
      <c r="C2207" s="3">
        <f t="shared" si="69"/>
        <v>2</v>
      </c>
      <c r="D2207" t="s">
        <v>1909</v>
      </c>
      <c r="E2207" t="s">
        <v>173</v>
      </c>
      <c r="F2207" t="s">
        <v>28</v>
      </c>
      <c r="G2207" t="s">
        <v>46</v>
      </c>
      <c r="H2207" t="s">
        <v>1540</v>
      </c>
      <c r="I2207" s="2">
        <v>7.83</v>
      </c>
      <c r="J2207" s="3">
        <v>3</v>
      </c>
      <c r="K2207" s="2">
        <v>3.6</v>
      </c>
    </row>
    <row r="2208" spans="1:11" x14ac:dyDescent="0.35">
      <c r="A2208" s="1">
        <v>42407</v>
      </c>
      <c r="B2208" s="3">
        <f t="shared" si="68"/>
        <v>2016</v>
      </c>
      <c r="C2208" s="3">
        <f t="shared" si="69"/>
        <v>2</v>
      </c>
      <c r="D2208" t="s">
        <v>1911</v>
      </c>
      <c r="E2208" t="s">
        <v>131</v>
      </c>
      <c r="F2208" t="s">
        <v>28</v>
      </c>
      <c r="G2208" t="s">
        <v>29</v>
      </c>
      <c r="H2208" t="s">
        <v>814</v>
      </c>
      <c r="I2208" s="2">
        <v>30.35</v>
      </c>
      <c r="J2208" s="3">
        <v>2</v>
      </c>
      <c r="K2208" s="2">
        <v>10.62</v>
      </c>
    </row>
    <row r="2209" spans="1:11" x14ac:dyDescent="0.35">
      <c r="A2209" s="1">
        <v>42407</v>
      </c>
      <c r="B2209" s="3">
        <f t="shared" si="68"/>
        <v>2016</v>
      </c>
      <c r="C2209" s="3">
        <f t="shared" si="69"/>
        <v>2</v>
      </c>
      <c r="D2209" t="s">
        <v>1776</v>
      </c>
      <c r="E2209" t="s">
        <v>45</v>
      </c>
      <c r="F2209" t="s">
        <v>13</v>
      </c>
      <c r="G2209" t="s">
        <v>23</v>
      </c>
      <c r="H2209" t="s">
        <v>1912</v>
      </c>
      <c r="I2209" s="2">
        <v>623.96</v>
      </c>
      <c r="J2209" s="3">
        <v>5</v>
      </c>
      <c r="K2209" s="2">
        <v>39</v>
      </c>
    </row>
    <row r="2210" spans="1:11" x14ac:dyDescent="0.35">
      <c r="A2210" s="1">
        <v>42436</v>
      </c>
      <c r="B2210" s="3">
        <f t="shared" si="68"/>
        <v>2016</v>
      </c>
      <c r="C2210" s="3">
        <f t="shared" si="69"/>
        <v>3</v>
      </c>
      <c r="D2210" t="s">
        <v>684</v>
      </c>
      <c r="E2210" t="s">
        <v>32</v>
      </c>
      <c r="F2210" t="s">
        <v>13</v>
      </c>
      <c r="G2210" t="s">
        <v>23</v>
      </c>
      <c r="H2210" t="s">
        <v>1640</v>
      </c>
      <c r="I2210" s="2">
        <v>21.07</v>
      </c>
      <c r="J2210" s="3">
        <v>3</v>
      </c>
      <c r="K2210" s="2">
        <v>1.58</v>
      </c>
    </row>
    <row r="2211" spans="1:11" x14ac:dyDescent="0.35">
      <c r="A2211" s="1">
        <v>42467</v>
      </c>
      <c r="B2211" s="3">
        <f t="shared" si="68"/>
        <v>2016</v>
      </c>
      <c r="C2211" s="3">
        <f t="shared" si="69"/>
        <v>4</v>
      </c>
      <c r="D2211" t="s">
        <v>1627</v>
      </c>
      <c r="E2211" t="s">
        <v>45</v>
      </c>
      <c r="F2211" t="s">
        <v>13</v>
      </c>
      <c r="G2211" t="s">
        <v>143</v>
      </c>
      <c r="H2211" t="s">
        <v>1349</v>
      </c>
      <c r="I2211" s="2">
        <v>1199.98</v>
      </c>
      <c r="J2211" s="3">
        <v>3</v>
      </c>
      <c r="K2211" s="2">
        <v>374.99</v>
      </c>
    </row>
    <row r="2212" spans="1:11" x14ac:dyDescent="0.35">
      <c r="A2212" s="1">
        <v>42467</v>
      </c>
      <c r="B2212" s="3">
        <f t="shared" si="68"/>
        <v>2016</v>
      </c>
      <c r="C2212" s="3">
        <f t="shared" si="69"/>
        <v>4</v>
      </c>
      <c r="D2212" t="s">
        <v>74</v>
      </c>
      <c r="E2212" t="s">
        <v>22</v>
      </c>
      <c r="F2212" t="s">
        <v>18</v>
      </c>
      <c r="G2212" t="s">
        <v>19</v>
      </c>
      <c r="H2212" t="s">
        <v>718</v>
      </c>
      <c r="I2212" s="2">
        <v>658.75</v>
      </c>
      <c r="J2212" s="3">
        <v>3</v>
      </c>
      <c r="K2212" s="2">
        <v>146.38999999999999</v>
      </c>
    </row>
    <row r="2213" spans="1:11" x14ac:dyDescent="0.35">
      <c r="A2213" s="1">
        <v>42467</v>
      </c>
      <c r="B2213" s="3">
        <f t="shared" si="68"/>
        <v>2016</v>
      </c>
      <c r="C2213" s="3">
        <f t="shared" si="69"/>
        <v>4</v>
      </c>
      <c r="D2213" t="s">
        <v>1260</v>
      </c>
      <c r="E2213" t="s">
        <v>22</v>
      </c>
      <c r="F2213" t="s">
        <v>28</v>
      </c>
      <c r="G2213" t="s">
        <v>64</v>
      </c>
      <c r="H2213" t="s">
        <v>466</v>
      </c>
      <c r="I2213" s="2">
        <v>3.64</v>
      </c>
      <c r="J2213" s="3">
        <v>2</v>
      </c>
      <c r="K2213" s="2">
        <v>0.98</v>
      </c>
    </row>
    <row r="2214" spans="1:11" x14ac:dyDescent="0.35">
      <c r="A2214" s="1">
        <v>42467</v>
      </c>
      <c r="B2214" s="3">
        <f t="shared" si="68"/>
        <v>2016</v>
      </c>
      <c r="C2214" s="3">
        <f t="shared" si="69"/>
        <v>4</v>
      </c>
      <c r="D2214" t="s">
        <v>210</v>
      </c>
      <c r="E2214" t="s">
        <v>62</v>
      </c>
      <c r="F2214" t="s">
        <v>28</v>
      </c>
      <c r="G2214" t="s">
        <v>29</v>
      </c>
      <c r="H2214" t="s">
        <v>1913</v>
      </c>
      <c r="I2214" s="2">
        <v>37.94</v>
      </c>
      <c r="J2214" s="3">
        <v>2</v>
      </c>
      <c r="K2214" s="2">
        <v>18.21</v>
      </c>
    </row>
    <row r="2215" spans="1:11" x14ac:dyDescent="0.35">
      <c r="A2215" s="1">
        <v>42467</v>
      </c>
      <c r="B2215" s="3">
        <f t="shared" si="68"/>
        <v>2016</v>
      </c>
      <c r="C2215" s="3">
        <f t="shared" si="69"/>
        <v>4</v>
      </c>
      <c r="D2215" t="s">
        <v>944</v>
      </c>
      <c r="E2215" t="s">
        <v>89</v>
      </c>
      <c r="F2215" t="s">
        <v>28</v>
      </c>
      <c r="G2215" t="s">
        <v>58</v>
      </c>
      <c r="H2215" t="s">
        <v>1914</v>
      </c>
      <c r="I2215" s="2">
        <v>33.53</v>
      </c>
      <c r="J2215" s="3">
        <v>3</v>
      </c>
      <c r="K2215" s="2">
        <v>2.5099999999999998</v>
      </c>
    </row>
    <row r="2216" spans="1:11" x14ac:dyDescent="0.35">
      <c r="A2216" s="1">
        <v>42467</v>
      </c>
      <c r="B2216" s="3">
        <f t="shared" si="68"/>
        <v>2016</v>
      </c>
      <c r="C2216" s="3">
        <f t="shared" si="69"/>
        <v>4</v>
      </c>
      <c r="D2216" t="s">
        <v>944</v>
      </c>
      <c r="E2216" t="s">
        <v>89</v>
      </c>
      <c r="F2216" t="s">
        <v>28</v>
      </c>
      <c r="G2216" t="s">
        <v>38</v>
      </c>
      <c r="H2216" t="s">
        <v>1915</v>
      </c>
      <c r="I2216" s="2">
        <v>36.74</v>
      </c>
      <c r="J2216" s="3">
        <v>3</v>
      </c>
      <c r="K2216" s="2">
        <v>3.67</v>
      </c>
    </row>
    <row r="2217" spans="1:11" x14ac:dyDescent="0.35">
      <c r="A2217" s="1">
        <v>42497</v>
      </c>
      <c r="B2217" s="3">
        <f t="shared" si="68"/>
        <v>2016</v>
      </c>
      <c r="C2217" s="3">
        <f t="shared" si="69"/>
        <v>5</v>
      </c>
      <c r="D2217" t="s">
        <v>1772</v>
      </c>
      <c r="E2217" t="s">
        <v>22</v>
      </c>
      <c r="F2217" t="s">
        <v>28</v>
      </c>
      <c r="G2217" t="s">
        <v>48</v>
      </c>
      <c r="H2217" t="s">
        <v>1052</v>
      </c>
      <c r="I2217" s="2">
        <v>85.23</v>
      </c>
      <c r="J2217" s="3">
        <v>7</v>
      </c>
      <c r="K2217" s="2">
        <v>30.9</v>
      </c>
    </row>
    <row r="2218" spans="1:11" x14ac:dyDescent="0.35">
      <c r="A2218" s="1">
        <v>42497</v>
      </c>
      <c r="B2218" s="3">
        <f t="shared" si="68"/>
        <v>2016</v>
      </c>
      <c r="C2218" s="3">
        <f t="shared" si="69"/>
        <v>5</v>
      </c>
      <c r="D2218" t="s">
        <v>1772</v>
      </c>
      <c r="E2218" t="s">
        <v>22</v>
      </c>
      <c r="F2218" t="s">
        <v>28</v>
      </c>
      <c r="G2218" t="s">
        <v>46</v>
      </c>
      <c r="H2218" t="s">
        <v>793</v>
      </c>
      <c r="I2218" s="2">
        <v>44.4</v>
      </c>
      <c r="J2218" s="3">
        <v>3</v>
      </c>
      <c r="K2218" s="2">
        <v>22.2</v>
      </c>
    </row>
    <row r="2219" spans="1:11" x14ac:dyDescent="0.35">
      <c r="A2219" s="1">
        <v>42497</v>
      </c>
      <c r="B2219" s="3">
        <f t="shared" si="68"/>
        <v>2016</v>
      </c>
      <c r="C2219" s="3">
        <f t="shared" si="69"/>
        <v>5</v>
      </c>
      <c r="D2219" t="s">
        <v>1772</v>
      </c>
      <c r="E2219" t="s">
        <v>22</v>
      </c>
      <c r="F2219" t="s">
        <v>18</v>
      </c>
      <c r="G2219" t="s">
        <v>19</v>
      </c>
      <c r="H2219" t="s">
        <v>1417</v>
      </c>
      <c r="I2219" s="2">
        <v>442.76</v>
      </c>
      <c r="J2219" s="3">
        <v>4</v>
      </c>
      <c r="K2219" s="2">
        <v>59.04</v>
      </c>
    </row>
    <row r="2220" spans="1:11" x14ac:dyDescent="0.35">
      <c r="A2220" s="1">
        <v>42497</v>
      </c>
      <c r="B2220" s="3">
        <f t="shared" si="68"/>
        <v>2016</v>
      </c>
      <c r="C2220" s="3">
        <f t="shared" si="69"/>
        <v>5</v>
      </c>
      <c r="D2220" t="s">
        <v>1772</v>
      </c>
      <c r="E2220" t="s">
        <v>22</v>
      </c>
      <c r="F2220" t="s">
        <v>13</v>
      </c>
      <c r="G2220" t="s">
        <v>204</v>
      </c>
      <c r="H2220" t="s">
        <v>1916</v>
      </c>
      <c r="I2220" s="2">
        <v>3999.95</v>
      </c>
      <c r="J2220" s="3">
        <v>5</v>
      </c>
      <c r="K2220" s="2">
        <v>1159.99</v>
      </c>
    </row>
    <row r="2221" spans="1:11" x14ac:dyDescent="0.35">
      <c r="A2221" s="1">
        <v>42497</v>
      </c>
      <c r="B2221" s="3">
        <f t="shared" si="68"/>
        <v>2016</v>
      </c>
      <c r="C2221" s="3">
        <f t="shared" si="69"/>
        <v>5</v>
      </c>
      <c r="D2221" t="s">
        <v>1772</v>
      </c>
      <c r="E2221" t="s">
        <v>22</v>
      </c>
      <c r="F2221" t="s">
        <v>13</v>
      </c>
      <c r="G2221" t="s">
        <v>14</v>
      </c>
      <c r="H2221" t="s">
        <v>693</v>
      </c>
      <c r="I2221" s="2">
        <v>199.95</v>
      </c>
      <c r="J2221" s="3">
        <v>5</v>
      </c>
      <c r="K2221" s="2">
        <v>21.99</v>
      </c>
    </row>
    <row r="2222" spans="1:11" x14ac:dyDescent="0.35">
      <c r="A2222" s="1">
        <v>42497</v>
      </c>
      <c r="B2222" s="3">
        <f t="shared" si="68"/>
        <v>2016</v>
      </c>
      <c r="C2222" s="3">
        <f t="shared" si="69"/>
        <v>5</v>
      </c>
      <c r="D2222" t="s">
        <v>1772</v>
      </c>
      <c r="E2222" t="s">
        <v>22</v>
      </c>
      <c r="F2222" t="s">
        <v>18</v>
      </c>
      <c r="G2222" t="s">
        <v>36</v>
      </c>
      <c r="H2222" t="s">
        <v>1223</v>
      </c>
      <c r="I2222" s="2">
        <v>63.68</v>
      </c>
      <c r="J2222" s="3">
        <v>8</v>
      </c>
      <c r="K2222" s="2">
        <v>28.02</v>
      </c>
    </row>
    <row r="2223" spans="1:11" x14ac:dyDescent="0.35">
      <c r="A2223" s="1">
        <v>42528</v>
      </c>
      <c r="B2223" s="3">
        <f t="shared" si="68"/>
        <v>2016</v>
      </c>
      <c r="C2223" s="3">
        <f t="shared" si="69"/>
        <v>6</v>
      </c>
      <c r="D2223" t="s">
        <v>1706</v>
      </c>
      <c r="E2223" t="s">
        <v>22</v>
      </c>
      <c r="F2223" t="s">
        <v>28</v>
      </c>
      <c r="G2223" t="s">
        <v>29</v>
      </c>
      <c r="H2223" t="s">
        <v>612</v>
      </c>
      <c r="I2223" s="2">
        <v>32.4</v>
      </c>
      <c r="J2223" s="3">
        <v>5</v>
      </c>
      <c r="K2223" s="2">
        <v>15.55</v>
      </c>
    </row>
    <row r="2224" spans="1:11" x14ac:dyDescent="0.35">
      <c r="A2224" s="1">
        <v>42528</v>
      </c>
      <c r="B2224" s="3">
        <f t="shared" si="68"/>
        <v>2016</v>
      </c>
      <c r="C2224" s="3">
        <f t="shared" si="69"/>
        <v>6</v>
      </c>
      <c r="D2224" t="s">
        <v>1360</v>
      </c>
      <c r="E2224" t="s">
        <v>45</v>
      </c>
      <c r="F2224" t="s">
        <v>28</v>
      </c>
      <c r="G2224" t="s">
        <v>48</v>
      </c>
      <c r="H2224" t="s">
        <v>1397</v>
      </c>
      <c r="I2224" s="2">
        <v>4.78</v>
      </c>
      <c r="J2224" s="3">
        <v>1</v>
      </c>
      <c r="K2224" s="2">
        <v>1.55</v>
      </c>
    </row>
    <row r="2225" spans="1:11" x14ac:dyDescent="0.35">
      <c r="A2225" s="1">
        <v>42528</v>
      </c>
      <c r="B2225" s="3">
        <f t="shared" si="68"/>
        <v>2016</v>
      </c>
      <c r="C2225" s="3">
        <f t="shared" si="69"/>
        <v>6</v>
      </c>
      <c r="D2225" t="s">
        <v>1360</v>
      </c>
      <c r="E2225" t="s">
        <v>45</v>
      </c>
      <c r="F2225" t="s">
        <v>28</v>
      </c>
      <c r="G2225" t="s">
        <v>29</v>
      </c>
      <c r="H2225" t="s">
        <v>1504</v>
      </c>
      <c r="I2225" s="2">
        <v>4.7300000000000004</v>
      </c>
      <c r="J2225" s="3">
        <v>1</v>
      </c>
      <c r="K2225" s="2">
        <v>2.3199999999999998</v>
      </c>
    </row>
    <row r="2226" spans="1:11" x14ac:dyDescent="0.35">
      <c r="A2226" s="1">
        <v>42528</v>
      </c>
      <c r="B2226" s="3">
        <f t="shared" si="68"/>
        <v>2016</v>
      </c>
      <c r="C2226" s="3">
        <f t="shared" si="69"/>
        <v>6</v>
      </c>
      <c r="D2226" t="s">
        <v>1917</v>
      </c>
      <c r="E2226" t="s">
        <v>89</v>
      </c>
      <c r="F2226" t="s">
        <v>28</v>
      </c>
      <c r="G2226" t="s">
        <v>33</v>
      </c>
      <c r="H2226" t="s">
        <v>712</v>
      </c>
      <c r="I2226" s="2">
        <v>9.65</v>
      </c>
      <c r="J2226" s="3">
        <v>6</v>
      </c>
      <c r="K2226" s="2">
        <v>3.5</v>
      </c>
    </row>
    <row r="2227" spans="1:11" x14ac:dyDescent="0.35">
      <c r="A2227" s="1">
        <v>42558</v>
      </c>
      <c r="B2227" s="3">
        <f t="shared" si="68"/>
        <v>2016</v>
      </c>
      <c r="C2227" s="3">
        <f t="shared" si="69"/>
        <v>7</v>
      </c>
      <c r="D2227" t="s">
        <v>1537</v>
      </c>
      <c r="E2227" t="s">
        <v>77</v>
      </c>
      <c r="F2227" t="s">
        <v>28</v>
      </c>
      <c r="G2227" t="s">
        <v>215</v>
      </c>
      <c r="H2227" t="s">
        <v>1678</v>
      </c>
      <c r="I2227" s="2">
        <v>45.58</v>
      </c>
      <c r="J2227" s="3">
        <v>7</v>
      </c>
      <c r="K2227" s="2">
        <v>5.13</v>
      </c>
    </row>
    <row r="2228" spans="1:11" x14ac:dyDescent="0.35">
      <c r="A2228" s="1">
        <v>42558</v>
      </c>
      <c r="B2228" s="3">
        <f t="shared" si="68"/>
        <v>2016</v>
      </c>
      <c r="C2228" s="3">
        <f t="shared" si="69"/>
        <v>7</v>
      </c>
      <c r="D2228" t="s">
        <v>909</v>
      </c>
      <c r="E2228" t="s">
        <v>45</v>
      </c>
      <c r="F2228" t="s">
        <v>18</v>
      </c>
      <c r="G2228" t="s">
        <v>36</v>
      </c>
      <c r="H2228" t="s">
        <v>622</v>
      </c>
      <c r="I2228" s="2">
        <v>215.65</v>
      </c>
      <c r="J2228" s="3">
        <v>5</v>
      </c>
      <c r="K2228" s="2">
        <v>73.319999999999993</v>
      </c>
    </row>
    <row r="2229" spans="1:11" x14ac:dyDescent="0.35">
      <c r="A2229" s="1">
        <v>42558</v>
      </c>
      <c r="B2229" s="3">
        <f t="shared" si="68"/>
        <v>2016</v>
      </c>
      <c r="C2229" s="3">
        <f t="shared" si="69"/>
        <v>7</v>
      </c>
      <c r="D2229" t="s">
        <v>1697</v>
      </c>
      <c r="E2229" t="s">
        <v>26</v>
      </c>
      <c r="F2229" t="s">
        <v>18</v>
      </c>
      <c r="G2229" t="s">
        <v>36</v>
      </c>
      <c r="H2229" t="s">
        <v>1918</v>
      </c>
      <c r="I2229" s="2">
        <v>60.29</v>
      </c>
      <c r="J2229" s="3">
        <v>8</v>
      </c>
      <c r="K2229" s="2">
        <v>-27.13</v>
      </c>
    </row>
    <row r="2230" spans="1:11" x14ac:dyDescent="0.35">
      <c r="A2230" s="1">
        <v>42558</v>
      </c>
      <c r="B2230" s="3">
        <f t="shared" si="68"/>
        <v>2016</v>
      </c>
      <c r="C2230" s="3">
        <f t="shared" si="69"/>
        <v>7</v>
      </c>
      <c r="D2230" t="s">
        <v>1697</v>
      </c>
      <c r="E2230" t="s">
        <v>26</v>
      </c>
      <c r="F2230" t="s">
        <v>28</v>
      </c>
      <c r="G2230" t="s">
        <v>33</v>
      </c>
      <c r="H2230" t="s">
        <v>644</v>
      </c>
      <c r="I2230" s="2">
        <v>2.63</v>
      </c>
      <c r="J2230" s="3">
        <v>1</v>
      </c>
      <c r="K2230" s="2">
        <v>0.82</v>
      </c>
    </row>
    <row r="2231" spans="1:11" x14ac:dyDescent="0.35">
      <c r="A2231" s="1">
        <v>42558</v>
      </c>
      <c r="B2231" s="3">
        <f t="shared" si="68"/>
        <v>2016</v>
      </c>
      <c r="C2231" s="3">
        <f t="shared" si="69"/>
        <v>7</v>
      </c>
      <c r="D2231" t="s">
        <v>1697</v>
      </c>
      <c r="E2231" t="s">
        <v>26</v>
      </c>
      <c r="F2231" t="s">
        <v>28</v>
      </c>
      <c r="G2231" t="s">
        <v>29</v>
      </c>
      <c r="H2231" t="s">
        <v>1478</v>
      </c>
      <c r="I2231" s="2">
        <v>23.69</v>
      </c>
      <c r="J2231" s="3">
        <v>9</v>
      </c>
      <c r="K2231" s="2">
        <v>7.7</v>
      </c>
    </row>
    <row r="2232" spans="1:11" x14ac:dyDescent="0.35">
      <c r="A2232" s="1">
        <v>42558</v>
      </c>
      <c r="B2232" s="3">
        <f t="shared" si="68"/>
        <v>2016</v>
      </c>
      <c r="C2232" s="3">
        <f t="shared" si="69"/>
        <v>7</v>
      </c>
      <c r="D2232" t="s">
        <v>1697</v>
      </c>
      <c r="E2232" t="s">
        <v>26</v>
      </c>
      <c r="F2232" t="s">
        <v>18</v>
      </c>
      <c r="G2232" t="s">
        <v>19</v>
      </c>
      <c r="H2232" t="s">
        <v>1433</v>
      </c>
      <c r="I2232" s="2">
        <v>253.37</v>
      </c>
      <c r="J2232" s="3">
        <v>2</v>
      </c>
      <c r="K2232" s="2">
        <v>-14.48</v>
      </c>
    </row>
    <row r="2233" spans="1:11" x14ac:dyDescent="0.35">
      <c r="A2233" s="1">
        <v>42558</v>
      </c>
      <c r="B2233" s="3">
        <f t="shared" si="68"/>
        <v>2016</v>
      </c>
      <c r="C2233" s="3">
        <f t="shared" si="69"/>
        <v>7</v>
      </c>
      <c r="D2233" t="s">
        <v>1919</v>
      </c>
      <c r="E2233" t="s">
        <v>45</v>
      </c>
      <c r="F2233" t="s">
        <v>18</v>
      </c>
      <c r="G2233" t="s">
        <v>19</v>
      </c>
      <c r="H2233" t="s">
        <v>1708</v>
      </c>
      <c r="I2233" s="2">
        <v>287.97000000000003</v>
      </c>
      <c r="J2233" s="3">
        <v>4</v>
      </c>
      <c r="K2233" s="2">
        <v>-3.6</v>
      </c>
    </row>
    <row r="2234" spans="1:11" x14ac:dyDescent="0.35">
      <c r="A2234" s="1">
        <v>42558</v>
      </c>
      <c r="B2234" s="3">
        <f t="shared" si="68"/>
        <v>2016</v>
      </c>
      <c r="C2234" s="3">
        <f t="shared" si="69"/>
        <v>7</v>
      </c>
      <c r="D2234" t="s">
        <v>1919</v>
      </c>
      <c r="E2234" t="s">
        <v>45</v>
      </c>
      <c r="F2234" t="s">
        <v>13</v>
      </c>
      <c r="G2234" t="s">
        <v>143</v>
      </c>
      <c r="H2234" t="s">
        <v>1315</v>
      </c>
      <c r="I2234" s="2">
        <v>2799.96</v>
      </c>
      <c r="J2234" s="3">
        <v>5</v>
      </c>
      <c r="K2234" s="2">
        <v>944.99</v>
      </c>
    </row>
    <row r="2235" spans="1:11" x14ac:dyDescent="0.35">
      <c r="A2235" s="1">
        <v>42558</v>
      </c>
      <c r="B2235" s="3">
        <f t="shared" si="68"/>
        <v>2016</v>
      </c>
      <c r="C2235" s="3">
        <f t="shared" si="69"/>
        <v>7</v>
      </c>
      <c r="D2235" t="s">
        <v>1919</v>
      </c>
      <c r="E2235" t="s">
        <v>45</v>
      </c>
      <c r="F2235" t="s">
        <v>28</v>
      </c>
      <c r="G2235" t="s">
        <v>29</v>
      </c>
      <c r="H2235" t="s">
        <v>251</v>
      </c>
      <c r="I2235" s="2">
        <v>48.94</v>
      </c>
      <c r="J2235" s="3">
        <v>1</v>
      </c>
      <c r="K2235" s="2">
        <v>24.47</v>
      </c>
    </row>
    <row r="2236" spans="1:11" x14ac:dyDescent="0.35">
      <c r="A2236" s="1">
        <v>42558</v>
      </c>
      <c r="B2236" s="3">
        <f t="shared" si="68"/>
        <v>2016</v>
      </c>
      <c r="C2236" s="3">
        <f t="shared" si="69"/>
        <v>7</v>
      </c>
      <c r="D2236" t="s">
        <v>1920</v>
      </c>
      <c r="E2236" t="s">
        <v>89</v>
      </c>
      <c r="F2236" t="s">
        <v>28</v>
      </c>
      <c r="G2236" t="s">
        <v>46</v>
      </c>
      <c r="H2236" t="s">
        <v>1456</v>
      </c>
      <c r="I2236" s="2">
        <v>10.08</v>
      </c>
      <c r="J2236" s="3">
        <v>2</v>
      </c>
      <c r="K2236" s="2">
        <v>3.28</v>
      </c>
    </row>
    <row r="2237" spans="1:11" x14ac:dyDescent="0.35">
      <c r="A2237" s="1">
        <v>42558</v>
      </c>
      <c r="B2237" s="3">
        <f t="shared" si="68"/>
        <v>2016</v>
      </c>
      <c r="C2237" s="3">
        <f t="shared" si="69"/>
        <v>7</v>
      </c>
      <c r="D2237" t="s">
        <v>1920</v>
      </c>
      <c r="E2237" t="s">
        <v>89</v>
      </c>
      <c r="F2237" t="s">
        <v>13</v>
      </c>
      <c r="G2237" t="s">
        <v>23</v>
      </c>
      <c r="H2237" t="s">
        <v>388</v>
      </c>
      <c r="I2237" s="2">
        <v>59.99</v>
      </c>
      <c r="J2237" s="3">
        <v>1</v>
      </c>
      <c r="K2237" s="2">
        <v>-13</v>
      </c>
    </row>
    <row r="2238" spans="1:11" x14ac:dyDescent="0.35">
      <c r="A2238" s="1">
        <v>42558</v>
      </c>
      <c r="B2238" s="3">
        <f t="shared" si="68"/>
        <v>2016</v>
      </c>
      <c r="C2238" s="3">
        <f t="shared" si="69"/>
        <v>7</v>
      </c>
      <c r="D2238" t="s">
        <v>1920</v>
      </c>
      <c r="E2238" t="s">
        <v>89</v>
      </c>
      <c r="F2238" t="s">
        <v>28</v>
      </c>
      <c r="G2238" t="s">
        <v>48</v>
      </c>
      <c r="H2238" t="s">
        <v>1921</v>
      </c>
      <c r="I2238" s="2">
        <v>5.72</v>
      </c>
      <c r="J2238" s="3">
        <v>5</v>
      </c>
      <c r="K2238" s="2">
        <v>-4.76</v>
      </c>
    </row>
    <row r="2239" spans="1:11" x14ac:dyDescent="0.35">
      <c r="A2239" s="1">
        <v>42558</v>
      </c>
      <c r="B2239" s="3">
        <f t="shared" si="68"/>
        <v>2016</v>
      </c>
      <c r="C2239" s="3">
        <f t="shared" si="69"/>
        <v>7</v>
      </c>
      <c r="D2239" t="s">
        <v>1920</v>
      </c>
      <c r="E2239" t="s">
        <v>89</v>
      </c>
      <c r="F2239" t="s">
        <v>28</v>
      </c>
      <c r="G2239" t="s">
        <v>48</v>
      </c>
      <c r="H2239" t="s">
        <v>1565</v>
      </c>
      <c r="I2239" s="2">
        <v>9.42</v>
      </c>
      <c r="J2239" s="3">
        <v>5</v>
      </c>
      <c r="K2239" s="2">
        <v>-7.85</v>
      </c>
    </row>
    <row r="2240" spans="1:11" x14ac:dyDescent="0.35">
      <c r="A2240" s="1">
        <v>42558</v>
      </c>
      <c r="B2240" s="3">
        <f t="shared" si="68"/>
        <v>2016</v>
      </c>
      <c r="C2240" s="3">
        <f t="shared" si="69"/>
        <v>7</v>
      </c>
      <c r="D2240" t="s">
        <v>1475</v>
      </c>
      <c r="E2240" t="s">
        <v>180</v>
      </c>
      <c r="F2240" t="s">
        <v>28</v>
      </c>
      <c r="G2240" t="s">
        <v>29</v>
      </c>
      <c r="H2240" t="s">
        <v>612</v>
      </c>
      <c r="I2240" s="2">
        <v>12.96</v>
      </c>
      <c r="J2240" s="3">
        <v>2</v>
      </c>
      <c r="K2240" s="2">
        <v>6.22</v>
      </c>
    </row>
    <row r="2241" spans="1:11" x14ac:dyDescent="0.35">
      <c r="A2241" s="1">
        <v>42558</v>
      </c>
      <c r="B2241" s="3">
        <f t="shared" si="68"/>
        <v>2016</v>
      </c>
      <c r="C2241" s="3">
        <f t="shared" si="69"/>
        <v>7</v>
      </c>
      <c r="D2241" t="s">
        <v>1475</v>
      </c>
      <c r="E2241" t="s">
        <v>180</v>
      </c>
      <c r="F2241" t="s">
        <v>28</v>
      </c>
      <c r="G2241" t="s">
        <v>64</v>
      </c>
      <c r="H2241" t="s">
        <v>477</v>
      </c>
      <c r="I2241" s="2">
        <v>45.98</v>
      </c>
      <c r="J2241" s="3">
        <v>2</v>
      </c>
      <c r="K2241" s="2">
        <v>12.87</v>
      </c>
    </row>
    <row r="2242" spans="1:11" x14ac:dyDescent="0.35">
      <c r="A2242" s="1">
        <v>42589</v>
      </c>
      <c r="B2242" s="3">
        <f t="shared" ref="B2242:B2305" si="70">YEAR(A2242)</f>
        <v>2016</v>
      </c>
      <c r="C2242" s="3">
        <f t="shared" ref="C2242:C2305" si="71">MONTH(A2242)</f>
        <v>8</v>
      </c>
      <c r="D2242" t="s">
        <v>1922</v>
      </c>
      <c r="E2242" t="s">
        <v>17</v>
      </c>
      <c r="F2242" t="s">
        <v>13</v>
      </c>
      <c r="G2242" t="s">
        <v>14</v>
      </c>
      <c r="H2242" t="s">
        <v>1923</v>
      </c>
      <c r="I2242" s="2">
        <v>179.97</v>
      </c>
      <c r="J2242" s="3">
        <v>3</v>
      </c>
      <c r="K2242" s="2">
        <v>86.39</v>
      </c>
    </row>
    <row r="2243" spans="1:11" x14ac:dyDescent="0.35">
      <c r="A2243" s="1">
        <v>42650</v>
      </c>
      <c r="B2243" s="3">
        <f t="shared" si="70"/>
        <v>2016</v>
      </c>
      <c r="C2243" s="3">
        <f t="shared" si="71"/>
        <v>10</v>
      </c>
      <c r="D2243" t="s">
        <v>736</v>
      </c>
      <c r="E2243" t="s">
        <v>45</v>
      </c>
      <c r="F2243" t="s">
        <v>28</v>
      </c>
      <c r="G2243" t="s">
        <v>48</v>
      </c>
      <c r="H2243" t="s">
        <v>1483</v>
      </c>
      <c r="I2243" s="2">
        <v>27.26</v>
      </c>
      <c r="J2243" s="3">
        <v>2</v>
      </c>
      <c r="K2243" s="2">
        <v>8.86</v>
      </c>
    </row>
    <row r="2244" spans="1:11" x14ac:dyDescent="0.35">
      <c r="A2244" s="1">
        <v>42650</v>
      </c>
      <c r="B2244" s="3">
        <f t="shared" si="70"/>
        <v>2016</v>
      </c>
      <c r="C2244" s="3">
        <f t="shared" si="71"/>
        <v>10</v>
      </c>
      <c r="D2244" t="s">
        <v>1924</v>
      </c>
      <c r="E2244" t="s">
        <v>17</v>
      </c>
      <c r="F2244" t="s">
        <v>13</v>
      </c>
      <c r="G2244" t="s">
        <v>204</v>
      </c>
      <c r="H2244" t="s">
        <v>1123</v>
      </c>
      <c r="I2244" s="2">
        <v>837.6</v>
      </c>
      <c r="J2244" s="3">
        <v>3</v>
      </c>
      <c r="K2244" s="2">
        <v>62.82</v>
      </c>
    </row>
    <row r="2245" spans="1:11" x14ac:dyDescent="0.35">
      <c r="A2245" s="1">
        <v>42650</v>
      </c>
      <c r="B2245" s="3">
        <f t="shared" si="70"/>
        <v>2016</v>
      </c>
      <c r="C2245" s="3">
        <f t="shared" si="71"/>
        <v>10</v>
      </c>
      <c r="D2245" t="s">
        <v>1688</v>
      </c>
      <c r="E2245" t="s">
        <v>45</v>
      </c>
      <c r="F2245" t="s">
        <v>28</v>
      </c>
      <c r="G2245" t="s">
        <v>29</v>
      </c>
      <c r="H2245" t="s">
        <v>822</v>
      </c>
      <c r="I2245" s="2">
        <v>10.56</v>
      </c>
      <c r="J2245" s="3">
        <v>2</v>
      </c>
      <c r="K2245" s="2">
        <v>5.07</v>
      </c>
    </row>
    <row r="2246" spans="1:11" x14ac:dyDescent="0.35">
      <c r="A2246" s="1">
        <v>42650</v>
      </c>
      <c r="B2246" s="3">
        <f t="shared" si="70"/>
        <v>2016</v>
      </c>
      <c r="C2246" s="3">
        <f t="shared" si="71"/>
        <v>10</v>
      </c>
      <c r="D2246" t="s">
        <v>1925</v>
      </c>
      <c r="E2246" t="s">
        <v>89</v>
      </c>
      <c r="F2246" t="s">
        <v>28</v>
      </c>
      <c r="G2246" t="s">
        <v>46</v>
      </c>
      <c r="H2246" t="s">
        <v>1926</v>
      </c>
      <c r="I2246" s="2">
        <v>4.93</v>
      </c>
      <c r="J2246" s="3">
        <v>2</v>
      </c>
      <c r="K2246" s="2">
        <v>1.72</v>
      </c>
    </row>
    <row r="2247" spans="1:11" x14ac:dyDescent="0.35">
      <c r="A2247" s="1">
        <v>42650</v>
      </c>
      <c r="B2247" s="3">
        <f t="shared" si="70"/>
        <v>2016</v>
      </c>
      <c r="C2247" s="3">
        <f t="shared" si="71"/>
        <v>10</v>
      </c>
      <c r="D2247" t="s">
        <v>1469</v>
      </c>
      <c r="E2247" t="s">
        <v>17</v>
      </c>
      <c r="F2247" t="s">
        <v>28</v>
      </c>
      <c r="G2247" t="s">
        <v>33</v>
      </c>
      <c r="H2247" t="s">
        <v>529</v>
      </c>
      <c r="I2247" s="2">
        <v>93.36</v>
      </c>
      <c r="J2247" s="3">
        <v>12</v>
      </c>
      <c r="K2247" s="2">
        <v>0.93</v>
      </c>
    </row>
    <row r="2248" spans="1:11" x14ac:dyDescent="0.35">
      <c r="A2248" s="1">
        <v>42681</v>
      </c>
      <c r="B2248" s="3">
        <f t="shared" si="70"/>
        <v>2016</v>
      </c>
      <c r="C2248" s="3">
        <f t="shared" si="71"/>
        <v>11</v>
      </c>
      <c r="D2248" t="s">
        <v>1475</v>
      </c>
      <c r="E2248" t="s">
        <v>17</v>
      </c>
      <c r="F2248" t="s">
        <v>28</v>
      </c>
      <c r="G2248" t="s">
        <v>48</v>
      </c>
      <c r="H2248" t="s">
        <v>1927</v>
      </c>
      <c r="I2248" s="2">
        <v>27.68</v>
      </c>
      <c r="J2248" s="3">
        <v>2</v>
      </c>
      <c r="K2248" s="2">
        <v>9.69</v>
      </c>
    </row>
    <row r="2249" spans="1:11" x14ac:dyDescent="0.35">
      <c r="A2249" s="1">
        <v>42681</v>
      </c>
      <c r="B2249" s="3">
        <f t="shared" si="70"/>
        <v>2016</v>
      </c>
      <c r="C2249" s="3">
        <f t="shared" si="71"/>
        <v>11</v>
      </c>
      <c r="D2249" t="s">
        <v>1375</v>
      </c>
      <c r="E2249" t="s">
        <v>45</v>
      </c>
      <c r="F2249" t="s">
        <v>28</v>
      </c>
      <c r="G2249" t="s">
        <v>48</v>
      </c>
      <c r="H2249" t="s">
        <v>368</v>
      </c>
      <c r="I2249" s="2">
        <v>37.44</v>
      </c>
      <c r="J2249" s="3">
        <v>4</v>
      </c>
      <c r="K2249" s="2">
        <v>11.7</v>
      </c>
    </row>
    <row r="2250" spans="1:11" x14ac:dyDescent="0.35">
      <c r="A2250" s="1">
        <v>42681</v>
      </c>
      <c r="B2250" s="3">
        <f t="shared" si="70"/>
        <v>2016</v>
      </c>
      <c r="C2250" s="3">
        <f t="shared" si="71"/>
        <v>11</v>
      </c>
      <c r="D2250" t="s">
        <v>1375</v>
      </c>
      <c r="E2250" t="s">
        <v>45</v>
      </c>
      <c r="F2250" t="s">
        <v>28</v>
      </c>
      <c r="G2250" t="s">
        <v>48</v>
      </c>
      <c r="H2250" t="s">
        <v>1903</v>
      </c>
      <c r="I2250" s="2">
        <v>26.98</v>
      </c>
      <c r="J2250" s="3">
        <v>4</v>
      </c>
      <c r="K2250" s="2">
        <v>8.77</v>
      </c>
    </row>
    <row r="2251" spans="1:11" x14ac:dyDescent="0.35">
      <c r="A2251" s="1">
        <v>42681</v>
      </c>
      <c r="B2251" s="3">
        <f t="shared" si="70"/>
        <v>2016</v>
      </c>
      <c r="C2251" s="3">
        <f t="shared" si="71"/>
        <v>11</v>
      </c>
      <c r="D2251" t="s">
        <v>1375</v>
      </c>
      <c r="E2251" t="s">
        <v>45</v>
      </c>
      <c r="F2251" t="s">
        <v>28</v>
      </c>
      <c r="G2251" t="s">
        <v>215</v>
      </c>
      <c r="H2251" t="s">
        <v>1798</v>
      </c>
      <c r="I2251" s="2">
        <v>11.36</v>
      </c>
      <c r="J2251" s="3">
        <v>2</v>
      </c>
      <c r="K2251" s="2">
        <v>3.29</v>
      </c>
    </row>
    <row r="2252" spans="1:11" x14ac:dyDescent="0.35">
      <c r="A2252" s="1">
        <v>42681</v>
      </c>
      <c r="B2252" s="3">
        <f t="shared" si="70"/>
        <v>2016</v>
      </c>
      <c r="C2252" s="3">
        <f t="shared" si="71"/>
        <v>11</v>
      </c>
      <c r="D2252" t="s">
        <v>1375</v>
      </c>
      <c r="E2252" t="s">
        <v>45</v>
      </c>
      <c r="F2252" t="s">
        <v>28</v>
      </c>
      <c r="G2252" t="s">
        <v>46</v>
      </c>
      <c r="H2252" t="s">
        <v>1545</v>
      </c>
      <c r="I2252" s="2">
        <v>14.62</v>
      </c>
      <c r="J2252" s="3">
        <v>2</v>
      </c>
      <c r="K2252" s="2">
        <v>6.87</v>
      </c>
    </row>
    <row r="2253" spans="1:11" x14ac:dyDescent="0.35">
      <c r="A2253" s="1">
        <v>42681</v>
      </c>
      <c r="B2253" s="3">
        <f t="shared" si="70"/>
        <v>2016</v>
      </c>
      <c r="C2253" s="3">
        <f t="shared" si="71"/>
        <v>11</v>
      </c>
      <c r="D2253" t="s">
        <v>1097</v>
      </c>
      <c r="E2253" t="s">
        <v>45</v>
      </c>
      <c r="F2253" t="s">
        <v>18</v>
      </c>
      <c r="G2253" t="s">
        <v>36</v>
      </c>
      <c r="H2253" t="s">
        <v>1928</v>
      </c>
      <c r="I2253" s="2">
        <v>14.82</v>
      </c>
      <c r="J2253" s="3">
        <v>3</v>
      </c>
      <c r="K2253" s="2">
        <v>6.22</v>
      </c>
    </row>
    <row r="2254" spans="1:11" x14ac:dyDescent="0.35">
      <c r="A2254" s="1">
        <v>42681</v>
      </c>
      <c r="B2254" s="3">
        <f t="shared" si="70"/>
        <v>2016</v>
      </c>
      <c r="C2254" s="3">
        <f t="shared" si="71"/>
        <v>11</v>
      </c>
      <c r="D2254" t="s">
        <v>332</v>
      </c>
      <c r="E2254" t="s">
        <v>131</v>
      </c>
      <c r="F2254" t="s">
        <v>13</v>
      </c>
      <c r="G2254" t="s">
        <v>14</v>
      </c>
      <c r="H2254" t="s">
        <v>492</v>
      </c>
      <c r="I2254" s="2">
        <v>119.98</v>
      </c>
      <c r="J2254" s="3">
        <v>3</v>
      </c>
      <c r="K2254" s="2">
        <v>22.5</v>
      </c>
    </row>
    <row r="2255" spans="1:11" x14ac:dyDescent="0.35">
      <c r="A2255" s="1">
        <v>42681</v>
      </c>
      <c r="B2255" s="3">
        <f t="shared" si="70"/>
        <v>2016</v>
      </c>
      <c r="C2255" s="3">
        <f t="shared" si="71"/>
        <v>11</v>
      </c>
      <c r="D2255" t="s">
        <v>1688</v>
      </c>
      <c r="E2255" t="s">
        <v>62</v>
      </c>
      <c r="F2255" t="s">
        <v>28</v>
      </c>
      <c r="G2255" t="s">
        <v>33</v>
      </c>
      <c r="H2255" t="s">
        <v>1392</v>
      </c>
      <c r="I2255" s="2">
        <v>14.96</v>
      </c>
      <c r="J2255" s="3">
        <v>4</v>
      </c>
      <c r="K2255" s="2">
        <v>0.3</v>
      </c>
    </row>
    <row r="2256" spans="1:11" x14ac:dyDescent="0.35">
      <c r="A2256" s="1">
        <v>42681</v>
      </c>
      <c r="B2256" s="3">
        <f t="shared" si="70"/>
        <v>2016</v>
      </c>
      <c r="C2256" s="3">
        <f t="shared" si="71"/>
        <v>11</v>
      </c>
      <c r="D2256" t="s">
        <v>1929</v>
      </c>
      <c r="E2256" t="s">
        <v>45</v>
      </c>
      <c r="F2256" t="s">
        <v>28</v>
      </c>
      <c r="G2256" t="s">
        <v>29</v>
      </c>
      <c r="H2256" t="s">
        <v>1751</v>
      </c>
      <c r="I2256" s="2">
        <v>12.9</v>
      </c>
      <c r="J2256" s="3">
        <v>2</v>
      </c>
      <c r="K2256" s="2">
        <v>6.32</v>
      </c>
    </row>
    <row r="2257" spans="1:11" x14ac:dyDescent="0.35">
      <c r="A2257" s="1">
        <v>42681</v>
      </c>
      <c r="B2257" s="3">
        <f t="shared" si="70"/>
        <v>2016</v>
      </c>
      <c r="C2257" s="3">
        <f t="shared" si="71"/>
        <v>11</v>
      </c>
      <c r="D2257" t="s">
        <v>1862</v>
      </c>
      <c r="E2257" t="s">
        <v>1930</v>
      </c>
      <c r="F2257" t="s">
        <v>18</v>
      </c>
      <c r="G2257" t="s">
        <v>19</v>
      </c>
      <c r="H2257" t="s">
        <v>1086</v>
      </c>
      <c r="I2257" s="2">
        <v>1603.14</v>
      </c>
      <c r="J2257" s="3">
        <v>4</v>
      </c>
      <c r="K2257" s="2">
        <v>100.2</v>
      </c>
    </row>
    <row r="2258" spans="1:11" x14ac:dyDescent="0.35">
      <c r="A2258" s="1">
        <v>42681</v>
      </c>
      <c r="B2258" s="3">
        <f t="shared" si="70"/>
        <v>2016</v>
      </c>
      <c r="C2258" s="3">
        <f t="shared" si="71"/>
        <v>11</v>
      </c>
      <c r="D2258" t="s">
        <v>1012</v>
      </c>
      <c r="E2258" t="s">
        <v>22</v>
      </c>
      <c r="F2258" t="s">
        <v>13</v>
      </c>
      <c r="G2258" t="s">
        <v>23</v>
      </c>
      <c r="H2258" t="s">
        <v>903</v>
      </c>
      <c r="I2258" s="2">
        <v>263.95999999999998</v>
      </c>
      <c r="J2258" s="3">
        <v>4</v>
      </c>
      <c r="K2258" s="2">
        <v>71.27</v>
      </c>
    </row>
    <row r="2259" spans="1:11" x14ac:dyDescent="0.35">
      <c r="A2259" s="1">
        <v>42681</v>
      </c>
      <c r="B2259" s="3">
        <f t="shared" si="70"/>
        <v>2016</v>
      </c>
      <c r="C2259" s="3">
        <f t="shared" si="71"/>
        <v>11</v>
      </c>
      <c r="D2259" t="s">
        <v>1012</v>
      </c>
      <c r="E2259" t="s">
        <v>22</v>
      </c>
      <c r="F2259" t="s">
        <v>13</v>
      </c>
      <c r="G2259" t="s">
        <v>23</v>
      </c>
      <c r="H2259" t="s">
        <v>340</v>
      </c>
      <c r="I2259" s="2">
        <v>359.97</v>
      </c>
      <c r="J2259" s="3">
        <v>3</v>
      </c>
      <c r="K2259" s="2">
        <v>100.79</v>
      </c>
    </row>
    <row r="2260" spans="1:11" x14ac:dyDescent="0.35">
      <c r="A2260" s="1">
        <v>42681</v>
      </c>
      <c r="B2260" s="3">
        <f t="shared" si="70"/>
        <v>2016</v>
      </c>
      <c r="C2260" s="3">
        <f t="shared" si="71"/>
        <v>11</v>
      </c>
      <c r="D2260" t="s">
        <v>1012</v>
      </c>
      <c r="E2260" t="s">
        <v>22</v>
      </c>
      <c r="F2260" t="s">
        <v>28</v>
      </c>
      <c r="G2260" t="s">
        <v>29</v>
      </c>
      <c r="H2260" t="s">
        <v>1931</v>
      </c>
      <c r="I2260" s="2">
        <v>12.96</v>
      </c>
      <c r="J2260" s="3">
        <v>2</v>
      </c>
      <c r="K2260" s="2">
        <v>6.22</v>
      </c>
    </row>
    <row r="2261" spans="1:11" x14ac:dyDescent="0.35">
      <c r="A2261" s="1">
        <v>42681</v>
      </c>
      <c r="B2261" s="3">
        <f t="shared" si="70"/>
        <v>2016</v>
      </c>
      <c r="C2261" s="3">
        <f t="shared" si="71"/>
        <v>11</v>
      </c>
      <c r="D2261" t="s">
        <v>1012</v>
      </c>
      <c r="E2261" t="s">
        <v>22</v>
      </c>
      <c r="F2261" t="s">
        <v>28</v>
      </c>
      <c r="G2261" t="s">
        <v>38</v>
      </c>
      <c r="H2261" t="s">
        <v>1840</v>
      </c>
      <c r="I2261" s="2">
        <v>116.82</v>
      </c>
      <c r="J2261" s="3">
        <v>3</v>
      </c>
      <c r="K2261" s="2">
        <v>5.84</v>
      </c>
    </row>
    <row r="2262" spans="1:11" x14ac:dyDescent="0.35">
      <c r="A2262" s="1">
        <v>42681</v>
      </c>
      <c r="B2262" s="3">
        <f t="shared" si="70"/>
        <v>2016</v>
      </c>
      <c r="C2262" s="3">
        <f t="shared" si="71"/>
        <v>11</v>
      </c>
      <c r="D2262" t="s">
        <v>1012</v>
      </c>
      <c r="E2262" t="s">
        <v>22</v>
      </c>
      <c r="F2262" t="s">
        <v>28</v>
      </c>
      <c r="G2262" t="s">
        <v>48</v>
      </c>
      <c r="H2262" t="s">
        <v>1721</v>
      </c>
      <c r="I2262" s="2">
        <v>276.77999999999997</v>
      </c>
      <c r="J2262" s="3">
        <v>2</v>
      </c>
      <c r="K2262" s="2">
        <v>89.95</v>
      </c>
    </row>
    <row r="2263" spans="1:11" x14ac:dyDescent="0.35">
      <c r="A2263" s="1">
        <v>42681</v>
      </c>
      <c r="B2263" s="3">
        <f t="shared" si="70"/>
        <v>2016</v>
      </c>
      <c r="C2263" s="3">
        <f t="shared" si="71"/>
        <v>11</v>
      </c>
      <c r="D2263" t="s">
        <v>455</v>
      </c>
      <c r="E2263" t="s">
        <v>32</v>
      </c>
      <c r="F2263" t="s">
        <v>18</v>
      </c>
      <c r="G2263" t="s">
        <v>36</v>
      </c>
      <c r="H2263" t="s">
        <v>1932</v>
      </c>
      <c r="I2263" s="2">
        <v>44.46</v>
      </c>
      <c r="J2263" s="3">
        <v>5</v>
      </c>
      <c r="K2263" s="2">
        <v>-17.78</v>
      </c>
    </row>
    <row r="2264" spans="1:11" x14ac:dyDescent="0.35">
      <c r="A2264" s="1">
        <v>42681</v>
      </c>
      <c r="B2264" s="3">
        <f t="shared" si="70"/>
        <v>2016</v>
      </c>
      <c r="C2264" s="3">
        <f t="shared" si="71"/>
        <v>11</v>
      </c>
      <c r="D2264" t="s">
        <v>455</v>
      </c>
      <c r="E2264" t="s">
        <v>32</v>
      </c>
      <c r="F2264" t="s">
        <v>28</v>
      </c>
      <c r="G2264" t="s">
        <v>38</v>
      </c>
      <c r="H2264" t="s">
        <v>1933</v>
      </c>
      <c r="I2264" s="2">
        <v>314.08999999999997</v>
      </c>
      <c r="J2264" s="3">
        <v>3</v>
      </c>
      <c r="K2264" s="2">
        <v>19.63</v>
      </c>
    </row>
    <row r="2265" spans="1:11" x14ac:dyDescent="0.35">
      <c r="A2265" s="1">
        <v>42681</v>
      </c>
      <c r="B2265" s="3">
        <f t="shared" si="70"/>
        <v>2016</v>
      </c>
      <c r="C2265" s="3">
        <f t="shared" si="71"/>
        <v>11</v>
      </c>
      <c r="D2265" t="s">
        <v>391</v>
      </c>
      <c r="E2265" t="s">
        <v>45</v>
      </c>
      <c r="F2265" t="s">
        <v>13</v>
      </c>
      <c r="G2265" t="s">
        <v>14</v>
      </c>
      <c r="H2265" t="s">
        <v>457</v>
      </c>
      <c r="I2265" s="2">
        <v>479.97</v>
      </c>
      <c r="J2265" s="3">
        <v>3</v>
      </c>
      <c r="K2265" s="2">
        <v>163.19</v>
      </c>
    </row>
    <row r="2266" spans="1:11" x14ac:dyDescent="0.35">
      <c r="A2266" s="1">
        <v>42681</v>
      </c>
      <c r="B2266" s="3">
        <f t="shared" si="70"/>
        <v>2016</v>
      </c>
      <c r="C2266" s="3">
        <f t="shared" si="71"/>
        <v>11</v>
      </c>
      <c r="D2266" t="s">
        <v>1934</v>
      </c>
      <c r="E2266" t="s">
        <v>45</v>
      </c>
      <c r="F2266" t="s">
        <v>28</v>
      </c>
      <c r="G2266" t="s">
        <v>48</v>
      </c>
      <c r="H2266" t="s">
        <v>1935</v>
      </c>
      <c r="I2266" s="2">
        <v>57.58</v>
      </c>
      <c r="J2266" s="3">
        <v>2</v>
      </c>
      <c r="K2266" s="2">
        <v>20.149999999999999</v>
      </c>
    </row>
    <row r="2267" spans="1:11" x14ac:dyDescent="0.35">
      <c r="A2267" s="1">
        <v>42377</v>
      </c>
      <c r="B2267" s="3">
        <f t="shared" si="70"/>
        <v>2016</v>
      </c>
      <c r="C2267" s="3">
        <f t="shared" si="71"/>
        <v>1</v>
      </c>
      <c r="D2267" t="s">
        <v>117</v>
      </c>
      <c r="E2267" t="s">
        <v>12</v>
      </c>
      <c r="F2267" t="s">
        <v>18</v>
      </c>
      <c r="G2267" t="s">
        <v>237</v>
      </c>
      <c r="H2267" t="s">
        <v>962</v>
      </c>
      <c r="I2267" s="2">
        <v>1565.88</v>
      </c>
      <c r="J2267" s="3">
        <v>6</v>
      </c>
      <c r="K2267" s="2">
        <v>407.13</v>
      </c>
    </row>
    <row r="2268" spans="1:11" x14ac:dyDescent="0.35">
      <c r="A2268" s="1">
        <v>42377</v>
      </c>
      <c r="B2268" s="3">
        <f t="shared" si="70"/>
        <v>2016</v>
      </c>
      <c r="C2268" s="3">
        <f t="shared" si="71"/>
        <v>1</v>
      </c>
      <c r="D2268" t="s">
        <v>117</v>
      </c>
      <c r="E2268" t="s">
        <v>12</v>
      </c>
      <c r="F2268" t="s">
        <v>28</v>
      </c>
      <c r="G2268" t="s">
        <v>48</v>
      </c>
      <c r="H2268" t="s">
        <v>1797</v>
      </c>
      <c r="I2268" s="2">
        <v>106.05</v>
      </c>
      <c r="J2268" s="3">
        <v>7</v>
      </c>
      <c r="K2268" s="2">
        <v>49.84</v>
      </c>
    </row>
    <row r="2269" spans="1:11" x14ac:dyDescent="0.35">
      <c r="A2269" s="1">
        <v>42377</v>
      </c>
      <c r="B2269" s="3">
        <f t="shared" si="70"/>
        <v>2016</v>
      </c>
      <c r="C2269" s="3">
        <f t="shared" si="71"/>
        <v>1</v>
      </c>
      <c r="D2269" t="s">
        <v>589</v>
      </c>
      <c r="E2269" t="s">
        <v>81</v>
      </c>
      <c r="F2269" t="s">
        <v>28</v>
      </c>
      <c r="G2269" t="s">
        <v>48</v>
      </c>
      <c r="H2269" t="s">
        <v>1039</v>
      </c>
      <c r="I2269" s="2">
        <v>30.83</v>
      </c>
      <c r="J2269" s="3">
        <v>7</v>
      </c>
      <c r="K2269" s="2">
        <v>-24.66</v>
      </c>
    </row>
    <row r="2270" spans="1:11" x14ac:dyDescent="0.35">
      <c r="A2270" s="1">
        <v>42377</v>
      </c>
      <c r="B2270" s="3">
        <f t="shared" si="70"/>
        <v>2016</v>
      </c>
      <c r="C2270" s="3">
        <f t="shared" si="71"/>
        <v>1</v>
      </c>
      <c r="D2270" t="s">
        <v>589</v>
      </c>
      <c r="E2270" t="s">
        <v>81</v>
      </c>
      <c r="F2270" t="s">
        <v>28</v>
      </c>
      <c r="G2270" t="s">
        <v>64</v>
      </c>
      <c r="H2270" t="s">
        <v>358</v>
      </c>
      <c r="I2270" s="2">
        <v>47.62</v>
      </c>
      <c r="J2270" s="3">
        <v>3</v>
      </c>
      <c r="K2270" s="2">
        <v>5.95</v>
      </c>
    </row>
    <row r="2271" spans="1:11" x14ac:dyDescent="0.35">
      <c r="A2271" s="1">
        <v>42377</v>
      </c>
      <c r="B2271" s="3">
        <f t="shared" si="70"/>
        <v>2016</v>
      </c>
      <c r="C2271" s="3">
        <f t="shared" si="71"/>
        <v>1</v>
      </c>
      <c r="D2271" t="s">
        <v>589</v>
      </c>
      <c r="E2271" t="s">
        <v>81</v>
      </c>
      <c r="F2271" t="s">
        <v>13</v>
      </c>
      <c r="G2271" t="s">
        <v>23</v>
      </c>
      <c r="H2271" t="s">
        <v>1906</v>
      </c>
      <c r="I2271" s="2">
        <v>108.78</v>
      </c>
      <c r="J2271" s="3">
        <v>2</v>
      </c>
      <c r="K2271" s="2">
        <v>10.88</v>
      </c>
    </row>
    <row r="2272" spans="1:11" x14ac:dyDescent="0.35">
      <c r="A2272" s="1">
        <v>42408</v>
      </c>
      <c r="B2272" s="3">
        <f t="shared" si="70"/>
        <v>2016</v>
      </c>
      <c r="C2272" s="3">
        <f t="shared" si="71"/>
        <v>2</v>
      </c>
      <c r="D2272" t="s">
        <v>1936</v>
      </c>
      <c r="E2272" t="s">
        <v>81</v>
      </c>
      <c r="F2272" t="s">
        <v>13</v>
      </c>
      <c r="G2272" t="s">
        <v>23</v>
      </c>
      <c r="H2272" t="s">
        <v>1937</v>
      </c>
      <c r="I2272" s="2">
        <v>1127.98</v>
      </c>
      <c r="J2272" s="3">
        <v>3</v>
      </c>
      <c r="K2272" s="2">
        <v>126.9</v>
      </c>
    </row>
    <row r="2273" spans="1:11" x14ac:dyDescent="0.35">
      <c r="A2273" s="1">
        <v>42408</v>
      </c>
      <c r="B2273" s="3">
        <f t="shared" si="70"/>
        <v>2016</v>
      </c>
      <c r="C2273" s="3">
        <f t="shared" si="71"/>
        <v>2</v>
      </c>
      <c r="D2273" t="s">
        <v>349</v>
      </c>
      <c r="E2273" t="s">
        <v>32</v>
      </c>
      <c r="F2273" t="s">
        <v>18</v>
      </c>
      <c r="G2273" t="s">
        <v>19</v>
      </c>
      <c r="H2273" t="s">
        <v>35</v>
      </c>
      <c r="I2273" s="2">
        <v>241.5</v>
      </c>
      <c r="J2273" s="3">
        <v>4</v>
      </c>
      <c r="K2273" s="2">
        <v>0</v>
      </c>
    </row>
    <row r="2274" spans="1:11" x14ac:dyDescent="0.35">
      <c r="A2274" s="1">
        <v>42437</v>
      </c>
      <c r="B2274" s="3">
        <f t="shared" si="70"/>
        <v>2016</v>
      </c>
      <c r="C2274" s="3">
        <f t="shared" si="71"/>
        <v>3</v>
      </c>
      <c r="D2274" t="s">
        <v>1938</v>
      </c>
      <c r="E2274" t="s">
        <v>77</v>
      </c>
      <c r="F2274" t="s">
        <v>13</v>
      </c>
      <c r="G2274" t="s">
        <v>23</v>
      </c>
      <c r="H2274" t="s">
        <v>785</v>
      </c>
      <c r="I2274" s="2">
        <v>1363.96</v>
      </c>
      <c r="J2274" s="3">
        <v>5</v>
      </c>
      <c r="K2274" s="2">
        <v>85.25</v>
      </c>
    </row>
    <row r="2275" spans="1:11" x14ac:dyDescent="0.35">
      <c r="A2275" s="1">
        <v>42437</v>
      </c>
      <c r="B2275" s="3">
        <f t="shared" si="70"/>
        <v>2016</v>
      </c>
      <c r="C2275" s="3">
        <f t="shared" si="71"/>
        <v>3</v>
      </c>
      <c r="D2275" t="s">
        <v>1938</v>
      </c>
      <c r="E2275" t="s">
        <v>77</v>
      </c>
      <c r="F2275" t="s">
        <v>18</v>
      </c>
      <c r="G2275" t="s">
        <v>36</v>
      </c>
      <c r="H2275" t="s">
        <v>932</v>
      </c>
      <c r="I2275" s="2">
        <v>102.36</v>
      </c>
      <c r="J2275" s="3">
        <v>3</v>
      </c>
      <c r="K2275" s="2">
        <v>-3.84</v>
      </c>
    </row>
    <row r="2276" spans="1:11" x14ac:dyDescent="0.35">
      <c r="A2276" s="1">
        <v>42437</v>
      </c>
      <c r="B2276" s="3">
        <f t="shared" si="70"/>
        <v>2016</v>
      </c>
      <c r="C2276" s="3">
        <f t="shared" si="71"/>
        <v>3</v>
      </c>
      <c r="D2276" t="s">
        <v>750</v>
      </c>
      <c r="E2276" t="s">
        <v>211</v>
      </c>
      <c r="F2276" t="s">
        <v>28</v>
      </c>
      <c r="G2276" t="s">
        <v>48</v>
      </c>
      <c r="H2276" t="s">
        <v>350</v>
      </c>
      <c r="I2276" s="2">
        <v>9.6999999999999993</v>
      </c>
      <c r="J2276" s="3">
        <v>3</v>
      </c>
      <c r="K2276" s="2">
        <v>-7.11</v>
      </c>
    </row>
    <row r="2277" spans="1:11" x14ac:dyDescent="0.35">
      <c r="A2277" s="1">
        <v>42437</v>
      </c>
      <c r="B2277" s="3">
        <f t="shared" si="70"/>
        <v>2016</v>
      </c>
      <c r="C2277" s="3">
        <f t="shared" si="71"/>
        <v>3</v>
      </c>
      <c r="D2277" t="s">
        <v>1670</v>
      </c>
      <c r="E2277" t="s">
        <v>89</v>
      </c>
      <c r="F2277" t="s">
        <v>13</v>
      </c>
      <c r="G2277" t="s">
        <v>23</v>
      </c>
      <c r="H2277" t="s">
        <v>156</v>
      </c>
      <c r="I2277" s="2">
        <v>108.58</v>
      </c>
      <c r="J2277" s="3">
        <v>4</v>
      </c>
      <c r="K2277" s="2">
        <v>-25.33</v>
      </c>
    </row>
    <row r="2278" spans="1:11" x14ac:dyDescent="0.35">
      <c r="A2278" s="1">
        <v>42437</v>
      </c>
      <c r="B2278" s="3">
        <f t="shared" si="70"/>
        <v>2016</v>
      </c>
      <c r="C2278" s="3">
        <f t="shared" si="71"/>
        <v>3</v>
      </c>
      <c r="D2278" t="s">
        <v>1670</v>
      </c>
      <c r="E2278" t="s">
        <v>89</v>
      </c>
      <c r="F2278" t="s">
        <v>28</v>
      </c>
      <c r="G2278" t="s">
        <v>33</v>
      </c>
      <c r="H2278" t="s">
        <v>1392</v>
      </c>
      <c r="I2278" s="2">
        <v>5.98</v>
      </c>
      <c r="J2278" s="3">
        <v>2</v>
      </c>
      <c r="K2278" s="2">
        <v>-1.35</v>
      </c>
    </row>
    <row r="2279" spans="1:11" x14ac:dyDescent="0.35">
      <c r="A2279" s="1">
        <v>42437</v>
      </c>
      <c r="B2279" s="3">
        <f t="shared" si="70"/>
        <v>2016</v>
      </c>
      <c r="C2279" s="3">
        <f t="shared" si="71"/>
        <v>3</v>
      </c>
      <c r="D2279" t="s">
        <v>1614</v>
      </c>
      <c r="E2279" t="s">
        <v>22</v>
      </c>
      <c r="F2279" t="s">
        <v>18</v>
      </c>
      <c r="G2279" t="s">
        <v>36</v>
      </c>
      <c r="H2279" t="s">
        <v>1159</v>
      </c>
      <c r="I2279" s="2">
        <v>113.6</v>
      </c>
      <c r="J2279" s="3">
        <v>8</v>
      </c>
      <c r="K2279" s="2">
        <v>44.3</v>
      </c>
    </row>
    <row r="2280" spans="1:11" x14ac:dyDescent="0.35">
      <c r="A2280" s="1">
        <v>42437</v>
      </c>
      <c r="B2280" s="3">
        <f t="shared" si="70"/>
        <v>2016</v>
      </c>
      <c r="C2280" s="3">
        <f t="shared" si="71"/>
        <v>3</v>
      </c>
      <c r="D2280" t="s">
        <v>1614</v>
      </c>
      <c r="E2280" t="s">
        <v>22</v>
      </c>
      <c r="F2280" t="s">
        <v>28</v>
      </c>
      <c r="G2280" t="s">
        <v>29</v>
      </c>
      <c r="H2280" t="s">
        <v>1939</v>
      </c>
      <c r="I2280" s="2">
        <v>12.96</v>
      </c>
      <c r="J2280" s="3">
        <v>2</v>
      </c>
      <c r="K2280" s="2">
        <v>6.35</v>
      </c>
    </row>
    <row r="2281" spans="1:11" x14ac:dyDescent="0.35">
      <c r="A2281" s="1">
        <v>42437</v>
      </c>
      <c r="B2281" s="3">
        <f t="shared" si="70"/>
        <v>2016</v>
      </c>
      <c r="C2281" s="3">
        <f t="shared" si="71"/>
        <v>3</v>
      </c>
      <c r="D2281" t="s">
        <v>1614</v>
      </c>
      <c r="E2281" t="s">
        <v>22</v>
      </c>
      <c r="F2281" t="s">
        <v>28</v>
      </c>
      <c r="G2281" t="s">
        <v>48</v>
      </c>
      <c r="H2281" t="s">
        <v>649</v>
      </c>
      <c r="I2281" s="2">
        <v>69.459999999999994</v>
      </c>
      <c r="J2281" s="3">
        <v>2</v>
      </c>
      <c r="K2281" s="2">
        <v>22.57</v>
      </c>
    </row>
    <row r="2282" spans="1:11" x14ac:dyDescent="0.35">
      <c r="A2282" s="1">
        <v>42437</v>
      </c>
      <c r="B2282" s="3">
        <f t="shared" si="70"/>
        <v>2016</v>
      </c>
      <c r="C2282" s="3">
        <f t="shared" si="71"/>
        <v>3</v>
      </c>
      <c r="D2282" t="s">
        <v>1940</v>
      </c>
      <c r="E2282" t="s">
        <v>32</v>
      </c>
      <c r="F2282" t="s">
        <v>28</v>
      </c>
      <c r="G2282" t="s">
        <v>48</v>
      </c>
      <c r="H2282" t="s">
        <v>1133</v>
      </c>
      <c r="I2282" s="2">
        <v>8.86</v>
      </c>
      <c r="J2282" s="3">
        <v>9</v>
      </c>
      <c r="K2282" s="2">
        <v>-14.17</v>
      </c>
    </row>
    <row r="2283" spans="1:11" x14ac:dyDescent="0.35">
      <c r="A2283" s="1">
        <v>42437</v>
      </c>
      <c r="B2283" s="3">
        <f t="shared" si="70"/>
        <v>2016</v>
      </c>
      <c r="C2283" s="3">
        <f t="shared" si="71"/>
        <v>3</v>
      </c>
      <c r="D2283" t="s">
        <v>1940</v>
      </c>
      <c r="E2283" t="s">
        <v>32</v>
      </c>
      <c r="F2283" t="s">
        <v>13</v>
      </c>
      <c r="G2283" t="s">
        <v>14</v>
      </c>
      <c r="H2283" t="s">
        <v>1941</v>
      </c>
      <c r="I2283" s="2">
        <v>27.96</v>
      </c>
      <c r="J2283" s="3">
        <v>5</v>
      </c>
      <c r="K2283" s="2">
        <v>8.39</v>
      </c>
    </row>
    <row r="2284" spans="1:11" x14ac:dyDescent="0.35">
      <c r="A2284" s="1">
        <v>42437</v>
      </c>
      <c r="B2284" s="3">
        <f t="shared" si="70"/>
        <v>2016</v>
      </c>
      <c r="C2284" s="3">
        <f t="shared" si="71"/>
        <v>3</v>
      </c>
      <c r="D2284" t="s">
        <v>1940</v>
      </c>
      <c r="E2284" t="s">
        <v>32</v>
      </c>
      <c r="F2284" t="s">
        <v>28</v>
      </c>
      <c r="G2284" t="s">
        <v>158</v>
      </c>
      <c r="H2284" t="s">
        <v>1942</v>
      </c>
      <c r="I2284" s="2">
        <v>146.35</v>
      </c>
      <c r="J2284" s="3">
        <v>3</v>
      </c>
      <c r="K2284" s="2">
        <v>49.39</v>
      </c>
    </row>
    <row r="2285" spans="1:11" x14ac:dyDescent="0.35">
      <c r="A2285" s="1">
        <v>42437</v>
      </c>
      <c r="B2285" s="3">
        <f t="shared" si="70"/>
        <v>2016</v>
      </c>
      <c r="C2285" s="3">
        <f t="shared" si="71"/>
        <v>3</v>
      </c>
      <c r="D2285" t="s">
        <v>333</v>
      </c>
      <c r="E2285" t="s">
        <v>71</v>
      </c>
      <c r="F2285" t="s">
        <v>28</v>
      </c>
      <c r="G2285" t="s">
        <v>58</v>
      </c>
      <c r="H2285" t="s">
        <v>1943</v>
      </c>
      <c r="I2285" s="2">
        <v>207.14</v>
      </c>
      <c r="J2285" s="3">
        <v>3</v>
      </c>
      <c r="K2285" s="2">
        <v>48.33</v>
      </c>
    </row>
    <row r="2286" spans="1:11" x14ac:dyDescent="0.35">
      <c r="A2286" s="1">
        <v>42437</v>
      </c>
      <c r="B2286" s="3">
        <f t="shared" si="70"/>
        <v>2016</v>
      </c>
      <c r="C2286" s="3">
        <f t="shared" si="71"/>
        <v>3</v>
      </c>
      <c r="D2286" t="s">
        <v>333</v>
      </c>
      <c r="E2286" t="s">
        <v>71</v>
      </c>
      <c r="F2286" t="s">
        <v>28</v>
      </c>
      <c r="G2286" t="s">
        <v>64</v>
      </c>
      <c r="H2286" t="s">
        <v>779</v>
      </c>
      <c r="I2286" s="2">
        <v>13.9</v>
      </c>
      <c r="J2286" s="3">
        <v>5</v>
      </c>
      <c r="K2286" s="2">
        <v>3.75</v>
      </c>
    </row>
    <row r="2287" spans="1:11" x14ac:dyDescent="0.35">
      <c r="A2287" s="1">
        <v>42468</v>
      </c>
      <c r="B2287" s="3">
        <f t="shared" si="70"/>
        <v>2016</v>
      </c>
      <c r="C2287" s="3">
        <f t="shared" si="71"/>
        <v>4</v>
      </c>
      <c r="D2287" t="s">
        <v>1944</v>
      </c>
      <c r="E2287" t="s">
        <v>22</v>
      </c>
      <c r="F2287" t="s">
        <v>18</v>
      </c>
      <c r="G2287" t="s">
        <v>237</v>
      </c>
      <c r="H2287" t="s">
        <v>1945</v>
      </c>
      <c r="I2287" s="2">
        <v>388.7</v>
      </c>
      <c r="J2287" s="3">
        <v>6</v>
      </c>
      <c r="K2287" s="2">
        <v>-4.8600000000000003</v>
      </c>
    </row>
    <row r="2288" spans="1:11" x14ac:dyDescent="0.35">
      <c r="A2288" s="1">
        <v>42468</v>
      </c>
      <c r="B2288" s="3">
        <f t="shared" si="70"/>
        <v>2016</v>
      </c>
      <c r="C2288" s="3">
        <f t="shared" si="71"/>
        <v>4</v>
      </c>
      <c r="D2288" t="s">
        <v>1944</v>
      </c>
      <c r="E2288" t="s">
        <v>22</v>
      </c>
      <c r="F2288" t="s">
        <v>28</v>
      </c>
      <c r="G2288" t="s">
        <v>158</v>
      </c>
      <c r="H2288" t="s">
        <v>1199</v>
      </c>
      <c r="I2288" s="2">
        <v>8.26</v>
      </c>
      <c r="J2288" s="3">
        <v>2</v>
      </c>
      <c r="K2288" s="2">
        <v>3.8</v>
      </c>
    </row>
    <row r="2289" spans="1:11" x14ac:dyDescent="0.35">
      <c r="A2289" s="1">
        <v>42468</v>
      </c>
      <c r="B2289" s="3">
        <f t="shared" si="70"/>
        <v>2016</v>
      </c>
      <c r="C2289" s="3">
        <f t="shared" si="71"/>
        <v>4</v>
      </c>
      <c r="D2289" t="s">
        <v>1944</v>
      </c>
      <c r="E2289" t="s">
        <v>22</v>
      </c>
      <c r="F2289" t="s">
        <v>28</v>
      </c>
      <c r="G2289" t="s">
        <v>64</v>
      </c>
      <c r="H2289" t="s">
        <v>523</v>
      </c>
      <c r="I2289" s="2">
        <v>17.04</v>
      </c>
      <c r="J2289" s="3">
        <v>4</v>
      </c>
      <c r="K2289" s="2">
        <v>6.99</v>
      </c>
    </row>
    <row r="2290" spans="1:11" x14ac:dyDescent="0.35">
      <c r="A2290" s="1">
        <v>42468</v>
      </c>
      <c r="B2290" s="3">
        <f t="shared" si="70"/>
        <v>2016</v>
      </c>
      <c r="C2290" s="3">
        <f t="shared" si="71"/>
        <v>4</v>
      </c>
      <c r="D2290" t="s">
        <v>1944</v>
      </c>
      <c r="E2290" t="s">
        <v>22</v>
      </c>
      <c r="F2290" t="s">
        <v>28</v>
      </c>
      <c r="G2290" t="s">
        <v>29</v>
      </c>
      <c r="H2290" t="s">
        <v>1546</v>
      </c>
      <c r="I2290" s="2">
        <v>34.4</v>
      </c>
      <c r="J2290" s="3">
        <v>5</v>
      </c>
      <c r="K2290" s="2">
        <v>15.82</v>
      </c>
    </row>
    <row r="2291" spans="1:11" x14ac:dyDescent="0.35">
      <c r="A2291" s="1">
        <v>42468</v>
      </c>
      <c r="B2291" s="3">
        <f t="shared" si="70"/>
        <v>2016</v>
      </c>
      <c r="C2291" s="3">
        <f t="shared" si="71"/>
        <v>4</v>
      </c>
      <c r="D2291" t="s">
        <v>798</v>
      </c>
      <c r="E2291" t="s">
        <v>45</v>
      </c>
      <c r="F2291" t="s">
        <v>28</v>
      </c>
      <c r="G2291" t="s">
        <v>29</v>
      </c>
      <c r="H2291" t="s">
        <v>1946</v>
      </c>
      <c r="I2291" s="2">
        <v>20.04</v>
      </c>
      <c r="J2291" s="3">
        <v>3</v>
      </c>
      <c r="K2291" s="2">
        <v>9.6199999999999992</v>
      </c>
    </row>
    <row r="2292" spans="1:11" x14ac:dyDescent="0.35">
      <c r="A2292" s="1">
        <v>42468</v>
      </c>
      <c r="B2292" s="3">
        <f t="shared" si="70"/>
        <v>2016</v>
      </c>
      <c r="C2292" s="3">
        <f t="shared" si="71"/>
        <v>4</v>
      </c>
      <c r="D2292" t="s">
        <v>798</v>
      </c>
      <c r="E2292" t="s">
        <v>45</v>
      </c>
      <c r="F2292" t="s">
        <v>28</v>
      </c>
      <c r="G2292" t="s">
        <v>38</v>
      </c>
      <c r="H2292" t="s">
        <v>884</v>
      </c>
      <c r="I2292" s="2">
        <v>64.959999999999994</v>
      </c>
      <c r="J2292" s="3">
        <v>2</v>
      </c>
      <c r="K2292" s="2">
        <v>2.6</v>
      </c>
    </row>
    <row r="2293" spans="1:11" x14ac:dyDescent="0.35">
      <c r="A2293" s="1">
        <v>42468</v>
      </c>
      <c r="B2293" s="3">
        <f t="shared" si="70"/>
        <v>2016</v>
      </c>
      <c r="C2293" s="3">
        <f t="shared" si="71"/>
        <v>4</v>
      </c>
      <c r="D2293" t="s">
        <v>798</v>
      </c>
      <c r="E2293" t="s">
        <v>45</v>
      </c>
      <c r="F2293" t="s">
        <v>28</v>
      </c>
      <c r="G2293" t="s">
        <v>29</v>
      </c>
      <c r="H2293" t="s">
        <v>873</v>
      </c>
      <c r="I2293" s="2">
        <v>12.96</v>
      </c>
      <c r="J2293" s="3">
        <v>2</v>
      </c>
      <c r="K2293" s="2">
        <v>6.22</v>
      </c>
    </row>
    <row r="2294" spans="1:11" x14ac:dyDescent="0.35">
      <c r="A2294" s="1">
        <v>42468</v>
      </c>
      <c r="B2294" s="3">
        <f t="shared" si="70"/>
        <v>2016</v>
      </c>
      <c r="C2294" s="3">
        <f t="shared" si="71"/>
        <v>4</v>
      </c>
      <c r="D2294" t="s">
        <v>1938</v>
      </c>
      <c r="E2294" t="s">
        <v>32</v>
      </c>
      <c r="F2294" t="s">
        <v>13</v>
      </c>
      <c r="G2294" t="s">
        <v>14</v>
      </c>
      <c r="H2294" t="s">
        <v>1947</v>
      </c>
      <c r="I2294" s="2">
        <v>431.93</v>
      </c>
      <c r="J2294" s="3">
        <v>9</v>
      </c>
      <c r="K2294" s="2">
        <v>64.790000000000006</v>
      </c>
    </row>
    <row r="2295" spans="1:11" x14ac:dyDescent="0.35">
      <c r="A2295" s="1">
        <v>42468</v>
      </c>
      <c r="B2295" s="3">
        <f t="shared" si="70"/>
        <v>2016</v>
      </c>
      <c r="C2295" s="3">
        <f t="shared" si="71"/>
        <v>4</v>
      </c>
      <c r="D2295" t="s">
        <v>1938</v>
      </c>
      <c r="E2295" t="s">
        <v>32</v>
      </c>
      <c r="F2295" t="s">
        <v>18</v>
      </c>
      <c r="G2295" t="s">
        <v>19</v>
      </c>
      <c r="H2295" t="s">
        <v>1559</v>
      </c>
      <c r="I2295" s="2">
        <v>95.98</v>
      </c>
      <c r="J2295" s="3">
        <v>4</v>
      </c>
      <c r="K2295" s="2">
        <v>-4.1100000000000003</v>
      </c>
    </row>
    <row r="2296" spans="1:11" x14ac:dyDescent="0.35">
      <c r="A2296" s="1">
        <v>42468</v>
      </c>
      <c r="B2296" s="3">
        <f t="shared" si="70"/>
        <v>2016</v>
      </c>
      <c r="C2296" s="3">
        <f t="shared" si="71"/>
        <v>4</v>
      </c>
      <c r="D2296" t="s">
        <v>1938</v>
      </c>
      <c r="E2296" t="s">
        <v>32</v>
      </c>
      <c r="F2296" t="s">
        <v>28</v>
      </c>
      <c r="G2296" t="s">
        <v>48</v>
      </c>
      <c r="H2296" t="s">
        <v>1663</v>
      </c>
      <c r="I2296" s="2">
        <v>1088.79</v>
      </c>
      <c r="J2296" s="3">
        <v>4</v>
      </c>
      <c r="K2296" s="2">
        <v>-1850.95</v>
      </c>
    </row>
    <row r="2297" spans="1:11" x14ac:dyDescent="0.35">
      <c r="A2297" s="1">
        <v>42468</v>
      </c>
      <c r="B2297" s="3">
        <f t="shared" si="70"/>
        <v>2016</v>
      </c>
      <c r="C2297" s="3">
        <f t="shared" si="71"/>
        <v>4</v>
      </c>
      <c r="D2297" t="s">
        <v>1518</v>
      </c>
      <c r="E2297" t="s">
        <v>131</v>
      </c>
      <c r="F2297" t="s">
        <v>28</v>
      </c>
      <c r="G2297" t="s">
        <v>158</v>
      </c>
      <c r="H2297" t="s">
        <v>1948</v>
      </c>
      <c r="I2297" s="2">
        <v>8.8699999999999992</v>
      </c>
      <c r="J2297" s="3">
        <v>1</v>
      </c>
      <c r="K2297" s="2">
        <v>3.22</v>
      </c>
    </row>
    <row r="2298" spans="1:11" x14ac:dyDescent="0.35">
      <c r="A2298" s="1">
        <v>42468</v>
      </c>
      <c r="B2298" s="3">
        <f t="shared" si="70"/>
        <v>2016</v>
      </c>
      <c r="C2298" s="3">
        <f t="shared" si="71"/>
        <v>4</v>
      </c>
      <c r="D2298" t="s">
        <v>1518</v>
      </c>
      <c r="E2298" t="s">
        <v>131</v>
      </c>
      <c r="F2298" t="s">
        <v>28</v>
      </c>
      <c r="G2298" t="s">
        <v>48</v>
      </c>
      <c r="H2298" t="s">
        <v>600</v>
      </c>
      <c r="I2298" s="2">
        <v>121.1</v>
      </c>
      <c r="J2298" s="3">
        <v>6</v>
      </c>
      <c r="K2298" s="2">
        <v>-100.92</v>
      </c>
    </row>
    <row r="2299" spans="1:11" x14ac:dyDescent="0.35">
      <c r="A2299" s="1">
        <v>42468</v>
      </c>
      <c r="B2299" s="3">
        <f t="shared" si="70"/>
        <v>2016</v>
      </c>
      <c r="C2299" s="3">
        <f t="shared" si="71"/>
        <v>4</v>
      </c>
      <c r="D2299" t="s">
        <v>1567</v>
      </c>
      <c r="E2299" t="s">
        <v>45</v>
      </c>
      <c r="F2299" t="s">
        <v>18</v>
      </c>
      <c r="G2299" t="s">
        <v>36</v>
      </c>
      <c r="H2299" t="s">
        <v>1928</v>
      </c>
      <c r="I2299" s="2">
        <v>24.7</v>
      </c>
      <c r="J2299" s="3">
        <v>5</v>
      </c>
      <c r="K2299" s="2">
        <v>10.37</v>
      </c>
    </row>
    <row r="2300" spans="1:11" x14ac:dyDescent="0.35">
      <c r="A2300" s="1">
        <v>42468</v>
      </c>
      <c r="B2300" s="3">
        <f t="shared" si="70"/>
        <v>2016</v>
      </c>
      <c r="C2300" s="3">
        <f t="shared" si="71"/>
        <v>4</v>
      </c>
      <c r="D2300" t="s">
        <v>750</v>
      </c>
      <c r="E2300" t="s">
        <v>165</v>
      </c>
      <c r="F2300" t="s">
        <v>28</v>
      </c>
      <c r="G2300" t="s">
        <v>158</v>
      </c>
      <c r="H2300" t="s">
        <v>1949</v>
      </c>
      <c r="I2300" s="2">
        <v>17.920000000000002</v>
      </c>
      <c r="J2300" s="3">
        <v>4</v>
      </c>
      <c r="K2300" s="2">
        <v>8.6</v>
      </c>
    </row>
    <row r="2301" spans="1:11" x14ac:dyDescent="0.35">
      <c r="A2301" s="1">
        <v>42468</v>
      </c>
      <c r="B2301" s="3">
        <f t="shared" si="70"/>
        <v>2016</v>
      </c>
      <c r="C2301" s="3">
        <f t="shared" si="71"/>
        <v>4</v>
      </c>
      <c r="D2301" t="s">
        <v>909</v>
      </c>
      <c r="E2301" t="s">
        <v>165</v>
      </c>
      <c r="F2301" t="s">
        <v>18</v>
      </c>
      <c r="G2301" t="s">
        <v>237</v>
      </c>
      <c r="H2301" t="s">
        <v>1950</v>
      </c>
      <c r="I2301" s="2">
        <v>354.9</v>
      </c>
      <c r="J2301" s="3">
        <v>5</v>
      </c>
      <c r="K2301" s="2">
        <v>88.73</v>
      </c>
    </row>
    <row r="2302" spans="1:11" x14ac:dyDescent="0.35">
      <c r="A2302" s="1">
        <v>42468</v>
      </c>
      <c r="B2302" s="3">
        <f t="shared" si="70"/>
        <v>2016</v>
      </c>
      <c r="C2302" s="3">
        <f t="shared" si="71"/>
        <v>4</v>
      </c>
      <c r="D2302" t="s">
        <v>179</v>
      </c>
      <c r="E2302" t="s">
        <v>67</v>
      </c>
      <c r="F2302" t="s">
        <v>28</v>
      </c>
      <c r="G2302" t="s">
        <v>33</v>
      </c>
      <c r="H2302" t="s">
        <v>518</v>
      </c>
      <c r="I2302" s="2">
        <v>30</v>
      </c>
      <c r="J2302" s="3">
        <v>6</v>
      </c>
      <c r="K2302" s="2">
        <v>14.4</v>
      </c>
    </row>
    <row r="2303" spans="1:11" x14ac:dyDescent="0.35">
      <c r="A2303" s="1">
        <v>42468</v>
      </c>
      <c r="B2303" s="3">
        <f t="shared" si="70"/>
        <v>2016</v>
      </c>
      <c r="C2303" s="3">
        <f t="shared" si="71"/>
        <v>4</v>
      </c>
      <c r="D2303" t="s">
        <v>179</v>
      </c>
      <c r="E2303" t="s">
        <v>67</v>
      </c>
      <c r="F2303" t="s">
        <v>28</v>
      </c>
      <c r="G2303" t="s">
        <v>29</v>
      </c>
      <c r="H2303" t="s">
        <v>1939</v>
      </c>
      <c r="I2303" s="2">
        <v>25.92</v>
      </c>
      <c r="J2303" s="3">
        <v>4</v>
      </c>
      <c r="K2303" s="2">
        <v>12.7</v>
      </c>
    </row>
    <row r="2304" spans="1:11" x14ac:dyDescent="0.35">
      <c r="A2304" s="1">
        <v>42468</v>
      </c>
      <c r="B2304" s="3">
        <f t="shared" si="70"/>
        <v>2016</v>
      </c>
      <c r="C2304" s="3">
        <f t="shared" si="71"/>
        <v>4</v>
      </c>
      <c r="D2304" t="s">
        <v>179</v>
      </c>
      <c r="E2304" t="s">
        <v>67</v>
      </c>
      <c r="F2304" t="s">
        <v>18</v>
      </c>
      <c r="G2304" t="s">
        <v>36</v>
      </c>
      <c r="H2304" t="s">
        <v>1951</v>
      </c>
      <c r="I2304" s="2">
        <v>159.91999999999999</v>
      </c>
      <c r="J2304" s="3">
        <v>4</v>
      </c>
      <c r="K2304" s="2">
        <v>31.98</v>
      </c>
    </row>
    <row r="2305" spans="1:11" x14ac:dyDescent="0.35">
      <c r="A2305" s="1">
        <v>42498</v>
      </c>
      <c r="B2305" s="3">
        <f t="shared" si="70"/>
        <v>2016</v>
      </c>
      <c r="C2305" s="3">
        <f t="shared" si="71"/>
        <v>5</v>
      </c>
      <c r="D2305" t="s">
        <v>1292</v>
      </c>
      <c r="E2305" t="s">
        <v>876</v>
      </c>
      <c r="F2305" t="s">
        <v>18</v>
      </c>
      <c r="G2305" t="s">
        <v>36</v>
      </c>
      <c r="H2305" t="s">
        <v>1952</v>
      </c>
      <c r="I2305" s="2">
        <v>211.96</v>
      </c>
      <c r="J2305" s="3">
        <v>2</v>
      </c>
      <c r="K2305" s="2">
        <v>42.39</v>
      </c>
    </row>
    <row r="2306" spans="1:11" x14ac:dyDescent="0.35">
      <c r="A2306" s="1">
        <v>42498</v>
      </c>
      <c r="B2306" s="3">
        <f t="shared" ref="B2306:B2369" si="72">YEAR(A2306)</f>
        <v>2016</v>
      </c>
      <c r="C2306" s="3">
        <f t="shared" ref="C2306:C2369" si="73">MONTH(A2306)</f>
        <v>5</v>
      </c>
      <c r="D2306" t="s">
        <v>197</v>
      </c>
      <c r="E2306" t="s">
        <v>131</v>
      </c>
      <c r="F2306" t="s">
        <v>28</v>
      </c>
      <c r="G2306" t="s">
        <v>38</v>
      </c>
      <c r="H2306" t="s">
        <v>193</v>
      </c>
      <c r="I2306" s="2">
        <v>1006.06</v>
      </c>
      <c r="J2306" s="3">
        <v>3</v>
      </c>
      <c r="K2306" s="2">
        <v>88.03</v>
      </c>
    </row>
    <row r="2307" spans="1:11" x14ac:dyDescent="0.35">
      <c r="A2307" s="1">
        <v>42498</v>
      </c>
      <c r="B2307" s="3">
        <f t="shared" si="72"/>
        <v>2016</v>
      </c>
      <c r="C2307" s="3">
        <f t="shared" si="73"/>
        <v>5</v>
      </c>
      <c r="D2307" t="s">
        <v>197</v>
      </c>
      <c r="E2307" t="s">
        <v>131</v>
      </c>
      <c r="F2307" t="s">
        <v>28</v>
      </c>
      <c r="G2307" t="s">
        <v>29</v>
      </c>
      <c r="H2307" t="s">
        <v>170</v>
      </c>
      <c r="I2307" s="2">
        <v>10.69</v>
      </c>
      <c r="J2307" s="3">
        <v>2</v>
      </c>
      <c r="K2307" s="2">
        <v>3.74</v>
      </c>
    </row>
    <row r="2308" spans="1:11" x14ac:dyDescent="0.35">
      <c r="A2308" s="1">
        <v>42498</v>
      </c>
      <c r="B2308" s="3">
        <f t="shared" si="72"/>
        <v>2016</v>
      </c>
      <c r="C2308" s="3">
        <f t="shared" si="73"/>
        <v>5</v>
      </c>
      <c r="D2308" t="s">
        <v>197</v>
      </c>
      <c r="E2308" t="s">
        <v>131</v>
      </c>
      <c r="F2308" t="s">
        <v>28</v>
      </c>
      <c r="G2308" t="s">
        <v>29</v>
      </c>
      <c r="H2308" t="s">
        <v>1561</v>
      </c>
      <c r="I2308" s="2">
        <v>10.37</v>
      </c>
      <c r="J2308" s="3">
        <v>2</v>
      </c>
      <c r="K2308" s="2">
        <v>3.63</v>
      </c>
    </row>
    <row r="2309" spans="1:11" x14ac:dyDescent="0.35">
      <c r="A2309" s="1">
        <v>42498</v>
      </c>
      <c r="B2309" s="3">
        <f t="shared" si="72"/>
        <v>2016</v>
      </c>
      <c r="C2309" s="3">
        <f t="shared" si="73"/>
        <v>5</v>
      </c>
      <c r="D2309" t="s">
        <v>197</v>
      </c>
      <c r="E2309" t="s">
        <v>131</v>
      </c>
      <c r="F2309" t="s">
        <v>28</v>
      </c>
      <c r="G2309" t="s">
        <v>38</v>
      </c>
      <c r="H2309" t="s">
        <v>1296</v>
      </c>
      <c r="I2309" s="2">
        <v>25.12</v>
      </c>
      <c r="J2309" s="3">
        <v>2</v>
      </c>
      <c r="K2309" s="2">
        <v>1.57</v>
      </c>
    </row>
    <row r="2310" spans="1:11" x14ac:dyDescent="0.35">
      <c r="A2310" s="1">
        <v>42498</v>
      </c>
      <c r="B2310" s="3">
        <f t="shared" si="72"/>
        <v>2016</v>
      </c>
      <c r="C2310" s="3">
        <f t="shared" si="73"/>
        <v>5</v>
      </c>
      <c r="D2310" t="s">
        <v>197</v>
      </c>
      <c r="E2310" t="s">
        <v>131</v>
      </c>
      <c r="F2310" t="s">
        <v>13</v>
      </c>
      <c r="G2310" t="s">
        <v>14</v>
      </c>
      <c r="H2310" t="s">
        <v>906</v>
      </c>
      <c r="I2310" s="2">
        <v>58.11</v>
      </c>
      <c r="J2310" s="3">
        <v>2</v>
      </c>
      <c r="K2310" s="2">
        <v>7.26</v>
      </c>
    </row>
    <row r="2311" spans="1:11" x14ac:dyDescent="0.35">
      <c r="A2311" s="1">
        <v>42498</v>
      </c>
      <c r="B2311" s="3">
        <f t="shared" si="72"/>
        <v>2016</v>
      </c>
      <c r="C2311" s="3">
        <f t="shared" si="73"/>
        <v>5</v>
      </c>
      <c r="D2311" t="s">
        <v>567</v>
      </c>
      <c r="E2311" t="s">
        <v>45</v>
      </c>
      <c r="F2311" t="s">
        <v>28</v>
      </c>
      <c r="G2311" t="s">
        <v>29</v>
      </c>
      <c r="H2311" t="s">
        <v>1314</v>
      </c>
      <c r="I2311" s="2">
        <v>17.940000000000001</v>
      </c>
      <c r="J2311" s="3">
        <v>3</v>
      </c>
      <c r="K2311" s="2">
        <v>8.07</v>
      </c>
    </row>
    <row r="2312" spans="1:11" x14ac:dyDescent="0.35">
      <c r="A2312" s="1">
        <v>42559</v>
      </c>
      <c r="B2312" s="3">
        <f t="shared" si="72"/>
        <v>2016</v>
      </c>
      <c r="C2312" s="3">
        <f t="shared" si="73"/>
        <v>7</v>
      </c>
      <c r="D2312" t="s">
        <v>1882</v>
      </c>
      <c r="E2312" t="s">
        <v>32</v>
      </c>
      <c r="F2312" t="s">
        <v>13</v>
      </c>
      <c r="G2312" t="s">
        <v>23</v>
      </c>
      <c r="H2312" t="s">
        <v>1953</v>
      </c>
      <c r="I2312" s="2">
        <v>863.64</v>
      </c>
      <c r="J2312" s="3">
        <v>9</v>
      </c>
      <c r="K2312" s="2">
        <v>107.96</v>
      </c>
    </row>
    <row r="2313" spans="1:11" x14ac:dyDescent="0.35">
      <c r="A2313" s="1">
        <v>42559</v>
      </c>
      <c r="B2313" s="3">
        <f t="shared" si="72"/>
        <v>2016</v>
      </c>
      <c r="C2313" s="3">
        <f t="shared" si="73"/>
        <v>7</v>
      </c>
      <c r="D2313" t="s">
        <v>1882</v>
      </c>
      <c r="E2313" t="s">
        <v>32</v>
      </c>
      <c r="F2313" t="s">
        <v>28</v>
      </c>
      <c r="G2313" t="s">
        <v>64</v>
      </c>
      <c r="H2313" t="s">
        <v>425</v>
      </c>
      <c r="I2313" s="2">
        <v>47.62</v>
      </c>
      <c r="J2313" s="3">
        <v>3</v>
      </c>
      <c r="K2313" s="2">
        <v>3.57</v>
      </c>
    </row>
    <row r="2314" spans="1:11" x14ac:dyDescent="0.35">
      <c r="A2314" s="1">
        <v>42559</v>
      </c>
      <c r="B2314" s="3">
        <f t="shared" si="72"/>
        <v>2016</v>
      </c>
      <c r="C2314" s="3">
        <f t="shared" si="73"/>
        <v>7</v>
      </c>
      <c r="D2314" t="s">
        <v>1702</v>
      </c>
      <c r="E2314" t="s">
        <v>103</v>
      </c>
      <c r="F2314" t="s">
        <v>28</v>
      </c>
      <c r="G2314" t="s">
        <v>48</v>
      </c>
      <c r="H2314" t="s">
        <v>1863</v>
      </c>
      <c r="I2314" s="2">
        <v>19.97</v>
      </c>
      <c r="J2314" s="3">
        <v>2</v>
      </c>
      <c r="K2314" s="2">
        <v>-13.31</v>
      </c>
    </row>
    <row r="2315" spans="1:11" x14ac:dyDescent="0.35">
      <c r="A2315" s="1">
        <v>42559</v>
      </c>
      <c r="B2315" s="3">
        <f t="shared" si="72"/>
        <v>2016</v>
      </c>
      <c r="C2315" s="3">
        <f t="shared" si="73"/>
        <v>7</v>
      </c>
      <c r="D2315" t="s">
        <v>1702</v>
      </c>
      <c r="E2315" t="s">
        <v>103</v>
      </c>
      <c r="F2315" t="s">
        <v>28</v>
      </c>
      <c r="G2315" t="s">
        <v>38</v>
      </c>
      <c r="H2315" t="s">
        <v>776</v>
      </c>
      <c r="I2315" s="2">
        <v>33.49</v>
      </c>
      <c r="J2315" s="3">
        <v>7</v>
      </c>
      <c r="K2315" s="2">
        <v>-1.26</v>
      </c>
    </row>
    <row r="2316" spans="1:11" x14ac:dyDescent="0.35">
      <c r="A2316" s="1">
        <v>42559</v>
      </c>
      <c r="B2316" s="3">
        <f t="shared" si="72"/>
        <v>2016</v>
      </c>
      <c r="C2316" s="3">
        <f t="shared" si="73"/>
        <v>7</v>
      </c>
      <c r="D2316" t="s">
        <v>1702</v>
      </c>
      <c r="E2316" t="s">
        <v>103</v>
      </c>
      <c r="F2316" t="s">
        <v>28</v>
      </c>
      <c r="G2316" t="s">
        <v>48</v>
      </c>
      <c r="H2316" t="s">
        <v>1484</v>
      </c>
      <c r="I2316" s="2">
        <v>8.74</v>
      </c>
      <c r="J2316" s="3">
        <v>4</v>
      </c>
      <c r="K2316" s="2">
        <v>-6.12</v>
      </c>
    </row>
    <row r="2317" spans="1:11" x14ac:dyDescent="0.35">
      <c r="A2317" s="1">
        <v>42559</v>
      </c>
      <c r="B2317" s="3">
        <f t="shared" si="72"/>
        <v>2016</v>
      </c>
      <c r="C2317" s="3">
        <f t="shared" si="73"/>
        <v>7</v>
      </c>
      <c r="D2317" t="s">
        <v>1702</v>
      </c>
      <c r="E2317" t="s">
        <v>103</v>
      </c>
      <c r="F2317" t="s">
        <v>18</v>
      </c>
      <c r="G2317" t="s">
        <v>19</v>
      </c>
      <c r="H2317" t="s">
        <v>703</v>
      </c>
      <c r="I2317" s="2">
        <v>662.88</v>
      </c>
      <c r="J2317" s="3">
        <v>3</v>
      </c>
      <c r="K2317" s="2">
        <v>74.569999999999993</v>
      </c>
    </row>
    <row r="2318" spans="1:11" x14ac:dyDescent="0.35">
      <c r="A2318" s="1">
        <v>42559</v>
      </c>
      <c r="B2318" s="3">
        <f t="shared" si="72"/>
        <v>2016</v>
      </c>
      <c r="C2318" s="3">
        <f t="shared" si="73"/>
        <v>7</v>
      </c>
      <c r="D2318" t="s">
        <v>401</v>
      </c>
      <c r="E2318" t="s">
        <v>17</v>
      </c>
      <c r="F2318" t="s">
        <v>13</v>
      </c>
      <c r="G2318" t="s">
        <v>23</v>
      </c>
      <c r="H2318" t="s">
        <v>1954</v>
      </c>
      <c r="I2318" s="2">
        <v>107.98</v>
      </c>
      <c r="J2318" s="3">
        <v>1</v>
      </c>
      <c r="K2318" s="2">
        <v>9.4499999999999993</v>
      </c>
    </row>
    <row r="2319" spans="1:11" x14ac:dyDescent="0.35">
      <c r="A2319" s="1">
        <v>42559</v>
      </c>
      <c r="B2319" s="3">
        <f t="shared" si="72"/>
        <v>2016</v>
      </c>
      <c r="C2319" s="3">
        <f t="shared" si="73"/>
        <v>7</v>
      </c>
      <c r="D2319" t="s">
        <v>401</v>
      </c>
      <c r="E2319" t="s">
        <v>17</v>
      </c>
      <c r="F2319" t="s">
        <v>28</v>
      </c>
      <c r="G2319" t="s">
        <v>48</v>
      </c>
      <c r="H2319" t="s">
        <v>442</v>
      </c>
      <c r="I2319" s="2">
        <v>19.3</v>
      </c>
      <c r="J2319" s="3">
        <v>3</v>
      </c>
      <c r="K2319" s="2">
        <v>6.03</v>
      </c>
    </row>
    <row r="2320" spans="1:11" x14ac:dyDescent="0.35">
      <c r="A2320" s="1">
        <v>42559</v>
      </c>
      <c r="B2320" s="3">
        <f t="shared" si="72"/>
        <v>2016</v>
      </c>
      <c r="C2320" s="3">
        <f t="shared" si="73"/>
        <v>7</v>
      </c>
      <c r="D2320" t="s">
        <v>1735</v>
      </c>
      <c r="E2320" t="s">
        <v>77</v>
      </c>
      <c r="F2320" t="s">
        <v>13</v>
      </c>
      <c r="G2320" t="s">
        <v>23</v>
      </c>
      <c r="H2320" t="s">
        <v>1955</v>
      </c>
      <c r="I2320" s="2">
        <v>823.96</v>
      </c>
      <c r="J2320" s="3">
        <v>5</v>
      </c>
      <c r="K2320" s="2">
        <v>51.5</v>
      </c>
    </row>
    <row r="2321" spans="1:11" x14ac:dyDescent="0.35">
      <c r="A2321" s="1">
        <v>42559</v>
      </c>
      <c r="B2321" s="3">
        <f t="shared" si="72"/>
        <v>2016</v>
      </c>
      <c r="C2321" s="3">
        <f t="shared" si="73"/>
        <v>7</v>
      </c>
      <c r="D2321" t="s">
        <v>1735</v>
      </c>
      <c r="E2321" t="s">
        <v>77</v>
      </c>
      <c r="F2321" t="s">
        <v>28</v>
      </c>
      <c r="G2321" t="s">
        <v>29</v>
      </c>
      <c r="H2321" t="s">
        <v>1956</v>
      </c>
      <c r="I2321" s="2">
        <v>15.98</v>
      </c>
      <c r="J2321" s="3">
        <v>2</v>
      </c>
      <c r="K2321" s="2">
        <v>5</v>
      </c>
    </row>
    <row r="2322" spans="1:11" x14ac:dyDescent="0.35">
      <c r="A2322" s="1">
        <v>42559</v>
      </c>
      <c r="B2322" s="3">
        <f t="shared" si="72"/>
        <v>2016</v>
      </c>
      <c r="C2322" s="3">
        <f t="shared" si="73"/>
        <v>7</v>
      </c>
      <c r="D2322" t="s">
        <v>1957</v>
      </c>
      <c r="E2322" t="s">
        <v>1125</v>
      </c>
      <c r="F2322" t="s">
        <v>28</v>
      </c>
      <c r="G2322" t="s">
        <v>29</v>
      </c>
      <c r="H2322" t="s">
        <v>974</v>
      </c>
      <c r="I2322" s="2">
        <v>12.96</v>
      </c>
      <c r="J2322" s="3">
        <v>2</v>
      </c>
      <c r="K2322" s="2">
        <v>6.22</v>
      </c>
    </row>
    <row r="2323" spans="1:11" x14ac:dyDescent="0.35">
      <c r="A2323" s="1">
        <v>42590</v>
      </c>
      <c r="B2323" s="3">
        <f t="shared" si="72"/>
        <v>2016</v>
      </c>
      <c r="C2323" s="3">
        <f t="shared" si="73"/>
        <v>8</v>
      </c>
      <c r="D2323" t="s">
        <v>933</v>
      </c>
      <c r="E2323" t="s">
        <v>32</v>
      </c>
      <c r="F2323" t="s">
        <v>28</v>
      </c>
      <c r="G2323" t="s">
        <v>33</v>
      </c>
      <c r="H2323" t="s">
        <v>409</v>
      </c>
      <c r="I2323" s="2">
        <v>11.17</v>
      </c>
      <c r="J2323" s="3">
        <v>4</v>
      </c>
      <c r="K2323" s="2">
        <v>3.63</v>
      </c>
    </row>
    <row r="2324" spans="1:11" x14ac:dyDescent="0.35">
      <c r="A2324" s="1">
        <v>42590</v>
      </c>
      <c r="B2324" s="3">
        <f t="shared" si="72"/>
        <v>2016</v>
      </c>
      <c r="C2324" s="3">
        <f t="shared" si="73"/>
        <v>8</v>
      </c>
      <c r="D2324" t="s">
        <v>933</v>
      </c>
      <c r="E2324" t="s">
        <v>32</v>
      </c>
      <c r="F2324" t="s">
        <v>28</v>
      </c>
      <c r="G2324" t="s">
        <v>29</v>
      </c>
      <c r="H2324" t="s">
        <v>1958</v>
      </c>
      <c r="I2324" s="2">
        <v>53.95</v>
      </c>
      <c r="J2324" s="3">
        <v>3</v>
      </c>
      <c r="K2324" s="2">
        <v>17.53</v>
      </c>
    </row>
    <row r="2325" spans="1:11" x14ac:dyDescent="0.35">
      <c r="A2325" s="1">
        <v>42590</v>
      </c>
      <c r="B2325" s="3">
        <f t="shared" si="72"/>
        <v>2016</v>
      </c>
      <c r="C2325" s="3">
        <f t="shared" si="73"/>
        <v>8</v>
      </c>
      <c r="D2325" t="s">
        <v>1196</v>
      </c>
      <c r="E2325" t="s">
        <v>456</v>
      </c>
      <c r="F2325" t="s">
        <v>28</v>
      </c>
      <c r="G2325" t="s">
        <v>33</v>
      </c>
      <c r="H2325" t="s">
        <v>529</v>
      </c>
      <c r="I2325" s="2">
        <v>23.34</v>
      </c>
      <c r="J2325" s="3">
        <v>3</v>
      </c>
      <c r="K2325" s="2">
        <v>0.23</v>
      </c>
    </row>
    <row r="2326" spans="1:11" x14ac:dyDescent="0.35">
      <c r="A2326" s="1">
        <v>42590</v>
      </c>
      <c r="B2326" s="3">
        <f t="shared" si="72"/>
        <v>2016</v>
      </c>
      <c r="C2326" s="3">
        <f t="shared" si="73"/>
        <v>8</v>
      </c>
      <c r="D2326" t="s">
        <v>1287</v>
      </c>
      <c r="E2326" t="s">
        <v>45</v>
      </c>
      <c r="F2326" t="s">
        <v>18</v>
      </c>
      <c r="G2326" t="s">
        <v>42</v>
      </c>
      <c r="H2326" t="s">
        <v>1959</v>
      </c>
      <c r="I2326" s="2">
        <v>513.02</v>
      </c>
      <c r="J2326" s="3">
        <v>2</v>
      </c>
      <c r="K2326" s="2">
        <v>12.83</v>
      </c>
    </row>
    <row r="2327" spans="1:11" x14ac:dyDescent="0.35">
      <c r="A2327" s="1">
        <v>42590</v>
      </c>
      <c r="B2327" s="3">
        <f t="shared" si="72"/>
        <v>2016</v>
      </c>
      <c r="C2327" s="3">
        <f t="shared" si="73"/>
        <v>8</v>
      </c>
      <c r="D2327" t="s">
        <v>1287</v>
      </c>
      <c r="E2327" t="s">
        <v>45</v>
      </c>
      <c r="F2327" t="s">
        <v>28</v>
      </c>
      <c r="G2327" t="s">
        <v>58</v>
      </c>
      <c r="H2327" t="s">
        <v>1553</v>
      </c>
      <c r="I2327" s="2">
        <v>487.92</v>
      </c>
      <c r="J2327" s="3">
        <v>6</v>
      </c>
      <c r="K2327" s="2">
        <v>136.62</v>
      </c>
    </row>
    <row r="2328" spans="1:11" x14ac:dyDescent="0.35">
      <c r="A2328" s="1">
        <v>42590</v>
      </c>
      <c r="B2328" s="3">
        <f t="shared" si="72"/>
        <v>2016</v>
      </c>
      <c r="C2328" s="3">
        <f t="shared" si="73"/>
        <v>8</v>
      </c>
      <c r="D2328" t="s">
        <v>1287</v>
      </c>
      <c r="E2328" t="s">
        <v>45</v>
      </c>
      <c r="F2328" t="s">
        <v>28</v>
      </c>
      <c r="G2328" t="s">
        <v>48</v>
      </c>
      <c r="H2328" t="s">
        <v>1326</v>
      </c>
      <c r="I2328" s="2">
        <v>15.24</v>
      </c>
      <c r="J2328" s="3">
        <v>5</v>
      </c>
      <c r="K2328" s="2">
        <v>5.33</v>
      </c>
    </row>
    <row r="2329" spans="1:11" x14ac:dyDescent="0.35">
      <c r="A2329" s="1">
        <v>42590</v>
      </c>
      <c r="B2329" s="3">
        <f t="shared" si="72"/>
        <v>2016</v>
      </c>
      <c r="C2329" s="3">
        <f t="shared" si="73"/>
        <v>8</v>
      </c>
      <c r="D2329" t="s">
        <v>1379</v>
      </c>
      <c r="E2329" t="s">
        <v>339</v>
      </c>
      <c r="F2329" t="s">
        <v>28</v>
      </c>
      <c r="G2329" t="s">
        <v>29</v>
      </c>
      <c r="H2329" t="s">
        <v>1960</v>
      </c>
      <c r="I2329" s="2">
        <v>10.56</v>
      </c>
      <c r="J2329" s="3">
        <v>2</v>
      </c>
      <c r="K2329" s="2">
        <v>4.75</v>
      </c>
    </row>
    <row r="2330" spans="1:11" x14ac:dyDescent="0.35">
      <c r="A2330" s="1">
        <v>42621</v>
      </c>
      <c r="B2330" s="3">
        <f t="shared" si="72"/>
        <v>2016</v>
      </c>
      <c r="C2330" s="3">
        <f t="shared" si="73"/>
        <v>9</v>
      </c>
      <c r="D2330" t="s">
        <v>1363</v>
      </c>
      <c r="E2330" t="s">
        <v>32</v>
      </c>
      <c r="F2330" t="s">
        <v>28</v>
      </c>
      <c r="G2330" t="s">
        <v>38</v>
      </c>
      <c r="H2330" t="s">
        <v>1689</v>
      </c>
      <c r="I2330" s="2">
        <v>35.950000000000003</v>
      </c>
      <c r="J2330" s="3">
        <v>3</v>
      </c>
      <c r="K2330" s="2">
        <v>3.6</v>
      </c>
    </row>
    <row r="2331" spans="1:11" x14ac:dyDescent="0.35">
      <c r="A2331" s="1">
        <v>42621</v>
      </c>
      <c r="B2331" s="3">
        <f t="shared" si="72"/>
        <v>2016</v>
      </c>
      <c r="C2331" s="3">
        <f t="shared" si="73"/>
        <v>9</v>
      </c>
      <c r="D2331" t="s">
        <v>1363</v>
      </c>
      <c r="E2331" t="s">
        <v>32</v>
      </c>
      <c r="F2331" t="s">
        <v>18</v>
      </c>
      <c r="G2331" t="s">
        <v>237</v>
      </c>
      <c r="H2331" t="s">
        <v>1457</v>
      </c>
      <c r="I2331" s="2">
        <v>2396.27</v>
      </c>
      <c r="J2331" s="3">
        <v>4</v>
      </c>
      <c r="K2331" s="2">
        <v>-317.14999999999998</v>
      </c>
    </row>
    <row r="2332" spans="1:11" x14ac:dyDescent="0.35">
      <c r="A2332" s="1">
        <v>42621</v>
      </c>
      <c r="B2332" s="3">
        <f t="shared" si="72"/>
        <v>2016</v>
      </c>
      <c r="C2332" s="3">
        <f t="shared" si="73"/>
        <v>9</v>
      </c>
      <c r="D2332" t="s">
        <v>1363</v>
      </c>
      <c r="E2332" t="s">
        <v>32</v>
      </c>
      <c r="F2332" t="s">
        <v>28</v>
      </c>
      <c r="G2332" t="s">
        <v>38</v>
      </c>
      <c r="H2332" t="s">
        <v>603</v>
      </c>
      <c r="I2332" s="2">
        <v>131.13999999999999</v>
      </c>
      <c r="J2332" s="3">
        <v>4</v>
      </c>
      <c r="K2332" s="2">
        <v>-32.78</v>
      </c>
    </row>
    <row r="2333" spans="1:11" x14ac:dyDescent="0.35">
      <c r="A2333" s="1">
        <v>42621</v>
      </c>
      <c r="B2333" s="3">
        <f t="shared" si="72"/>
        <v>2016</v>
      </c>
      <c r="C2333" s="3">
        <f t="shared" si="73"/>
        <v>9</v>
      </c>
      <c r="D2333" t="s">
        <v>1363</v>
      </c>
      <c r="E2333" t="s">
        <v>32</v>
      </c>
      <c r="F2333" t="s">
        <v>13</v>
      </c>
      <c r="G2333" t="s">
        <v>14</v>
      </c>
      <c r="H2333" t="s">
        <v>1961</v>
      </c>
      <c r="I2333" s="2">
        <v>57.58</v>
      </c>
      <c r="J2333" s="3">
        <v>2</v>
      </c>
      <c r="K2333" s="2">
        <v>0.72</v>
      </c>
    </row>
    <row r="2334" spans="1:11" x14ac:dyDescent="0.35">
      <c r="A2334" s="1">
        <v>42621</v>
      </c>
      <c r="B2334" s="3">
        <f t="shared" si="72"/>
        <v>2016</v>
      </c>
      <c r="C2334" s="3">
        <f t="shared" si="73"/>
        <v>9</v>
      </c>
      <c r="D2334" t="s">
        <v>611</v>
      </c>
      <c r="E2334" t="s">
        <v>45</v>
      </c>
      <c r="F2334" t="s">
        <v>28</v>
      </c>
      <c r="G2334" t="s">
        <v>48</v>
      </c>
      <c r="H2334" t="s">
        <v>1962</v>
      </c>
      <c r="I2334" s="2">
        <v>33.020000000000003</v>
      </c>
      <c r="J2334" s="3">
        <v>2</v>
      </c>
      <c r="K2334" s="2">
        <v>11.56</v>
      </c>
    </row>
    <row r="2335" spans="1:11" x14ac:dyDescent="0.35">
      <c r="A2335" s="1">
        <v>42621</v>
      </c>
      <c r="B2335" s="3">
        <f t="shared" si="72"/>
        <v>2016</v>
      </c>
      <c r="C2335" s="3">
        <f t="shared" si="73"/>
        <v>9</v>
      </c>
      <c r="D2335" t="s">
        <v>611</v>
      </c>
      <c r="E2335" t="s">
        <v>45</v>
      </c>
      <c r="F2335" t="s">
        <v>28</v>
      </c>
      <c r="G2335" t="s">
        <v>48</v>
      </c>
      <c r="H2335" t="s">
        <v>1860</v>
      </c>
      <c r="I2335" s="2">
        <v>67.14</v>
      </c>
      <c r="J2335" s="3">
        <v>4</v>
      </c>
      <c r="K2335" s="2">
        <v>23.5</v>
      </c>
    </row>
    <row r="2336" spans="1:11" x14ac:dyDescent="0.35">
      <c r="A2336" s="1">
        <v>42621</v>
      </c>
      <c r="B2336" s="3">
        <f t="shared" si="72"/>
        <v>2016</v>
      </c>
      <c r="C2336" s="3">
        <f t="shared" si="73"/>
        <v>9</v>
      </c>
      <c r="D2336" t="s">
        <v>264</v>
      </c>
      <c r="E2336" t="s">
        <v>51</v>
      </c>
      <c r="F2336" t="s">
        <v>18</v>
      </c>
      <c r="G2336" t="s">
        <v>237</v>
      </c>
      <c r="H2336" t="s">
        <v>1591</v>
      </c>
      <c r="I2336" s="2">
        <v>173.94</v>
      </c>
      <c r="J2336" s="3">
        <v>3</v>
      </c>
      <c r="K2336" s="2">
        <v>13.92</v>
      </c>
    </row>
    <row r="2337" spans="1:11" x14ac:dyDescent="0.35">
      <c r="A2337" s="1">
        <v>42621</v>
      </c>
      <c r="B2337" s="3">
        <f t="shared" si="72"/>
        <v>2016</v>
      </c>
      <c r="C2337" s="3">
        <f t="shared" si="73"/>
        <v>9</v>
      </c>
      <c r="D2337" t="s">
        <v>264</v>
      </c>
      <c r="E2337" t="s">
        <v>51</v>
      </c>
      <c r="F2337" t="s">
        <v>28</v>
      </c>
      <c r="G2337" t="s">
        <v>46</v>
      </c>
      <c r="H2337" t="s">
        <v>1963</v>
      </c>
      <c r="I2337" s="2">
        <v>14.76</v>
      </c>
      <c r="J2337" s="3">
        <v>4</v>
      </c>
      <c r="K2337" s="2">
        <v>6.94</v>
      </c>
    </row>
    <row r="2338" spans="1:11" x14ac:dyDescent="0.35">
      <c r="A2338" s="1">
        <v>42621</v>
      </c>
      <c r="B2338" s="3">
        <f t="shared" si="72"/>
        <v>2016</v>
      </c>
      <c r="C2338" s="3">
        <f t="shared" si="73"/>
        <v>9</v>
      </c>
      <c r="D2338" t="s">
        <v>897</v>
      </c>
      <c r="E2338" t="s">
        <v>26</v>
      </c>
      <c r="F2338" t="s">
        <v>18</v>
      </c>
      <c r="G2338" t="s">
        <v>36</v>
      </c>
      <c r="H2338" t="s">
        <v>411</v>
      </c>
      <c r="I2338" s="2">
        <v>14.14</v>
      </c>
      <c r="J2338" s="3">
        <v>2</v>
      </c>
      <c r="K2338" s="2">
        <v>-7.77</v>
      </c>
    </row>
    <row r="2339" spans="1:11" x14ac:dyDescent="0.35">
      <c r="A2339" s="1">
        <v>42621</v>
      </c>
      <c r="B2339" s="3">
        <f t="shared" si="72"/>
        <v>2016</v>
      </c>
      <c r="C2339" s="3">
        <f t="shared" si="73"/>
        <v>9</v>
      </c>
      <c r="D2339" t="s">
        <v>897</v>
      </c>
      <c r="E2339" t="s">
        <v>26</v>
      </c>
      <c r="F2339" t="s">
        <v>18</v>
      </c>
      <c r="G2339" t="s">
        <v>42</v>
      </c>
      <c r="H2339" t="s">
        <v>1388</v>
      </c>
      <c r="I2339" s="2">
        <v>601.47</v>
      </c>
      <c r="J2339" s="3">
        <v>3</v>
      </c>
      <c r="K2339" s="2">
        <v>-300.74</v>
      </c>
    </row>
    <row r="2340" spans="1:11" x14ac:dyDescent="0.35">
      <c r="A2340" s="1">
        <v>42621</v>
      </c>
      <c r="B2340" s="3">
        <f t="shared" si="72"/>
        <v>2016</v>
      </c>
      <c r="C2340" s="3">
        <f t="shared" si="73"/>
        <v>9</v>
      </c>
      <c r="D2340" t="s">
        <v>1964</v>
      </c>
      <c r="E2340" t="s">
        <v>22</v>
      </c>
      <c r="F2340" t="s">
        <v>28</v>
      </c>
      <c r="G2340" t="s">
        <v>58</v>
      </c>
      <c r="H2340" t="s">
        <v>1965</v>
      </c>
      <c r="I2340" s="2">
        <v>207.48</v>
      </c>
      <c r="J2340" s="3">
        <v>1</v>
      </c>
      <c r="K2340" s="2">
        <v>62.24</v>
      </c>
    </row>
    <row r="2341" spans="1:11" x14ac:dyDescent="0.35">
      <c r="A2341" s="1">
        <v>42621</v>
      </c>
      <c r="B2341" s="3">
        <f t="shared" si="72"/>
        <v>2016</v>
      </c>
      <c r="C2341" s="3">
        <f t="shared" si="73"/>
        <v>9</v>
      </c>
      <c r="D2341" t="s">
        <v>361</v>
      </c>
      <c r="E2341" t="s">
        <v>32</v>
      </c>
      <c r="F2341" t="s">
        <v>28</v>
      </c>
      <c r="G2341" t="s">
        <v>64</v>
      </c>
      <c r="H2341" t="s">
        <v>763</v>
      </c>
      <c r="I2341" s="2">
        <v>70.37</v>
      </c>
      <c r="J2341" s="3">
        <v>2</v>
      </c>
      <c r="K2341" s="2">
        <v>6.16</v>
      </c>
    </row>
    <row r="2342" spans="1:11" x14ac:dyDescent="0.35">
      <c r="A2342" s="1">
        <v>42621</v>
      </c>
      <c r="B2342" s="3">
        <f t="shared" si="72"/>
        <v>2016</v>
      </c>
      <c r="C2342" s="3">
        <f t="shared" si="73"/>
        <v>9</v>
      </c>
      <c r="D2342" t="s">
        <v>361</v>
      </c>
      <c r="E2342" t="s">
        <v>32</v>
      </c>
      <c r="F2342" t="s">
        <v>13</v>
      </c>
      <c r="G2342" t="s">
        <v>23</v>
      </c>
      <c r="H2342" t="s">
        <v>1966</v>
      </c>
      <c r="I2342" s="2">
        <v>59.96</v>
      </c>
      <c r="J2342" s="3">
        <v>5</v>
      </c>
      <c r="K2342" s="2">
        <v>21.74</v>
      </c>
    </row>
    <row r="2343" spans="1:11" x14ac:dyDescent="0.35">
      <c r="A2343" s="1">
        <v>42621</v>
      </c>
      <c r="B2343" s="3">
        <f t="shared" si="72"/>
        <v>2016</v>
      </c>
      <c r="C2343" s="3">
        <f t="shared" si="73"/>
        <v>9</v>
      </c>
      <c r="D2343" t="s">
        <v>1967</v>
      </c>
      <c r="E2343" t="s">
        <v>81</v>
      </c>
      <c r="F2343" t="s">
        <v>13</v>
      </c>
      <c r="G2343" t="s">
        <v>14</v>
      </c>
      <c r="H2343" t="s">
        <v>709</v>
      </c>
      <c r="I2343" s="2">
        <v>35.17</v>
      </c>
      <c r="J2343" s="3">
        <v>4</v>
      </c>
      <c r="K2343" s="2">
        <v>8.35</v>
      </c>
    </row>
    <row r="2344" spans="1:11" x14ac:dyDescent="0.35">
      <c r="A2344" s="1">
        <v>42621</v>
      </c>
      <c r="B2344" s="3">
        <f t="shared" si="72"/>
        <v>2016</v>
      </c>
      <c r="C2344" s="3">
        <f t="shared" si="73"/>
        <v>9</v>
      </c>
      <c r="D2344" t="s">
        <v>1967</v>
      </c>
      <c r="E2344" t="s">
        <v>81</v>
      </c>
      <c r="F2344" t="s">
        <v>28</v>
      </c>
      <c r="G2344" t="s">
        <v>29</v>
      </c>
      <c r="H2344" t="s">
        <v>1968</v>
      </c>
      <c r="I2344" s="2">
        <v>64.7</v>
      </c>
      <c r="J2344" s="3">
        <v>3</v>
      </c>
      <c r="K2344" s="2">
        <v>23.46</v>
      </c>
    </row>
    <row r="2345" spans="1:11" x14ac:dyDescent="0.35">
      <c r="A2345" s="1">
        <v>42621</v>
      </c>
      <c r="B2345" s="3">
        <f t="shared" si="72"/>
        <v>2016</v>
      </c>
      <c r="C2345" s="3">
        <f t="shared" si="73"/>
        <v>9</v>
      </c>
      <c r="D2345" t="s">
        <v>606</v>
      </c>
      <c r="E2345" t="s">
        <v>45</v>
      </c>
      <c r="F2345" t="s">
        <v>18</v>
      </c>
      <c r="G2345" t="s">
        <v>42</v>
      </c>
      <c r="H2345" t="s">
        <v>1969</v>
      </c>
      <c r="I2345" s="2">
        <v>146.04</v>
      </c>
      <c r="J2345" s="3">
        <v>1</v>
      </c>
      <c r="K2345" s="2">
        <v>-12.78</v>
      </c>
    </row>
    <row r="2346" spans="1:11" x14ac:dyDescent="0.35">
      <c r="A2346" s="1">
        <v>42621</v>
      </c>
      <c r="B2346" s="3">
        <f t="shared" si="72"/>
        <v>2016</v>
      </c>
      <c r="C2346" s="3">
        <f t="shared" si="73"/>
        <v>9</v>
      </c>
      <c r="D2346" t="s">
        <v>138</v>
      </c>
      <c r="E2346" t="s">
        <v>17</v>
      </c>
      <c r="F2346" t="s">
        <v>18</v>
      </c>
      <c r="G2346" t="s">
        <v>36</v>
      </c>
      <c r="H2346" t="s">
        <v>622</v>
      </c>
      <c r="I2346" s="2">
        <v>43.13</v>
      </c>
      <c r="J2346" s="3">
        <v>1</v>
      </c>
      <c r="K2346" s="2">
        <v>14.66</v>
      </c>
    </row>
    <row r="2347" spans="1:11" x14ac:dyDescent="0.35">
      <c r="A2347" s="1">
        <v>42621</v>
      </c>
      <c r="B2347" s="3">
        <f t="shared" si="72"/>
        <v>2016</v>
      </c>
      <c r="C2347" s="3">
        <f t="shared" si="73"/>
        <v>9</v>
      </c>
      <c r="D2347" t="s">
        <v>138</v>
      </c>
      <c r="E2347" t="s">
        <v>17</v>
      </c>
      <c r="F2347" t="s">
        <v>28</v>
      </c>
      <c r="G2347" t="s">
        <v>29</v>
      </c>
      <c r="H2347" t="s">
        <v>1970</v>
      </c>
      <c r="I2347" s="2">
        <v>30.87</v>
      </c>
      <c r="J2347" s="3">
        <v>7</v>
      </c>
      <c r="K2347" s="2">
        <v>14.2</v>
      </c>
    </row>
    <row r="2348" spans="1:11" x14ac:dyDescent="0.35">
      <c r="A2348" s="1">
        <v>42621</v>
      </c>
      <c r="B2348" s="3">
        <f t="shared" si="72"/>
        <v>2016</v>
      </c>
      <c r="C2348" s="3">
        <f t="shared" si="73"/>
        <v>9</v>
      </c>
      <c r="D2348" t="s">
        <v>1713</v>
      </c>
      <c r="E2348" t="s">
        <v>45</v>
      </c>
      <c r="F2348" t="s">
        <v>28</v>
      </c>
      <c r="G2348" t="s">
        <v>64</v>
      </c>
      <c r="H2348" t="s">
        <v>1971</v>
      </c>
      <c r="I2348" s="2">
        <v>14.88</v>
      </c>
      <c r="J2348" s="3">
        <v>2</v>
      </c>
      <c r="K2348" s="2">
        <v>3.72</v>
      </c>
    </row>
    <row r="2349" spans="1:11" x14ac:dyDescent="0.35">
      <c r="A2349" s="1">
        <v>42621</v>
      </c>
      <c r="B2349" s="3">
        <f t="shared" si="72"/>
        <v>2016</v>
      </c>
      <c r="C2349" s="3">
        <f t="shared" si="73"/>
        <v>9</v>
      </c>
      <c r="D2349" t="s">
        <v>1713</v>
      </c>
      <c r="E2349" t="s">
        <v>45</v>
      </c>
      <c r="F2349" t="s">
        <v>28</v>
      </c>
      <c r="G2349" t="s">
        <v>29</v>
      </c>
      <c r="H2349" t="s">
        <v>1754</v>
      </c>
      <c r="I2349" s="2">
        <v>34.24</v>
      </c>
      <c r="J2349" s="3">
        <v>8</v>
      </c>
      <c r="K2349" s="2">
        <v>15.41</v>
      </c>
    </row>
    <row r="2350" spans="1:11" x14ac:dyDescent="0.35">
      <c r="A2350" s="1">
        <v>42621</v>
      </c>
      <c r="B2350" s="3">
        <f t="shared" si="72"/>
        <v>2016</v>
      </c>
      <c r="C2350" s="3">
        <f t="shared" si="73"/>
        <v>9</v>
      </c>
      <c r="D2350" t="s">
        <v>1713</v>
      </c>
      <c r="E2350" t="s">
        <v>45</v>
      </c>
      <c r="F2350" t="s">
        <v>28</v>
      </c>
      <c r="G2350" t="s">
        <v>38</v>
      </c>
      <c r="H2350" t="s">
        <v>1933</v>
      </c>
      <c r="I2350" s="2">
        <v>261.74</v>
      </c>
      <c r="J2350" s="3">
        <v>2</v>
      </c>
      <c r="K2350" s="2">
        <v>65.44</v>
      </c>
    </row>
    <row r="2351" spans="1:11" x14ac:dyDescent="0.35">
      <c r="A2351" s="1">
        <v>42651</v>
      </c>
      <c r="B2351" s="3">
        <f t="shared" si="72"/>
        <v>2016</v>
      </c>
      <c r="C2351" s="3">
        <f t="shared" si="73"/>
        <v>10</v>
      </c>
      <c r="D2351" t="s">
        <v>1972</v>
      </c>
      <c r="E2351" t="s">
        <v>32</v>
      </c>
      <c r="F2351" t="s">
        <v>18</v>
      </c>
      <c r="G2351" t="s">
        <v>36</v>
      </c>
      <c r="H2351" t="s">
        <v>1146</v>
      </c>
      <c r="I2351" s="2">
        <v>51.71</v>
      </c>
      <c r="J2351" s="3">
        <v>8</v>
      </c>
      <c r="K2351" s="2">
        <v>-32.32</v>
      </c>
    </row>
    <row r="2352" spans="1:11" x14ac:dyDescent="0.35">
      <c r="A2352" s="1">
        <v>42651</v>
      </c>
      <c r="B2352" s="3">
        <f t="shared" si="72"/>
        <v>2016</v>
      </c>
      <c r="C2352" s="3">
        <f t="shared" si="73"/>
        <v>10</v>
      </c>
      <c r="D2352" t="s">
        <v>1674</v>
      </c>
      <c r="E2352" t="s">
        <v>45</v>
      </c>
      <c r="F2352" t="s">
        <v>28</v>
      </c>
      <c r="G2352" t="s">
        <v>29</v>
      </c>
      <c r="H2352" t="s">
        <v>1744</v>
      </c>
      <c r="I2352" s="2">
        <v>61.96</v>
      </c>
      <c r="J2352" s="3">
        <v>2</v>
      </c>
      <c r="K2352" s="2">
        <v>27.88</v>
      </c>
    </row>
    <row r="2353" spans="1:11" x14ac:dyDescent="0.35">
      <c r="A2353" s="1">
        <v>42651</v>
      </c>
      <c r="B2353" s="3">
        <f t="shared" si="72"/>
        <v>2016</v>
      </c>
      <c r="C2353" s="3">
        <f t="shared" si="73"/>
        <v>10</v>
      </c>
      <c r="D2353" t="s">
        <v>1973</v>
      </c>
      <c r="E2353" t="s">
        <v>32</v>
      </c>
      <c r="F2353" t="s">
        <v>28</v>
      </c>
      <c r="G2353" t="s">
        <v>46</v>
      </c>
      <c r="H2353" t="s">
        <v>1377</v>
      </c>
      <c r="I2353" s="2">
        <v>60.14</v>
      </c>
      <c r="J2353" s="3">
        <v>6</v>
      </c>
      <c r="K2353" s="2">
        <v>20.3</v>
      </c>
    </row>
    <row r="2354" spans="1:11" x14ac:dyDescent="0.35">
      <c r="A2354" s="1">
        <v>42651</v>
      </c>
      <c r="B2354" s="3">
        <f t="shared" si="72"/>
        <v>2016</v>
      </c>
      <c r="C2354" s="3">
        <f t="shared" si="73"/>
        <v>10</v>
      </c>
      <c r="D2354" t="s">
        <v>1059</v>
      </c>
      <c r="E2354" t="s">
        <v>81</v>
      </c>
      <c r="F2354" t="s">
        <v>28</v>
      </c>
      <c r="G2354" t="s">
        <v>38</v>
      </c>
      <c r="H2354" t="s">
        <v>1817</v>
      </c>
      <c r="I2354" s="2">
        <v>387.72</v>
      </c>
      <c r="J2354" s="3">
        <v>5</v>
      </c>
      <c r="K2354" s="2">
        <v>-67.849999999999994</v>
      </c>
    </row>
    <row r="2355" spans="1:11" x14ac:dyDescent="0.35">
      <c r="A2355" s="1">
        <v>42682</v>
      </c>
      <c r="B2355" s="3">
        <f t="shared" si="72"/>
        <v>2016</v>
      </c>
      <c r="C2355" s="3">
        <f t="shared" si="73"/>
        <v>11</v>
      </c>
      <c r="D2355" t="s">
        <v>1974</v>
      </c>
      <c r="E2355" t="s">
        <v>118</v>
      </c>
      <c r="F2355" t="s">
        <v>18</v>
      </c>
      <c r="G2355" t="s">
        <v>237</v>
      </c>
      <c r="H2355" t="s">
        <v>1975</v>
      </c>
      <c r="I2355" s="2">
        <v>261.95999999999998</v>
      </c>
      <c r="J2355" s="3">
        <v>2</v>
      </c>
      <c r="K2355" s="2">
        <v>41.91</v>
      </c>
    </row>
    <row r="2356" spans="1:11" x14ac:dyDescent="0.35">
      <c r="A2356" s="1">
        <v>42682</v>
      </c>
      <c r="B2356" s="3">
        <f t="shared" si="72"/>
        <v>2016</v>
      </c>
      <c r="C2356" s="3">
        <f t="shared" si="73"/>
        <v>11</v>
      </c>
      <c r="D2356" t="s">
        <v>1974</v>
      </c>
      <c r="E2356" t="s">
        <v>118</v>
      </c>
      <c r="F2356" t="s">
        <v>18</v>
      </c>
      <c r="G2356" t="s">
        <v>19</v>
      </c>
      <c r="H2356" t="s">
        <v>718</v>
      </c>
      <c r="I2356" s="2">
        <v>731.94</v>
      </c>
      <c r="J2356" s="3">
        <v>3</v>
      </c>
      <c r="K2356" s="2">
        <v>219.58</v>
      </c>
    </row>
    <row r="2357" spans="1:11" x14ac:dyDescent="0.35">
      <c r="A2357" s="1">
        <v>42712</v>
      </c>
      <c r="B2357" s="3">
        <f t="shared" si="72"/>
        <v>2016</v>
      </c>
      <c r="C2357" s="3">
        <f t="shared" si="73"/>
        <v>12</v>
      </c>
      <c r="D2357" t="s">
        <v>1440</v>
      </c>
      <c r="E2357" t="s">
        <v>32</v>
      </c>
      <c r="F2357" t="s">
        <v>13</v>
      </c>
      <c r="G2357" t="s">
        <v>23</v>
      </c>
      <c r="H2357" t="s">
        <v>527</v>
      </c>
      <c r="I2357" s="2">
        <v>1097.54</v>
      </c>
      <c r="J2357" s="3">
        <v>7</v>
      </c>
      <c r="K2357" s="2">
        <v>123.47</v>
      </c>
    </row>
    <row r="2358" spans="1:11" x14ac:dyDescent="0.35">
      <c r="A2358" s="1">
        <v>42712</v>
      </c>
      <c r="B2358" s="3">
        <f t="shared" si="72"/>
        <v>2016</v>
      </c>
      <c r="C2358" s="3">
        <f t="shared" si="73"/>
        <v>12</v>
      </c>
      <c r="D2358" t="s">
        <v>1440</v>
      </c>
      <c r="E2358" t="s">
        <v>32</v>
      </c>
      <c r="F2358" t="s">
        <v>18</v>
      </c>
      <c r="G2358" t="s">
        <v>36</v>
      </c>
      <c r="H2358" t="s">
        <v>1976</v>
      </c>
      <c r="I2358" s="2">
        <v>190.92</v>
      </c>
      <c r="J2358" s="3">
        <v>5</v>
      </c>
      <c r="K2358" s="2">
        <v>-147.96</v>
      </c>
    </row>
    <row r="2359" spans="1:11" x14ac:dyDescent="0.35">
      <c r="A2359" s="1">
        <v>42712</v>
      </c>
      <c r="B2359" s="3">
        <f t="shared" si="72"/>
        <v>2016</v>
      </c>
      <c r="C2359" s="3">
        <f t="shared" si="73"/>
        <v>12</v>
      </c>
      <c r="D2359" t="s">
        <v>70</v>
      </c>
      <c r="E2359" t="s">
        <v>55</v>
      </c>
      <c r="F2359" t="s">
        <v>13</v>
      </c>
      <c r="G2359" t="s">
        <v>23</v>
      </c>
      <c r="H2359" t="s">
        <v>1977</v>
      </c>
      <c r="I2359" s="2">
        <v>114.95</v>
      </c>
      <c r="J2359" s="3">
        <v>5</v>
      </c>
      <c r="K2359" s="2">
        <v>2.2999999999999998</v>
      </c>
    </row>
    <row r="2360" spans="1:11" x14ac:dyDescent="0.35">
      <c r="A2360" s="1">
        <v>42712</v>
      </c>
      <c r="B2360" s="3">
        <f t="shared" si="72"/>
        <v>2016</v>
      </c>
      <c r="C2360" s="3">
        <f t="shared" si="73"/>
        <v>12</v>
      </c>
      <c r="D2360" t="s">
        <v>1234</v>
      </c>
      <c r="E2360" t="s">
        <v>131</v>
      </c>
      <c r="F2360" t="s">
        <v>28</v>
      </c>
      <c r="G2360" t="s">
        <v>48</v>
      </c>
      <c r="H2360" t="s">
        <v>952</v>
      </c>
      <c r="I2360" s="2">
        <v>12.96</v>
      </c>
      <c r="J2360" s="3">
        <v>7</v>
      </c>
      <c r="K2360" s="2">
        <v>-9.5</v>
      </c>
    </row>
    <row r="2361" spans="1:11" x14ac:dyDescent="0.35">
      <c r="A2361" s="1">
        <v>42712</v>
      </c>
      <c r="B2361" s="3">
        <f t="shared" si="72"/>
        <v>2016</v>
      </c>
      <c r="C2361" s="3">
        <f t="shared" si="73"/>
        <v>12</v>
      </c>
      <c r="D2361" t="s">
        <v>715</v>
      </c>
      <c r="E2361" t="s">
        <v>45</v>
      </c>
      <c r="F2361" t="s">
        <v>28</v>
      </c>
      <c r="G2361" t="s">
        <v>64</v>
      </c>
      <c r="H2361" t="s">
        <v>1978</v>
      </c>
      <c r="I2361" s="2">
        <v>8.56</v>
      </c>
      <c r="J2361" s="3">
        <v>2</v>
      </c>
      <c r="K2361" s="2">
        <v>2.48</v>
      </c>
    </row>
    <row r="2362" spans="1:11" x14ac:dyDescent="0.35">
      <c r="A2362" s="1">
        <v>42712</v>
      </c>
      <c r="B2362" s="3">
        <f t="shared" si="72"/>
        <v>2016</v>
      </c>
      <c r="C2362" s="3">
        <f t="shared" si="73"/>
        <v>12</v>
      </c>
      <c r="D2362" t="s">
        <v>715</v>
      </c>
      <c r="E2362" t="s">
        <v>45</v>
      </c>
      <c r="F2362" t="s">
        <v>28</v>
      </c>
      <c r="G2362" t="s">
        <v>29</v>
      </c>
      <c r="H2362" t="s">
        <v>1424</v>
      </c>
      <c r="I2362" s="2">
        <v>45.36</v>
      </c>
      <c r="J2362" s="3">
        <v>7</v>
      </c>
      <c r="K2362" s="2">
        <v>21.77</v>
      </c>
    </row>
    <row r="2363" spans="1:11" x14ac:dyDescent="0.35">
      <c r="A2363" s="1">
        <v>42712</v>
      </c>
      <c r="B2363" s="3">
        <f t="shared" si="72"/>
        <v>2016</v>
      </c>
      <c r="C2363" s="3">
        <f t="shared" si="73"/>
        <v>12</v>
      </c>
      <c r="D2363" t="s">
        <v>715</v>
      </c>
      <c r="E2363" t="s">
        <v>45</v>
      </c>
      <c r="F2363" t="s">
        <v>18</v>
      </c>
      <c r="G2363" t="s">
        <v>42</v>
      </c>
      <c r="H2363" t="s">
        <v>1979</v>
      </c>
      <c r="I2363" s="2">
        <v>1421.66</v>
      </c>
      <c r="J2363" s="3">
        <v>6</v>
      </c>
      <c r="K2363" s="2">
        <v>-195.48</v>
      </c>
    </row>
    <row r="2364" spans="1:11" x14ac:dyDescent="0.35">
      <c r="A2364" s="1">
        <v>42712</v>
      </c>
      <c r="B2364" s="3">
        <f t="shared" si="72"/>
        <v>2016</v>
      </c>
      <c r="C2364" s="3">
        <f t="shared" si="73"/>
        <v>12</v>
      </c>
      <c r="D2364" t="s">
        <v>1059</v>
      </c>
      <c r="E2364" t="s">
        <v>45</v>
      </c>
      <c r="F2364" t="s">
        <v>28</v>
      </c>
      <c r="G2364" t="s">
        <v>38</v>
      </c>
      <c r="H2364" t="s">
        <v>1980</v>
      </c>
      <c r="I2364" s="2">
        <v>34.049999999999997</v>
      </c>
      <c r="J2364" s="3">
        <v>3</v>
      </c>
      <c r="K2364" s="2">
        <v>9.5299999999999994</v>
      </c>
    </row>
    <row r="2365" spans="1:11" x14ac:dyDescent="0.35">
      <c r="A2365" s="1">
        <v>42712</v>
      </c>
      <c r="B2365" s="3">
        <f t="shared" si="72"/>
        <v>2016</v>
      </c>
      <c r="C2365" s="3">
        <f t="shared" si="73"/>
        <v>12</v>
      </c>
      <c r="D2365" t="s">
        <v>1059</v>
      </c>
      <c r="E2365" t="s">
        <v>45</v>
      </c>
      <c r="F2365" t="s">
        <v>28</v>
      </c>
      <c r="G2365" t="s">
        <v>38</v>
      </c>
      <c r="H2365" t="s">
        <v>934</v>
      </c>
      <c r="I2365" s="2">
        <v>352.38</v>
      </c>
      <c r="J2365" s="3">
        <v>2</v>
      </c>
      <c r="K2365" s="2">
        <v>81.05</v>
      </c>
    </row>
    <row r="2366" spans="1:11" x14ac:dyDescent="0.35">
      <c r="A2366" s="1">
        <v>42712</v>
      </c>
      <c r="B2366" s="3">
        <f t="shared" si="72"/>
        <v>2016</v>
      </c>
      <c r="C2366" s="3">
        <f t="shared" si="73"/>
        <v>12</v>
      </c>
      <c r="D2366" t="s">
        <v>96</v>
      </c>
      <c r="E2366" t="s">
        <v>81</v>
      </c>
      <c r="F2366" t="s">
        <v>13</v>
      </c>
      <c r="G2366" t="s">
        <v>23</v>
      </c>
      <c r="H2366" t="s">
        <v>1065</v>
      </c>
      <c r="I2366" s="2">
        <v>249.58</v>
      </c>
      <c r="J2366" s="3">
        <v>2</v>
      </c>
      <c r="K2366" s="2">
        <v>31.2</v>
      </c>
    </row>
    <row r="2367" spans="1:11" x14ac:dyDescent="0.35">
      <c r="A2367" s="1">
        <v>42712</v>
      </c>
      <c r="B2367" s="3">
        <f t="shared" si="72"/>
        <v>2016</v>
      </c>
      <c r="C2367" s="3">
        <f t="shared" si="73"/>
        <v>12</v>
      </c>
      <c r="D2367" t="s">
        <v>96</v>
      </c>
      <c r="E2367" t="s">
        <v>81</v>
      </c>
      <c r="F2367" t="s">
        <v>13</v>
      </c>
      <c r="G2367" t="s">
        <v>14</v>
      </c>
      <c r="H2367" t="s">
        <v>395</v>
      </c>
      <c r="I2367" s="2">
        <v>68.11</v>
      </c>
      <c r="J2367" s="3">
        <v>3</v>
      </c>
      <c r="K2367" s="2">
        <v>17.88</v>
      </c>
    </row>
    <row r="2368" spans="1:11" x14ac:dyDescent="0.35">
      <c r="A2368" s="1">
        <v>42712</v>
      </c>
      <c r="B2368" s="3">
        <f t="shared" si="72"/>
        <v>2016</v>
      </c>
      <c r="C2368" s="3">
        <f t="shared" si="73"/>
        <v>12</v>
      </c>
      <c r="D2368" t="s">
        <v>96</v>
      </c>
      <c r="E2368" t="s">
        <v>81</v>
      </c>
      <c r="F2368" t="s">
        <v>13</v>
      </c>
      <c r="G2368" t="s">
        <v>14</v>
      </c>
      <c r="H2368" t="s">
        <v>1981</v>
      </c>
      <c r="I2368" s="2">
        <v>16.559999999999999</v>
      </c>
      <c r="J2368" s="3">
        <v>3</v>
      </c>
      <c r="K2368" s="2">
        <v>-2.48</v>
      </c>
    </row>
    <row r="2369" spans="1:11" x14ac:dyDescent="0.35">
      <c r="A2369" s="1">
        <v>42712</v>
      </c>
      <c r="B2369" s="3">
        <f t="shared" si="72"/>
        <v>2016</v>
      </c>
      <c r="C2369" s="3">
        <f t="shared" si="73"/>
        <v>12</v>
      </c>
      <c r="D2369" t="s">
        <v>1166</v>
      </c>
      <c r="E2369" t="s">
        <v>131</v>
      </c>
      <c r="F2369" t="s">
        <v>28</v>
      </c>
      <c r="G2369" t="s">
        <v>29</v>
      </c>
      <c r="H2369" t="s">
        <v>1970</v>
      </c>
      <c r="I2369" s="2">
        <v>10.58</v>
      </c>
      <c r="J2369" s="3">
        <v>3</v>
      </c>
      <c r="K2369" s="2">
        <v>3.44</v>
      </c>
    </row>
    <row r="2370" spans="1:11" x14ac:dyDescent="0.35">
      <c r="A2370" s="1">
        <v>42712</v>
      </c>
      <c r="B2370" s="3">
        <f t="shared" ref="B2370:B2433" si="74">YEAR(A2370)</f>
        <v>2016</v>
      </c>
      <c r="C2370" s="3">
        <f t="shared" ref="C2370:C2433" si="75">MONTH(A2370)</f>
        <v>12</v>
      </c>
      <c r="D2370" t="s">
        <v>1283</v>
      </c>
      <c r="E2370" t="s">
        <v>12</v>
      </c>
      <c r="F2370" t="s">
        <v>18</v>
      </c>
      <c r="G2370" t="s">
        <v>237</v>
      </c>
      <c r="H2370" t="s">
        <v>1591</v>
      </c>
      <c r="I2370" s="2">
        <v>405.86</v>
      </c>
      <c r="J2370" s="3">
        <v>7</v>
      </c>
      <c r="K2370" s="2">
        <v>32.47</v>
      </c>
    </row>
    <row r="2371" spans="1:11" x14ac:dyDescent="0.35">
      <c r="A2371" s="1">
        <v>42712</v>
      </c>
      <c r="B2371" s="3">
        <f t="shared" si="74"/>
        <v>2016</v>
      </c>
      <c r="C2371" s="3">
        <f t="shared" si="75"/>
        <v>12</v>
      </c>
      <c r="D2371" t="s">
        <v>1283</v>
      </c>
      <c r="E2371" t="s">
        <v>12</v>
      </c>
      <c r="F2371" t="s">
        <v>18</v>
      </c>
      <c r="G2371" t="s">
        <v>19</v>
      </c>
      <c r="H2371" t="s">
        <v>481</v>
      </c>
      <c r="I2371" s="2">
        <v>680.01</v>
      </c>
      <c r="J2371" s="3">
        <v>3</v>
      </c>
      <c r="K2371" s="2">
        <v>176.8</v>
      </c>
    </row>
    <row r="2372" spans="1:11" x14ac:dyDescent="0.35">
      <c r="A2372" s="1">
        <v>42378</v>
      </c>
      <c r="B2372" s="3">
        <f t="shared" si="74"/>
        <v>2016</v>
      </c>
      <c r="C2372" s="3">
        <f t="shared" si="75"/>
        <v>1</v>
      </c>
      <c r="D2372" t="s">
        <v>915</v>
      </c>
      <c r="E2372" t="s">
        <v>45</v>
      </c>
      <c r="F2372" t="s">
        <v>13</v>
      </c>
      <c r="G2372" t="s">
        <v>14</v>
      </c>
      <c r="H2372" t="s">
        <v>1982</v>
      </c>
      <c r="I2372" s="2">
        <v>349.95</v>
      </c>
      <c r="J2372" s="3">
        <v>5</v>
      </c>
      <c r="K2372" s="2">
        <v>118.98</v>
      </c>
    </row>
    <row r="2373" spans="1:11" x14ac:dyDescent="0.35">
      <c r="A2373" s="1">
        <v>42378</v>
      </c>
      <c r="B2373" s="3">
        <f t="shared" si="74"/>
        <v>2016</v>
      </c>
      <c r="C2373" s="3">
        <f t="shared" si="75"/>
        <v>1</v>
      </c>
      <c r="D2373" t="s">
        <v>915</v>
      </c>
      <c r="E2373" t="s">
        <v>45</v>
      </c>
      <c r="F2373" t="s">
        <v>13</v>
      </c>
      <c r="G2373" t="s">
        <v>23</v>
      </c>
      <c r="H2373" t="s">
        <v>505</v>
      </c>
      <c r="I2373" s="2">
        <v>377.93</v>
      </c>
      <c r="J2373" s="3">
        <v>9</v>
      </c>
      <c r="K2373" s="2">
        <v>141.72</v>
      </c>
    </row>
    <row r="2374" spans="1:11" x14ac:dyDescent="0.35">
      <c r="A2374" s="1">
        <v>42378</v>
      </c>
      <c r="B2374" s="3">
        <f t="shared" si="74"/>
        <v>2016</v>
      </c>
      <c r="C2374" s="3">
        <f t="shared" si="75"/>
        <v>1</v>
      </c>
      <c r="D2374" t="s">
        <v>1810</v>
      </c>
      <c r="E2374" t="s">
        <v>131</v>
      </c>
      <c r="F2374" t="s">
        <v>18</v>
      </c>
      <c r="G2374" t="s">
        <v>36</v>
      </c>
      <c r="H2374" t="s">
        <v>1248</v>
      </c>
      <c r="I2374" s="2">
        <v>15.17</v>
      </c>
      <c r="J2374" s="3">
        <v>2</v>
      </c>
      <c r="K2374" s="2">
        <v>3.79</v>
      </c>
    </row>
    <row r="2375" spans="1:11" x14ac:dyDescent="0.35">
      <c r="A2375" s="1">
        <v>42409</v>
      </c>
      <c r="B2375" s="3">
        <f t="shared" si="74"/>
        <v>2016</v>
      </c>
      <c r="C2375" s="3">
        <f t="shared" si="75"/>
        <v>2</v>
      </c>
      <c r="D2375" t="s">
        <v>1983</v>
      </c>
      <c r="E2375" t="s">
        <v>45</v>
      </c>
      <c r="F2375" t="s">
        <v>13</v>
      </c>
      <c r="G2375" t="s">
        <v>14</v>
      </c>
      <c r="H2375" t="s">
        <v>236</v>
      </c>
      <c r="I2375" s="2">
        <v>89.97</v>
      </c>
      <c r="J2375" s="3">
        <v>3</v>
      </c>
      <c r="K2375" s="2">
        <v>39.590000000000003</v>
      </c>
    </row>
    <row r="2376" spans="1:11" x14ac:dyDescent="0.35">
      <c r="A2376" s="1">
        <v>42409</v>
      </c>
      <c r="B2376" s="3">
        <f t="shared" si="74"/>
        <v>2016</v>
      </c>
      <c r="C2376" s="3">
        <f t="shared" si="75"/>
        <v>2</v>
      </c>
      <c r="D2376" t="s">
        <v>1983</v>
      </c>
      <c r="E2376" t="s">
        <v>45</v>
      </c>
      <c r="F2376" t="s">
        <v>13</v>
      </c>
      <c r="G2376" t="s">
        <v>14</v>
      </c>
      <c r="H2376" t="s">
        <v>1599</v>
      </c>
      <c r="I2376" s="2">
        <v>31.86</v>
      </c>
      <c r="J2376" s="3">
        <v>2</v>
      </c>
      <c r="K2376" s="2">
        <v>11.15</v>
      </c>
    </row>
    <row r="2377" spans="1:11" x14ac:dyDescent="0.35">
      <c r="A2377" s="1">
        <v>42438</v>
      </c>
      <c r="B2377" s="3">
        <f t="shared" si="74"/>
        <v>2016</v>
      </c>
      <c r="C2377" s="3">
        <f t="shared" si="75"/>
        <v>3</v>
      </c>
      <c r="D2377" t="s">
        <v>636</v>
      </c>
      <c r="E2377" t="s">
        <v>323</v>
      </c>
      <c r="F2377" t="s">
        <v>13</v>
      </c>
      <c r="G2377" t="s">
        <v>14</v>
      </c>
      <c r="H2377" t="s">
        <v>1356</v>
      </c>
      <c r="I2377" s="2">
        <v>199.75</v>
      </c>
      <c r="J2377" s="3">
        <v>5</v>
      </c>
      <c r="K2377" s="2">
        <v>87.89</v>
      </c>
    </row>
    <row r="2378" spans="1:11" x14ac:dyDescent="0.35">
      <c r="A2378" s="1">
        <v>42438</v>
      </c>
      <c r="B2378" s="3">
        <f t="shared" si="74"/>
        <v>2016</v>
      </c>
      <c r="C2378" s="3">
        <f t="shared" si="75"/>
        <v>3</v>
      </c>
      <c r="D2378" t="s">
        <v>1984</v>
      </c>
      <c r="E2378" t="s">
        <v>51</v>
      </c>
      <c r="F2378" t="s">
        <v>28</v>
      </c>
      <c r="G2378" t="s">
        <v>38</v>
      </c>
      <c r="H2378" t="s">
        <v>1771</v>
      </c>
      <c r="I2378" s="2">
        <v>11.21</v>
      </c>
      <c r="J2378" s="3">
        <v>1</v>
      </c>
      <c r="K2378" s="2">
        <v>3.36</v>
      </c>
    </row>
    <row r="2379" spans="1:11" x14ac:dyDescent="0.35">
      <c r="A2379" s="1">
        <v>42438</v>
      </c>
      <c r="B2379" s="3">
        <f t="shared" si="74"/>
        <v>2016</v>
      </c>
      <c r="C2379" s="3">
        <f t="shared" si="75"/>
        <v>3</v>
      </c>
      <c r="D2379" t="s">
        <v>1984</v>
      </c>
      <c r="E2379" t="s">
        <v>51</v>
      </c>
      <c r="F2379" t="s">
        <v>18</v>
      </c>
      <c r="G2379" t="s">
        <v>19</v>
      </c>
      <c r="H2379" t="s">
        <v>679</v>
      </c>
      <c r="I2379" s="2">
        <v>354.9</v>
      </c>
      <c r="J2379" s="3">
        <v>5</v>
      </c>
      <c r="K2379" s="2">
        <v>88.73</v>
      </c>
    </row>
    <row r="2380" spans="1:11" x14ac:dyDescent="0.35">
      <c r="A2380" s="1">
        <v>42438</v>
      </c>
      <c r="B2380" s="3">
        <f t="shared" si="74"/>
        <v>2016</v>
      </c>
      <c r="C2380" s="3">
        <f t="shared" si="75"/>
        <v>3</v>
      </c>
      <c r="D2380" t="s">
        <v>1984</v>
      </c>
      <c r="E2380" t="s">
        <v>51</v>
      </c>
      <c r="F2380" t="s">
        <v>28</v>
      </c>
      <c r="G2380" t="s">
        <v>29</v>
      </c>
      <c r="H2380" t="s">
        <v>1985</v>
      </c>
      <c r="I2380" s="2">
        <v>17.940000000000001</v>
      </c>
      <c r="J2380" s="3">
        <v>3</v>
      </c>
      <c r="K2380" s="2">
        <v>8.7899999999999991</v>
      </c>
    </row>
    <row r="2381" spans="1:11" x14ac:dyDescent="0.35">
      <c r="A2381" s="1">
        <v>42438</v>
      </c>
      <c r="B2381" s="3">
        <f t="shared" si="74"/>
        <v>2016</v>
      </c>
      <c r="C2381" s="3">
        <f t="shared" si="75"/>
        <v>3</v>
      </c>
      <c r="D2381" t="s">
        <v>1984</v>
      </c>
      <c r="E2381" t="s">
        <v>51</v>
      </c>
      <c r="F2381" t="s">
        <v>28</v>
      </c>
      <c r="G2381" t="s">
        <v>48</v>
      </c>
      <c r="H2381" t="s">
        <v>1526</v>
      </c>
      <c r="I2381" s="2">
        <v>51.8</v>
      </c>
      <c r="J2381" s="3">
        <v>4</v>
      </c>
      <c r="K2381" s="2">
        <v>23.31</v>
      </c>
    </row>
    <row r="2382" spans="1:11" x14ac:dyDescent="0.35">
      <c r="A2382" s="1">
        <v>42469</v>
      </c>
      <c r="B2382" s="3">
        <f t="shared" si="74"/>
        <v>2016</v>
      </c>
      <c r="C2382" s="3">
        <f t="shared" si="75"/>
        <v>4</v>
      </c>
      <c r="D2382" t="s">
        <v>1274</v>
      </c>
      <c r="E2382" t="s">
        <v>17</v>
      </c>
      <c r="F2382" t="s">
        <v>28</v>
      </c>
      <c r="G2382" t="s">
        <v>48</v>
      </c>
      <c r="H2382" t="s">
        <v>322</v>
      </c>
      <c r="I2382" s="2">
        <v>35.35</v>
      </c>
      <c r="J2382" s="3">
        <v>9</v>
      </c>
      <c r="K2382" s="2">
        <v>12.82</v>
      </c>
    </row>
    <row r="2383" spans="1:11" x14ac:dyDescent="0.35">
      <c r="A2383" s="1">
        <v>42469</v>
      </c>
      <c r="B2383" s="3">
        <f t="shared" si="74"/>
        <v>2016</v>
      </c>
      <c r="C2383" s="3">
        <f t="shared" si="75"/>
        <v>4</v>
      </c>
      <c r="D2383" t="s">
        <v>1986</v>
      </c>
      <c r="E2383" t="s">
        <v>71</v>
      </c>
      <c r="F2383" t="s">
        <v>13</v>
      </c>
      <c r="G2383" t="s">
        <v>23</v>
      </c>
      <c r="H2383" t="s">
        <v>1878</v>
      </c>
      <c r="I2383" s="2">
        <v>517.9</v>
      </c>
      <c r="J2383" s="3">
        <v>2</v>
      </c>
      <c r="K2383" s="2">
        <v>134.65</v>
      </c>
    </row>
    <row r="2384" spans="1:11" x14ac:dyDescent="0.35">
      <c r="A2384" s="1">
        <v>42469</v>
      </c>
      <c r="B2384" s="3">
        <f t="shared" si="74"/>
        <v>2016</v>
      </c>
      <c r="C2384" s="3">
        <f t="shared" si="75"/>
        <v>4</v>
      </c>
      <c r="D2384" t="s">
        <v>1986</v>
      </c>
      <c r="E2384" t="s">
        <v>71</v>
      </c>
      <c r="F2384" t="s">
        <v>28</v>
      </c>
      <c r="G2384" t="s">
        <v>48</v>
      </c>
      <c r="H2384" t="s">
        <v>1987</v>
      </c>
      <c r="I2384" s="2">
        <v>5.28</v>
      </c>
      <c r="J2384" s="3">
        <v>2</v>
      </c>
      <c r="K2384" s="2">
        <v>2.4300000000000002</v>
      </c>
    </row>
    <row r="2385" spans="1:11" x14ac:dyDescent="0.35">
      <c r="A2385" s="1">
        <v>42469</v>
      </c>
      <c r="B2385" s="3">
        <f t="shared" si="74"/>
        <v>2016</v>
      </c>
      <c r="C2385" s="3">
        <f t="shared" si="75"/>
        <v>4</v>
      </c>
      <c r="D2385" t="s">
        <v>1649</v>
      </c>
      <c r="E2385" t="s">
        <v>45</v>
      </c>
      <c r="F2385" t="s">
        <v>18</v>
      </c>
      <c r="G2385" t="s">
        <v>237</v>
      </c>
      <c r="H2385" t="s">
        <v>1975</v>
      </c>
      <c r="I2385" s="2">
        <v>556.66999999999996</v>
      </c>
      <c r="J2385" s="3">
        <v>5</v>
      </c>
      <c r="K2385" s="2">
        <v>6.55</v>
      </c>
    </row>
    <row r="2386" spans="1:11" x14ac:dyDescent="0.35">
      <c r="A2386" s="1">
        <v>42499</v>
      </c>
      <c r="B2386" s="3">
        <f t="shared" si="74"/>
        <v>2016</v>
      </c>
      <c r="C2386" s="3">
        <f t="shared" si="75"/>
        <v>5</v>
      </c>
      <c r="D2386" t="s">
        <v>474</v>
      </c>
      <c r="E2386" t="s">
        <v>17</v>
      </c>
      <c r="F2386" t="s">
        <v>13</v>
      </c>
      <c r="G2386" t="s">
        <v>14</v>
      </c>
      <c r="H2386" t="s">
        <v>1988</v>
      </c>
      <c r="I2386" s="2">
        <v>93.98</v>
      </c>
      <c r="J2386" s="3">
        <v>2</v>
      </c>
      <c r="K2386" s="2">
        <v>13.16</v>
      </c>
    </row>
    <row r="2387" spans="1:11" x14ac:dyDescent="0.35">
      <c r="A2387" s="1">
        <v>42499</v>
      </c>
      <c r="B2387" s="3">
        <f t="shared" si="74"/>
        <v>2016</v>
      </c>
      <c r="C2387" s="3">
        <f t="shared" si="75"/>
        <v>5</v>
      </c>
      <c r="D2387" t="s">
        <v>1549</v>
      </c>
      <c r="E2387" t="s">
        <v>89</v>
      </c>
      <c r="F2387" t="s">
        <v>28</v>
      </c>
      <c r="G2387" t="s">
        <v>158</v>
      </c>
      <c r="H2387" t="s">
        <v>159</v>
      </c>
      <c r="I2387" s="2">
        <v>9.34</v>
      </c>
      <c r="J2387" s="3">
        <v>1</v>
      </c>
      <c r="K2387" s="2">
        <v>3.5</v>
      </c>
    </row>
    <row r="2388" spans="1:11" x14ac:dyDescent="0.35">
      <c r="A2388" s="1">
        <v>42499</v>
      </c>
      <c r="B2388" s="3">
        <f t="shared" si="74"/>
        <v>2016</v>
      </c>
      <c r="C2388" s="3">
        <f t="shared" si="75"/>
        <v>5</v>
      </c>
      <c r="D2388" t="s">
        <v>1549</v>
      </c>
      <c r="E2388" t="s">
        <v>89</v>
      </c>
      <c r="F2388" t="s">
        <v>28</v>
      </c>
      <c r="G2388" t="s">
        <v>64</v>
      </c>
      <c r="H2388" t="s">
        <v>358</v>
      </c>
      <c r="I2388" s="2">
        <v>79.36</v>
      </c>
      <c r="J2388" s="3">
        <v>5</v>
      </c>
      <c r="K2388" s="2">
        <v>9.92</v>
      </c>
    </row>
    <row r="2389" spans="1:11" x14ac:dyDescent="0.35">
      <c r="A2389" s="1">
        <v>42499</v>
      </c>
      <c r="B2389" s="3">
        <f t="shared" si="74"/>
        <v>2016</v>
      </c>
      <c r="C2389" s="3">
        <f t="shared" si="75"/>
        <v>5</v>
      </c>
      <c r="D2389" t="s">
        <v>1558</v>
      </c>
      <c r="E2389" t="s">
        <v>22</v>
      </c>
      <c r="F2389" t="s">
        <v>28</v>
      </c>
      <c r="G2389" t="s">
        <v>64</v>
      </c>
      <c r="H2389" t="s">
        <v>1989</v>
      </c>
      <c r="I2389" s="2">
        <v>8</v>
      </c>
      <c r="J2389" s="3">
        <v>5</v>
      </c>
      <c r="K2389" s="2">
        <v>3.44</v>
      </c>
    </row>
    <row r="2390" spans="1:11" x14ac:dyDescent="0.35">
      <c r="A2390" s="1">
        <v>42499</v>
      </c>
      <c r="B2390" s="3">
        <f t="shared" si="74"/>
        <v>2016</v>
      </c>
      <c r="C2390" s="3">
        <f t="shared" si="75"/>
        <v>5</v>
      </c>
      <c r="D2390" t="s">
        <v>478</v>
      </c>
      <c r="E2390" t="s">
        <v>45</v>
      </c>
      <c r="F2390" t="s">
        <v>28</v>
      </c>
      <c r="G2390" t="s">
        <v>29</v>
      </c>
      <c r="H2390" t="s">
        <v>1990</v>
      </c>
      <c r="I2390" s="2">
        <v>32.04</v>
      </c>
      <c r="J2390" s="3">
        <v>4</v>
      </c>
      <c r="K2390" s="2">
        <v>14.42</v>
      </c>
    </row>
    <row r="2391" spans="1:11" x14ac:dyDescent="0.35">
      <c r="A2391" s="1">
        <v>42499</v>
      </c>
      <c r="B2391" s="3">
        <f t="shared" si="74"/>
        <v>2016</v>
      </c>
      <c r="C2391" s="3">
        <f t="shared" si="75"/>
        <v>5</v>
      </c>
      <c r="D2391" t="s">
        <v>422</v>
      </c>
      <c r="E2391" t="s">
        <v>32</v>
      </c>
      <c r="F2391" t="s">
        <v>13</v>
      </c>
      <c r="G2391" t="s">
        <v>23</v>
      </c>
      <c r="H2391" t="s">
        <v>225</v>
      </c>
      <c r="I2391" s="2">
        <v>19.14</v>
      </c>
      <c r="J2391" s="3">
        <v>2</v>
      </c>
      <c r="K2391" s="2">
        <v>1.91</v>
      </c>
    </row>
    <row r="2392" spans="1:11" x14ac:dyDescent="0.35">
      <c r="A2392" s="1">
        <v>42499</v>
      </c>
      <c r="B2392" s="3">
        <f t="shared" si="74"/>
        <v>2016</v>
      </c>
      <c r="C2392" s="3">
        <f t="shared" si="75"/>
        <v>5</v>
      </c>
      <c r="D2392" t="s">
        <v>1991</v>
      </c>
      <c r="E2392" t="s">
        <v>173</v>
      </c>
      <c r="F2392" t="s">
        <v>28</v>
      </c>
      <c r="G2392" t="s">
        <v>64</v>
      </c>
      <c r="H2392" t="s">
        <v>1625</v>
      </c>
      <c r="I2392" s="2">
        <v>27.86</v>
      </c>
      <c r="J2392" s="3">
        <v>7</v>
      </c>
      <c r="K2392" s="2">
        <v>9.19</v>
      </c>
    </row>
    <row r="2393" spans="1:11" x14ac:dyDescent="0.35">
      <c r="A2393" s="1">
        <v>42499</v>
      </c>
      <c r="B2393" s="3">
        <f t="shared" si="74"/>
        <v>2016</v>
      </c>
      <c r="C2393" s="3">
        <f t="shared" si="75"/>
        <v>5</v>
      </c>
      <c r="D2393" t="s">
        <v>1664</v>
      </c>
      <c r="E2393" t="s">
        <v>32</v>
      </c>
      <c r="F2393" t="s">
        <v>28</v>
      </c>
      <c r="G2393" t="s">
        <v>38</v>
      </c>
      <c r="H2393" t="s">
        <v>185</v>
      </c>
      <c r="I2393" s="2">
        <v>856.66</v>
      </c>
      <c r="J2393" s="3">
        <v>6</v>
      </c>
      <c r="K2393" s="2">
        <v>107.08</v>
      </c>
    </row>
    <row r="2394" spans="1:11" x14ac:dyDescent="0.35">
      <c r="A2394" s="1">
        <v>42499</v>
      </c>
      <c r="B2394" s="3">
        <f t="shared" si="74"/>
        <v>2016</v>
      </c>
      <c r="C2394" s="3">
        <f t="shared" si="75"/>
        <v>5</v>
      </c>
      <c r="D2394" t="s">
        <v>1664</v>
      </c>
      <c r="E2394" t="s">
        <v>32</v>
      </c>
      <c r="F2394" t="s">
        <v>28</v>
      </c>
      <c r="G2394" t="s">
        <v>48</v>
      </c>
      <c r="H2394" t="s">
        <v>390</v>
      </c>
      <c r="I2394" s="2">
        <v>13.18</v>
      </c>
      <c r="J2394" s="3">
        <v>4</v>
      </c>
      <c r="K2394" s="2">
        <v>-20.440000000000001</v>
      </c>
    </row>
    <row r="2395" spans="1:11" x14ac:dyDescent="0.35">
      <c r="A2395" s="1">
        <v>42499</v>
      </c>
      <c r="B2395" s="3">
        <f t="shared" si="74"/>
        <v>2016</v>
      </c>
      <c r="C2395" s="3">
        <f t="shared" si="75"/>
        <v>5</v>
      </c>
      <c r="D2395" t="s">
        <v>1664</v>
      </c>
      <c r="E2395" t="s">
        <v>32</v>
      </c>
      <c r="F2395" t="s">
        <v>28</v>
      </c>
      <c r="G2395" t="s">
        <v>58</v>
      </c>
      <c r="H2395" t="s">
        <v>1992</v>
      </c>
      <c r="I2395" s="2">
        <v>48.78</v>
      </c>
      <c r="J2395" s="3">
        <v>4</v>
      </c>
      <c r="K2395" s="2">
        <v>-131.72</v>
      </c>
    </row>
    <row r="2396" spans="1:11" x14ac:dyDescent="0.35">
      <c r="A2396" s="1">
        <v>42499</v>
      </c>
      <c r="B2396" s="3">
        <f t="shared" si="74"/>
        <v>2016</v>
      </c>
      <c r="C2396" s="3">
        <f t="shared" si="75"/>
        <v>5</v>
      </c>
      <c r="D2396" t="s">
        <v>1664</v>
      </c>
      <c r="E2396" t="s">
        <v>32</v>
      </c>
      <c r="F2396" t="s">
        <v>28</v>
      </c>
      <c r="G2396" t="s">
        <v>29</v>
      </c>
      <c r="H2396" t="s">
        <v>1993</v>
      </c>
      <c r="I2396" s="2">
        <v>76.64</v>
      </c>
      <c r="J2396" s="3">
        <v>2</v>
      </c>
      <c r="K2396" s="2">
        <v>26.82</v>
      </c>
    </row>
    <row r="2397" spans="1:11" x14ac:dyDescent="0.35">
      <c r="A2397" s="1">
        <v>42499</v>
      </c>
      <c r="B2397" s="3">
        <f t="shared" si="74"/>
        <v>2016</v>
      </c>
      <c r="C2397" s="3">
        <f t="shared" si="75"/>
        <v>5</v>
      </c>
      <c r="D2397" t="s">
        <v>1664</v>
      </c>
      <c r="E2397" t="s">
        <v>32</v>
      </c>
      <c r="F2397" t="s">
        <v>28</v>
      </c>
      <c r="G2397" t="s">
        <v>48</v>
      </c>
      <c r="H2397" t="s">
        <v>1717</v>
      </c>
      <c r="I2397" s="2">
        <v>18.53</v>
      </c>
      <c r="J2397" s="3">
        <v>6</v>
      </c>
      <c r="K2397" s="2">
        <v>-27.79</v>
      </c>
    </row>
    <row r="2398" spans="1:11" x14ac:dyDescent="0.35">
      <c r="A2398" s="1">
        <v>42530</v>
      </c>
      <c r="B2398" s="3">
        <f t="shared" si="74"/>
        <v>2016</v>
      </c>
      <c r="C2398" s="3">
        <f t="shared" si="75"/>
        <v>6</v>
      </c>
      <c r="D2398" t="s">
        <v>835</v>
      </c>
      <c r="E2398" t="s">
        <v>45</v>
      </c>
      <c r="F2398" t="s">
        <v>13</v>
      </c>
      <c r="G2398" t="s">
        <v>23</v>
      </c>
      <c r="H2398" t="s">
        <v>1790</v>
      </c>
      <c r="I2398" s="2">
        <v>177.48</v>
      </c>
      <c r="J2398" s="3">
        <v>3</v>
      </c>
      <c r="K2398" s="2">
        <v>19.97</v>
      </c>
    </row>
    <row r="2399" spans="1:11" x14ac:dyDescent="0.35">
      <c r="A2399" s="1">
        <v>42530</v>
      </c>
      <c r="B2399" s="3">
        <f t="shared" si="74"/>
        <v>2016</v>
      </c>
      <c r="C2399" s="3">
        <f t="shared" si="75"/>
        <v>6</v>
      </c>
      <c r="D2399" t="s">
        <v>1994</v>
      </c>
      <c r="E2399" t="s">
        <v>77</v>
      </c>
      <c r="F2399" t="s">
        <v>13</v>
      </c>
      <c r="G2399" t="s">
        <v>204</v>
      </c>
      <c r="H2399" t="s">
        <v>1995</v>
      </c>
      <c r="I2399" s="2">
        <v>695.7</v>
      </c>
      <c r="J2399" s="3">
        <v>2</v>
      </c>
      <c r="K2399" s="2">
        <v>-27.83</v>
      </c>
    </row>
    <row r="2400" spans="1:11" x14ac:dyDescent="0.35">
      <c r="A2400" s="1">
        <v>42530</v>
      </c>
      <c r="B2400" s="3">
        <f t="shared" si="74"/>
        <v>2016</v>
      </c>
      <c r="C2400" s="3">
        <f t="shared" si="75"/>
        <v>6</v>
      </c>
      <c r="D2400" t="s">
        <v>1853</v>
      </c>
      <c r="E2400" t="s">
        <v>45</v>
      </c>
      <c r="F2400" t="s">
        <v>18</v>
      </c>
      <c r="G2400" t="s">
        <v>19</v>
      </c>
      <c r="H2400" t="s">
        <v>305</v>
      </c>
      <c r="I2400" s="2">
        <v>122.35</v>
      </c>
      <c r="J2400" s="3">
        <v>3</v>
      </c>
      <c r="K2400" s="2">
        <v>13.76</v>
      </c>
    </row>
    <row r="2401" spans="1:11" x14ac:dyDescent="0.35">
      <c r="A2401" s="1">
        <v>42530</v>
      </c>
      <c r="B2401" s="3">
        <f t="shared" si="74"/>
        <v>2016</v>
      </c>
      <c r="C2401" s="3">
        <f t="shared" si="75"/>
        <v>6</v>
      </c>
      <c r="D2401" t="s">
        <v>815</v>
      </c>
      <c r="E2401" t="s">
        <v>55</v>
      </c>
      <c r="F2401" t="s">
        <v>18</v>
      </c>
      <c r="G2401" t="s">
        <v>42</v>
      </c>
      <c r="H2401" t="s">
        <v>1996</v>
      </c>
      <c r="I2401" s="2">
        <v>692.94</v>
      </c>
      <c r="J2401" s="3">
        <v>3</v>
      </c>
      <c r="K2401" s="2">
        <v>173.24</v>
      </c>
    </row>
    <row r="2402" spans="1:11" x14ac:dyDescent="0.35">
      <c r="A2402" s="1">
        <v>42560</v>
      </c>
      <c r="B2402" s="3">
        <f t="shared" si="74"/>
        <v>2016</v>
      </c>
      <c r="C2402" s="3">
        <f t="shared" si="75"/>
        <v>7</v>
      </c>
      <c r="D2402" t="s">
        <v>1634</v>
      </c>
      <c r="E2402" t="s">
        <v>22</v>
      </c>
      <c r="F2402" t="s">
        <v>18</v>
      </c>
      <c r="G2402" t="s">
        <v>19</v>
      </c>
      <c r="H2402" t="s">
        <v>481</v>
      </c>
      <c r="I2402" s="2">
        <v>408.01</v>
      </c>
      <c r="J2402" s="3">
        <v>2</v>
      </c>
      <c r="K2402" s="2">
        <v>72.53</v>
      </c>
    </row>
    <row r="2403" spans="1:11" x14ac:dyDescent="0.35">
      <c r="A2403" s="1">
        <v>42560</v>
      </c>
      <c r="B2403" s="3">
        <f t="shared" si="74"/>
        <v>2016</v>
      </c>
      <c r="C2403" s="3">
        <f t="shared" si="75"/>
        <v>7</v>
      </c>
      <c r="D2403" t="s">
        <v>1634</v>
      </c>
      <c r="E2403" t="s">
        <v>22</v>
      </c>
      <c r="F2403" t="s">
        <v>18</v>
      </c>
      <c r="G2403" t="s">
        <v>36</v>
      </c>
      <c r="H2403" t="s">
        <v>908</v>
      </c>
      <c r="I2403" s="2">
        <v>165.28</v>
      </c>
      <c r="J2403" s="3">
        <v>4</v>
      </c>
      <c r="K2403" s="2">
        <v>14.88</v>
      </c>
    </row>
    <row r="2404" spans="1:11" x14ac:dyDescent="0.35">
      <c r="A2404" s="1">
        <v>42591</v>
      </c>
      <c r="B2404" s="3">
        <f t="shared" si="74"/>
        <v>2016</v>
      </c>
      <c r="C2404" s="3">
        <f t="shared" si="75"/>
        <v>8</v>
      </c>
      <c r="D2404" t="s">
        <v>939</v>
      </c>
      <c r="E2404" t="s">
        <v>81</v>
      </c>
      <c r="F2404" t="s">
        <v>28</v>
      </c>
      <c r="G2404" t="s">
        <v>29</v>
      </c>
      <c r="H2404" t="s">
        <v>864</v>
      </c>
      <c r="I2404" s="2">
        <v>30.82</v>
      </c>
      <c r="J2404" s="3">
        <v>9</v>
      </c>
      <c r="K2404" s="2">
        <v>9.6300000000000008</v>
      </c>
    </row>
    <row r="2405" spans="1:11" x14ac:dyDescent="0.35">
      <c r="A2405" s="1">
        <v>42591</v>
      </c>
      <c r="B2405" s="3">
        <f t="shared" si="74"/>
        <v>2016</v>
      </c>
      <c r="C2405" s="3">
        <f t="shared" si="75"/>
        <v>8</v>
      </c>
      <c r="D2405" t="s">
        <v>939</v>
      </c>
      <c r="E2405" t="s">
        <v>81</v>
      </c>
      <c r="F2405" t="s">
        <v>13</v>
      </c>
      <c r="G2405" t="s">
        <v>23</v>
      </c>
      <c r="H2405" t="s">
        <v>1997</v>
      </c>
      <c r="I2405" s="2">
        <v>44.78</v>
      </c>
      <c r="J2405" s="3">
        <v>2</v>
      </c>
      <c r="K2405" s="2">
        <v>4.4800000000000004</v>
      </c>
    </row>
    <row r="2406" spans="1:11" x14ac:dyDescent="0.35">
      <c r="A2406" s="1">
        <v>42591</v>
      </c>
      <c r="B2406" s="3">
        <f t="shared" si="74"/>
        <v>2016</v>
      </c>
      <c r="C2406" s="3">
        <f t="shared" si="75"/>
        <v>8</v>
      </c>
      <c r="D2406" t="s">
        <v>939</v>
      </c>
      <c r="E2406" t="s">
        <v>81</v>
      </c>
      <c r="F2406" t="s">
        <v>28</v>
      </c>
      <c r="G2406" t="s">
        <v>58</v>
      </c>
      <c r="H2406" t="s">
        <v>125</v>
      </c>
      <c r="I2406" s="2">
        <v>569.54</v>
      </c>
      <c r="J2406" s="3">
        <v>4</v>
      </c>
      <c r="K2406" s="2">
        <v>64.069999999999993</v>
      </c>
    </row>
    <row r="2407" spans="1:11" x14ac:dyDescent="0.35">
      <c r="A2407" s="1">
        <v>42591</v>
      </c>
      <c r="B2407" s="3">
        <f t="shared" si="74"/>
        <v>2016</v>
      </c>
      <c r="C2407" s="3">
        <f t="shared" si="75"/>
        <v>8</v>
      </c>
      <c r="D2407" t="s">
        <v>296</v>
      </c>
      <c r="E2407" t="s">
        <v>326</v>
      </c>
      <c r="F2407" t="s">
        <v>28</v>
      </c>
      <c r="G2407" t="s">
        <v>48</v>
      </c>
      <c r="H2407" t="s">
        <v>842</v>
      </c>
      <c r="I2407" s="2">
        <v>4.34</v>
      </c>
      <c r="J2407" s="3">
        <v>3</v>
      </c>
      <c r="K2407" s="2">
        <v>-3.04</v>
      </c>
    </row>
    <row r="2408" spans="1:11" x14ac:dyDescent="0.35">
      <c r="A2408" s="1">
        <v>42591</v>
      </c>
      <c r="B2408" s="3">
        <f t="shared" si="74"/>
        <v>2016</v>
      </c>
      <c r="C2408" s="3">
        <f t="shared" si="75"/>
        <v>8</v>
      </c>
      <c r="D2408" t="s">
        <v>296</v>
      </c>
      <c r="E2408" t="s">
        <v>326</v>
      </c>
      <c r="F2408" t="s">
        <v>28</v>
      </c>
      <c r="G2408" t="s">
        <v>48</v>
      </c>
      <c r="H2408" t="s">
        <v>1998</v>
      </c>
      <c r="I2408" s="2">
        <v>11.88</v>
      </c>
      <c r="J2408" s="3">
        <v>5</v>
      </c>
      <c r="K2408" s="2">
        <v>-7.92</v>
      </c>
    </row>
    <row r="2409" spans="1:11" x14ac:dyDescent="0.35">
      <c r="A2409" s="1">
        <v>42622</v>
      </c>
      <c r="B2409" s="3">
        <f t="shared" si="74"/>
        <v>2016</v>
      </c>
      <c r="C2409" s="3">
        <f t="shared" si="75"/>
        <v>9</v>
      </c>
      <c r="D2409" t="s">
        <v>1999</v>
      </c>
      <c r="E2409" t="s">
        <v>22</v>
      </c>
      <c r="F2409" t="s">
        <v>28</v>
      </c>
      <c r="G2409" t="s">
        <v>48</v>
      </c>
      <c r="H2409" t="s">
        <v>415</v>
      </c>
      <c r="I2409" s="2">
        <v>14.62</v>
      </c>
      <c r="J2409" s="3">
        <v>2</v>
      </c>
      <c r="K2409" s="2">
        <v>5.48</v>
      </c>
    </row>
    <row r="2410" spans="1:11" x14ac:dyDescent="0.35">
      <c r="A2410" s="1">
        <v>42622</v>
      </c>
      <c r="B2410" s="3">
        <f t="shared" si="74"/>
        <v>2016</v>
      </c>
      <c r="C2410" s="3">
        <f t="shared" si="75"/>
        <v>9</v>
      </c>
      <c r="D2410" t="s">
        <v>325</v>
      </c>
      <c r="E2410" t="s">
        <v>45</v>
      </c>
      <c r="F2410" t="s">
        <v>28</v>
      </c>
      <c r="G2410" t="s">
        <v>48</v>
      </c>
      <c r="H2410" t="s">
        <v>883</v>
      </c>
      <c r="I2410" s="2">
        <v>55.36</v>
      </c>
      <c r="J2410" s="3">
        <v>4</v>
      </c>
      <c r="K2410" s="2">
        <v>18.68</v>
      </c>
    </row>
    <row r="2411" spans="1:11" x14ac:dyDescent="0.35">
      <c r="A2411" s="1">
        <v>42622</v>
      </c>
      <c r="B2411" s="3">
        <f t="shared" si="74"/>
        <v>2016</v>
      </c>
      <c r="C2411" s="3">
        <f t="shared" si="75"/>
        <v>9</v>
      </c>
      <c r="D2411" t="s">
        <v>1645</v>
      </c>
      <c r="E2411" t="s">
        <v>32</v>
      </c>
      <c r="F2411" t="s">
        <v>18</v>
      </c>
      <c r="G2411" t="s">
        <v>36</v>
      </c>
      <c r="H2411" t="s">
        <v>2000</v>
      </c>
      <c r="I2411" s="2">
        <v>15.01</v>
      </c>
      <c r="J2411" s="3">
        <v>4</v>
      </c>
      <c r="K2411" s="2">
        <v>-12.01</v>
      </c>
    </row>
    <row r="2412" spans="1:11" x14ac:dyDescent="0.35">
      <c r="A2412" s="1">
        <v>42652</v>
      </c>
      <c r="B2412" s="3">
        <f t="shared" si="74"/>
        <v>2016</v>
      </c>
      <c r="C2412" s="3">
        <f t="shared" si="75"/>
        <v>10</v>
      </c>
      <c r="D2412" t="s">
        <v>1136</v>
      </c>
      <c r="E2412" t="s">
        <v>131</v>
      </c>
      <c r="F2412" t="s">
        <v>13</v>
      </c>
      <c r="G2412" t="s">
        <v>23</v>
      </c>
      <c r="H2412" t="s">
        <v>2001</v>
      </c>
      <c r="I2412" s="2">
        <v>23.98</v>
      </c>
      <c r="J2412" s="3">
        <v>4</v>
      </c>
      <c r="K2412" s="2">
        <v>-15.58</v>
      </c>
    </row>
    <row r="2413" spans="1:11" x14ac:dyDescent="0.35">
      <c r="A2413" s="1">
        <v>42652</v>
      </c>
      <c r="B2413" s="3">
        <f t="shared" si="74"/>
        <v>2016</v>
      </c>
      <c r="C2413" s="3">
        <f t="shared" si="75"/>
        <v>10</v>
      </c>
      <c r="D2413" t="s">
        <v>2002</v>
      </c>
      <c r="E2413" t="s">
        <v>89</v>
      </c>
      <c r="F2413" t="s">
        <v>28</v>
      </c>
      <c r="G2413" t="s">
        <v>29</v>
      </c>
      <c r="H2413" t="s">
        <v>171</v>
      </c>
      <c r="I2413" s="2">
        <v>19.14</v>
      </c>
      <c r="J2413" s="3">
        <v>4</v>
      </c>
      <c r="K2413" s="2">
        <v>5.98</v>
      </c>
    </row>
    <row r="2414" spans="1:11" x14ac:dyDescent="0.35">
      <c r="A2414" s="1">
        <v>42652</v>
      </c>
      <c r="B2414" s="3">
        <f t="shared" si="74"/>
        <v>2016</v>
      </c>
      <c r="C2414" s="3">
        <f t="shared" si="75"/>
        <v>10</v>
      </c>
      <c r="D2414" t="s">
        <v>2002</v>
      </c>
      <c r="E2414" t="s">
        <v>89</v>
      </c>
      <c r="F2414" t="s">
        <v>18</v>
      </c>
      <c r="G2414" t="s">
        <v>36</v>
      </c>
      <c r="H2414" t="s">
        <v>2003</v>
      </c>
      <c r="I2414" s="2">
        <v>332.83</v>
      </c>
      <c r="J2414" s="3">
        <v>4</v>
      </c>
      <c r="K2414" s="2">
        <v>-24.96</v>
      </c>
    </row>
    <row r="2415" spans="1:11" x14ac:dyDescent="0.35">
      <c r="A2415" s="1">
        <v>42652</v>
      </c>
      <c r="B2415" s="3">
        <f t="shared" si="74"/>
        <v>2016</v>
      </c>
      <c r="C2415" s="3">
        <f t="shared" si="75"/>
        <v>10</v>
      </c>
      <c r="D2415" t="s">
        <v>1444</v>
      </c>
      <c r="E2415" t="s">
        <v>211</v>
      </c>
      <c r="F2415" t="s">
        <v>28</v>
      </c>
      <c r="G2415" t="s">
        <v>64</v>
      </c>
      <c r="H2415" t="s">
        <v>1307</v>
      </c>
      <c r="I2415" s="2">
        <v>1.41</v>
      </c>
      <c r="J2415" s="3">
        <v>1</v>
      </c>
      <c r="K2415" s="2">
        <v>0.16</v>
      </c>
    </row>
    <row r="2416" spans="1:11" x14ac:dyDescent="0.35">
      <c r="A2416" s="1">
        <v>42652</v>
      </c>
      <c r="B2416" s="3">
        <f t="shared" si="74"/>
        <v>2016</v>
      </c>
      <c r="C2416" s="3">
        <f t="shared" si="75"/>
        <v>10</v>
      </c>
      <c r="D2416" t="s">
        <v>1444</v>
      </c>
      <c r="E2416" t="s">
        <v>211</v>
      </c>
      <c r="F2416" t="s">
        <v>18</v>
      </c>
      <c r="G2416" t="s">
        <v>36</v>
      </c>
      <c r="H2416" t="s">
        <v>1952</v>
      </c>
      <c r="I2416" s="2">
        <v>169.57</v>
      </c>
      <c r="J2416" s="3">
        <v>2</v>
      </c>
      <c r="K2416" s="2">
        <v>0</v>
      </c>
    </row>
    <row r="2417" spans="1:11" x14ac:dyDescent="0.35">
      <c r="A2417" s="1">
        <v>42683</v>
      </c>
      <c r="B2417" s="3">
        <f t="shared" si="74"/>
        <v>2016</v>
      </c>
      <c r="C2417" s="3">
        <f t="shared" si="75"/>
        <v>11</v>
      </c>
      <c r="D2417" t="s">
        <v>2004</v>
      </c>
      <c r="E2417" t="s">
        <v>45</v>
      </c>
      <c r="F2417" t="s">
        <v>13</v>
      </c>
      <c r="G2417" t="s">
        <v>14</v>
      </c>
      <c r="H2417" t="s">
        <v>426</v>
      </c>
      <c r="I2417" s="2">
        <v>479.97</v>
      </c>
      <c r="J2417" s="3">
        <v>3</v>
      </c>
      <c r="K2417" s="2">
        <v>177.59</v>
      </c>
    </row>
    <row r="2418" spans="1:11" x14ac:dyDescent="0.35">
      <c r="A2418" s="1">
        <v>42713</v>
      </c>
      <c r="B2418" s="3">
        <f t="shared" si="74"/>
        <v>2016</v>
      </c>
      <c r="C2418" s="3">
        <f t="shared" si="75"/>
        <v>12</v>
      </c>
      <c r="D2418" t="s">
        <v>361</v>
      </c>
      <c r="E2418" t="s">
        <v>334</v>
      </c>
      <c r="F2418" t="s">
        <v>28</v>
      </c>
      <c r="G2418" t="s">
        <v>64</v>
      </c>
      <c r="H2418" t="s">
        <v>2005</v>
      </c>
      <c r="I2418" s="2">
        <v>19.46</v>
      </c>
      <c r="J2418" s="3">
        <v>7</v>
      </c>
      <c r="K2418" s="2">
        <v>5.0599999999999996</v>
      </c>
    </row>
    <row r="2419" spans="1:11" x14ac:dyDescent="0.35">
      <c r="A2419" s="1">
        <v>42713</v>
      </c>
      <c r="B2419" s="3">
        <f t="shared" si="74"/>
        <v>2016</v>
      </c>
      <c r="C2419" s="3">
        <f t="shared" si="75"/>
        <v>12</v>
      </c>
      <c r="D2419" t="s">
        <v>361</v>
      </c>
      <c r="E2419" t="s">
        <v>334</v>
      </c>
      <c r="F2419" t="s">
        <v>28</v>
      </c>
      <c r="G2419" t="s">
        <v>58</v>
      </c>
      <c r="H2419" t="s">
        <v>1374</v>
      </c>
      <c r="I2419" s="2">
        <v>60.34</v>
      </c>
      <c r="J2419" s="3">
        <v>7</v>
      </c>
      <c r="K2419" s="2">
        <v>15.69</v>
      </c>
    </row>
    <row r="2420" spans="1:11" x14ac:dyDescent="0.35">
      <c r="A2420" s="1">
        <v>42713</v>
      </c>
      <c r="B2420" s="3">
        <f t="shared" si="74"/>
        <v>2016</v>
      </c>
      <c r="C2420" s="3">
        <f t="shared" si="75"/>
        <v>12</v>
      </c>
      <c r="D2420" t="s">
        <v>1500</v>
      </c>
      <c r="E2420" t="s">
        <v>51</v>
      </c>
      <c r="F2420" t="s">
        <v>28</v>
      </c>
      <c r="G2420" t="s">
        <v>46</v>
      </c>
      <c r="H2420" t="s">
        <v>2006</v>
      </c>
      <c r="I2420" s="2">
        <v>3.69</v>
      </c>
      <c r="J2420" s="3">
        <v>1</v>
      </c>
      <c r="K2420" s="2">
        <v>1.73</v>
      </c>
    </row>
    <row r="2421" spans="1:11" x14ac:dyDescent="0.35">
      <c r="A2421" s="1">
        <v>42713</v>
      </c>
      <c r="B2421" s="3">
        <f t="shared" si="74"/>
        <v>2016</v>
      </c>
      <c r="C2421" s="3">
        <f t="shared" si="75"/>
        <v>12</v>
      </c>
      <c r="D2421" t="s">
        <v>1500</v>
      </c>
      <c r="E2421" t="s">
        <v>51</v>
      </c>
      <c r="F2421" t="s">
        <v>28</v>
      </c>
      <c r="G2421" t="s">
        <v>46</v>
      </c>
      <c r="H2421" t="s">
        <v>1655</v>
      </c>
      <c r="I2421" s="2">
        <v>122.12</v>
      </c>
      <c r="J2421" s="3">
        <v>4</v>
      </c>
      <c r="K2421" s="2">
        <v>56.18</v>
      </c>
    </row>
    <row r="2422" spans="1:11" x14ac:dyDescent="0.35">
      <c r="A2422" s="1">
        <v>42713</v>
      </c>
      <c r="B2422" s="3">
        <f t="shared" si="74"/>
        <v>2016</v>
      </c>
      <c r="C2422" s="3">
        <f t="shared" si="75"/>
        <v>12</v>
      </c>
      <c r="D2422" t="s">
        <v>1292</v>
      </c>
      <c r="E2422" t="s">
        <v>32</v>
      </c>
      <c r="F2422" t="s">
        <v>28</v>
      </c>
      <c r="G2422" t="s">
        <v>29</v>
      </c>
      <c r="H2422" t="s">
        <v>1120</v>
      </c>
      <c r="I2422" s="2">
        <v>9.39</v>
      </c>
      <c r="J2422" s="3">
        <v>2</v>
      </c>
      <c r="K2422" s="2">
        <v>3.29</v>
      </c>
    </row>
    <row r="2423" spans="1:11" x14ac:dyDescent="0.35">
      <c r="A2423" s="1">
        <v>42713</v>
      </c>
      <c r="B2423" s="3">
        <f t="shared" si="74"/>
        <v>2016</v>
      </c>
      <c r="C2423" s="3">
        <f t="shared" si="75"/>
        <v>12</v>
      </c>
      <c r="D2423" t="s">
        <v>1292</v>
      </c>
      <c r="E2423" t="s">
        <v>32</v>
      </c>
      <c r="F2423" t="s">
        <v>28</v>
      </c>
      <c r="G2423" t="s">
        <v>64</v>
      </c>
      <c r="H2423" t="s">
        <v>137</v>
      </c>
      <c r="I2423" s="2">
        <v>9.33</v>
      </c>
      <c r="J2423" s="3">
        <v>1</v>
      </c>
      <c r="K2423" s="2">
        <v>0.82</v>
      </c>
    </row>
    <row r="2424" spans="1:11" x14ac:dyDescent="0.35">
      <c r="A2424" s="1">
        <v>42713</v>
      </c>
      <c r="B2424" s="3">
        <f t="shared" si="74"/>
        <v>2016</v>
      </c>
      <c r="C2424" s="3">
        <f t="shared" si="75"/>
        <v>12</v>
      </c>
      <c r="D2424" t="s">
        <v>1354</v>
      </c>
      <c r="E2424" t="s">
        <v>326</v>
      </c>
      <c r="F2424" t="s">
        <v>18</v>
      </c>
      <c r="G2424" t="s">
        <v>42</v>
      </c>
      <c r="H2424" t="s">
        <v>1741</v>
      </c>
      <c r="I2424" s="2">
        <v>79.97</v>
      </c>
      <c r="J2424" s="3">
        <v>3</v>
      </c>
      <c r="K2424" s="2">
        <v>-29.32</v>
      </c>
    </row>
    <row r="2425" spans="1:11" x14ac:dyDescent="0.35">
      <c r="A2425" s="1">
        <v>42713</v>
      </c>
      <c r="B2425" s="3">
        <f t="shared" si="74"/>
        <v>2016</v>
      </c>
      <c r="C2425" s="3">
        <f t="shared" si="75"/>
        <v>12</v>
      </c>
      <c r="D2425" t="s">
        <v>1354</v>
      </c>
      <c r="E2425" t="s">
        <v>326</v>
      </c>
      <c r="F2425" t="s">
        <v>28</v>
      </c>
      <c r="G2425" t="s">
        <v>48</v>
      </c>
      <c r="H2425" t="s">
        <v>322</v>
      </c>
      <c r="I2425" s="2">
        <v>2.95</v>
      </c>
      <c r="J2425" s="3">
        <v>2</v>
      </c>
      <c r="K2425" s="2">
        <v>-2.06</v>
      </c>
    </row>
    <row r="2426" spans="1:11" x14ac:dyDescent="0.35">
      <c r="A2426" s="1">
        <v>42713</v>
      </c>
      <c r="B2426" s="3">
        <f t="shared" si="74"/>
        <v>2016</v>
      </c>
      <c r="C2426" s="3">
        <f t="shared" si="75"/>
        <v>12</v>
      </c>
      <c r="D2426" t="s">
        <v>1033</v>
      </c>
      <c r="E2426" t="s">
        <v>71</v>
      </c>
      <c r="F2426" t="s">
        <v>13</v>
      </c>
      <c r="G2426" t="s">
        <v>23</v>
      </c>
      <c r="H2426" t="s">
        <v>832</v>
      </c>
      <c r="I2426" s="2">
        <v>10.9</v>
      </c>
      <c r="J2426" s="3">
        <v>1</v>
      </c>
      <c r="K2426" s="2">
        <v>3.05</v>
      </c>
    </row>
    <row r="2427" spans="1:11" x14ac:dyDescent="0.35">
      <c r="A2427" s="1">
        <v>42713</v>
      </c>
      <c r="B2427" s="3">
        <f t="shared" si="74"/>
        <v>2016</v>
      </c>
      <c r="C2427" s="3">
        <f t="shared" si="75"/>
        <v>12</v>
      </c>
      <c r="D2427" t="s">
        <v>1033</v>
      </c>
      <c r="E2427" t="s">
        <v>71</v>
      </c>
      <c r="F2427" t="s">
        <v>13</v>
      </c>
      <c r="G2427" t="s">
        <v>14</v>
      </c>
      <c r="H2427" t="s">
        <v>1198</v>
      </c>
      <c r="I2427" s="2">
        <v>59.98</v>
      </c>
      <c r="J2427" s="3">
        <v>2</v>
      </c>
      <c r="K2427" s="2">
        <v>25.19</v>
      </c>
    </row>
    <row r="2428" spans="1:11" x14ac:dyDescent="0.35">
      <c r="A2428" s="1">
        <v>42713</v>
      </c>
      <c r="B2428" s="3">
        <f t="shared" si="74"/>
        <v>2016</v>
      </c>
      <c r="C2428" s="3">
        <f t="shared" si="75"/>
        <v>12</v>
      </c>
      <c r="D2428" t="s">
        <v>1033</v>
      </c>
      <c r="E2428" t="s">
        <v>71</v>
      </c>
      <c r="F2428" t="s">
        <v>28</v>
      </c>
      <c r="G2428" t="s">
        <v>58</v>
      </c>
      <c r="H2428" t="s">
        <v>1186</v>
      </c>
      <c r="I2428" s="2">
        <v>61.93</v>
      </c>
      <c r="J2428" s="3">
        <v>1</v>
      </c>
      <c r="K2428" s="2">
        <v>23.4</v>
      </c>
    </row>
    <row r="2429" spans="1:11" x14ac:dyDescent="0.35">
      <c r="A2429" s="1">
        <v>42713</v>
      </c>
      <c r="B2429" s="3">
        <f t="shared" si="74"/>
        <v>2016</v>
      </c>
      <c r="C2429" s="3">
        <f t="shared" si="75"/>
        <v>12</v>
      </c>
      <c r="D2429" t="s">
        <v>450</v>
      </c>
      <c r="E2429" t="s">
        <v>326</v>
      </c>
      <c r="F2429" t="s">
        <v>13</v>
      </c>
      <c r="G2429" t="s">
        <v>23</v>
      </c>
      <c r="H2429" t="s">
        <v>2007</v>
      </c>
      <c r="I2429" s="2">
        <v>40.68</v>
      </c>
      <c r="J2429" s="3">
        <v>3</v>
      </c>
      <c r="K2429" s="2">
        <v>-9.15</v>
      </c>
    </row>
    <row r="2430" spans="1:11" x14ac:dyDescent="0.35">
      <c r="A2430" s="1">
        <v>42713</v>
      </c>
      <c r="B2430" s="3">
        <f t="shared" si="74"/>
        <v>2016</v>
      </c>
      <c r="C2430" s="3">
        <f t="shared" si="75"/>
        <v>12</v>
      </c>
      <c r="D2430" t="s">
        <v>1831</v>
      </c>
      <c r="E2430" t="s">
        <v>26</v>
      </c>
      <c r="F2430" t="s">
        <v>28</v>
      </c>
      <c r="G2430" t="s">
        <v>215</v>
      </c>
      <c r="H2430" t="s">
        <v>554</v>
      </c>
      <c r="I2430" s="2">
        <v>20.57</v>
      </c>
      <c r="J2430" s="3">
        <v>3</v>
      </c>
      <c r="K2430" s="2">
        <v>1.54</v>
      </c>
    </row>
    <row r="2431" spans="1:11" x14ac:dyDescent="0.35">
      <c r="A2431" s="1">
        <v>42713</v>
      </c>
      <c r="B2431" s="3">
        <f t="shared" si="74"/>
        <v>2016</v>
      </c>
      <c r="C2431" s="3">
        <f t="shared" si="75"/>
        <v>12</v>
      </c>
      <c r="D2431" t="s">
        <v>1831</v>
      </c>
      <c r="E2431" t="s">
        <v>26</v>
      </c>
      <c r="F2431" t="s">
        <v>28</v>
      </c>
      <c r="G2431" t="s">
        <v>58</v>
      </c>
      <c r="H2431" t="s">
        <v>176</v>
      </c>
      <c r="I2431" s="2">
        <v>4.3600000000000003</v>
      </c>
      <c r="J2431" s="3">
        <v>2</v>
      </c>
      <c r="K2431" s="2">
        <v>-11.76</v>
      </c>
    </row>
    <row r="2432" spans="1:11" x14ac:dyDescent="0.35">
      <c r="A2432" s="1">
        <v>42713</v>
      </c>
      <c r="B2432" s="3">
        <f t="shared" si="74"/>
        <v>2016</v>
      </c>
      <c r="C2432" s="3">
        <f t="shared" si="75"/>
        <v>12</v>
      </c>
      <c r="D2432" t="s">
        <v>1831</v>
      </c>
      <c r="E2432" t="s">
        <v>26</v>
      </c>
      <c r="F2432" t="s">
        <v>13</v>
      </c>
      <c r="G2432" t="s">
        <v>14</v>
      </c>
      <c r="H2432" t="s">
        <v>255</v>
      </c>
      <c r="I2432" s="2">
        <v>19.04</v>
      </c>
      <c r="J2432" s="3">
        <v>4</v>
      </c>
      <c r="K2432" s="2">
        <v>-1.43</v>
      </c>
    </row>
    <row r="2433" spans="1:11" x14ac:dyDescent="0.35">
      <c r="A2433" s="1">
        <v>42713</v>
      </c>
      <c r="B2433" s="3">
        <f t="shared" si="74"/>
        <v>2016</v>
      </c>
      <c r="C2433" s="3">
        <f t="shared" si="75"/>
        <v>12</v>
      </c>
      <c r="D2433" t="s">
        <v>333</v>
      </c>
      <c r="E2433" t="s">
        <v>45</v>
      </c>
      <c r="F2433" t="s">
        <v>28</v>
      </c>
      <c r="G2433" t="s">
        <v>48</v>
      </c>
      <c r="H2433" t="s">
        <v>1476</v>
      </c>
      <c r="I2433" s="2">
        <v>273.92</v>
      </c>
      <c r="J2433" s="3">
        <v>8</v>
      </c>
      <c r="K2433" s="2">
        <v>99.3</v>
      </c>
    </row>
    <row r="2434" spans="1:11" x14ac:dyDescent="0.35">
      <c r="A2434" s="1">
        <v>42713</v>
      </c>
      <c r="B2434" s="3">
        <f t="shared" ref="B2434:B2497" si="76">YEAR(A2434)</f>
        <v>2016</v>
      </c>
      <c r="C2434" s="3">
        <f t="shared" ref="C2434:C2497" si="77">MONTH(A2434)</f>
        <v>12</v>
      </c>
      <c r="D2434" t="s">
        <v>367</v>
      </c>
      <c r="E2434" t="s">
        <v>173</v>
      </c>
      <c r="F2434" t="s">
        <v>18</v>
      </c>
      <c r="G2434" t="s">
        <v>42</v>
      </c>
      <c r="H2434" t="s">
        <v>1076</v>
      </c>
      <c r="I2434" s="2">
        <v>1056.8599999999999</v>
      </c>
      <c r="J2434" s="3">
        <v>7</v>
      </c>
      <c r="K2434" s="2">
        <v>158.53</v>
      </c>
    </row>
    <row r="2435" spans="1:11" x14ac:dyDescent="0.35">
      <c r="A2435" s="1">
        <v>42379</v>
      </c>
      <c r="B2435" s="3">
        <f t="shared" si="76"/>
        <v>2016</v>
      </c>
      <c r="C2435" s="3">
        <f t="shared" si="77"/>
        <v>1</v>
      </c>
      <c r="D2435" t="s">
        <v>361</v>
      </c>
      <c r="E2435" t="s">
        <v>17</v>
      </c>
      <c r="F2435" t="s">
        <v>18</v>
      </c>
      <c r="G2435" t="s">
        <v>36</v>
      </c>
      <c r="H2435" t="s">
        <v>1119</v>
      </c>
      <c r="I2435" s="2">
        <v>79.92</v>
      </c>
      <c r="J2435" s="3">
        <v>4</v>
      </c>
      <c r="K2435" s="2">
        <v>34.369999999999997</v>
      </c>
    </row>
    <row r="2436" spans="1:11" x14ac:dyDescent="0.35">
      <c r="A2436" s="1">
        <v>42379</v>
      </c>
      <c r="B2436" s="3">
        <f t="shared" si="76"/>
        <v>2016</v>
      </c>
      <c r="C2436" s="3">
        <f t="shared" si="77"/>
        <v>1</v>
      </c>
      <c r="D2436" t="s">
        <v>361</v>
      </c>
      <c r="E2436" t="s">
        <v>17</v>
      </c>
      <c r="F2436" t="s">
        <v>13</v>
      </c>
      <c r="G2436" t="s">
        <v>14</v>
      </c>
      <c r="H2436" t="s">
        <v>2008</v>
      </c>
      <c r="I2436" s="2">
        <v>69.98</v>
      </c>
      <c r="J2436" s="3">
        <v>2</v>
      </c>
      <c r="K2436" s="2">
        <v>13.3</v>
      </c>
    </row>
    <row r="2437" spans="1:11" x14ac:dyDescent="0.35">
      <c r="A2437" s="1">
        <v>42379</v>
      </c>
      <c r="B2437" s="3">
        <f t="shared" si="76"/>
        <v>2016</v>
      </c>
      <c r="C2437" s="3">
        <f t="shared" si="77"/>
        <v>1</v>
      </c>
      <c r="D2437" t="s">
        <v>2009</v>
      </c>
      <c r="E2437" t="s">
        <v>17</v>
      </c>
      <c r="F2437" t="s">
        <v>18</v>
      </c>
      <c r="G2437" t="s">
        <v>36</v>
      </c>
      <c r="H2437" t="s">
        <v>877</v>
      </c>
      <c r="I2437" s="2">
        <v>24.85</v>
      </c>
      <c r="J2437" s="3">
        <v>5</v>
      </c>
      <c r="K2437" s="2">
        <v>7.7</v>
      </c>
    </row>
    <row r="2438" spans="1:11" x14ac:dyDescent="0.35">
      <c r="A2438" s="1">
        <v>42439</v>
      </c>
      <c r="B2438" s="3">
        <f t="shared" si="76"/>
        <v>2016</v>
      </c>
      <c r="C2438" s="3">
        <f t="shared" si="77"/>
        <v>3</v>
      </c>
      <c r="D2438" t="s">
        <v>1772</v>
      </c>
      <c r="E2438" t="s">
        <v>22</v>
      </c>
      <c r="F2438" t="s">
        <v>18</v>
      </c>
      <c r="G2438" t="s">
        <v>237</v>
      </c>
      <c r="H2438" t="s">
        <v>238</v>
      </c>
      <c r="I2438" s="2">
        <v>176.78</v>
      </c>
      <c r="J2438" s="3">
        <v>1</v>
      </c>
      <c r="K2438" s="2">
        <v>-22.1</v>
      </c>
    </row>
    <row r="2439" spans="1:11" x14ac:dyDescent="0.35">
      <c r="A2439" s="1">
        <v>42439</v>
      </c>
      <c r="B2439" s="3">
        <f t="shared" si="76"/>
        <v>2016</v>
      </c>
      <c r="C2439" s="3">
        <f t="shared" si="77"/>
        <v>3</v>
      </c>
      <c r="D2439" t="s">
        <v>1687</v>
      </c>
      <c r="E2439" t="s">
        <v>89</v>
      </c>
      <c r="F2439" t="s">
        <v>13</v>
      </c>
      <c r="G2439" t="s">
        <v>14</v>
      </c>
      <c r="H2439" t="s">
        <v>492</v>
      </c>
      <c r="I2439" s="2">
        <v>39.99</v>
      </c>
      <c r="J2439" s="3">
        <v>1</v>
      </c>
      <c r="K2439" s="2">
        <v>7.5</v>
      </c>
    </row>
    <row r="2440" spans="1:11" x14ac:dyDescent="0.35">
      <c r="A2440" s="1">
        <v>42439</v>
      </c>
      <c r="B2440" s="3">
        <f t="shared" si="76"/>
        <v>2016</v>
      </c>
      <c r="C2440" s="3">
        <f t="shared" si="77"/>
        <v>3</v>
      </c>
      <c r="D2440" t="s">
        <v>2010</v>
      </c>
      <c r="E2440" t="s">
        <v>45</v>
      </c>
      <c r="F2440" t="s">
        <v>28</v>
      </c>
      <c r="G2440" t="s">
        <v>29</v>
      </c>
      <c r="H2440" t="s">
        <v>2011</v>
      </c>
      <c r="I2440" s="2">
        <v>14.9</v>
      </c>
      <c r="J2440" s="3">
        <v>5</v>
      </c>
      <c r="K2440" s="2">
        <v>7.15</v>
      </c>
    </row>
    <row r="2441" spans="1:11" x14ac:dyDescent="0.35">
      <c r="A2441" s="1">
        <v>42439</v>
      </c>
      <c r="B2441" s="3">
        <f t="shared" si="76"/>
        <v>2016</v>
      </c>
      <c r="C2441" s="3">
        <f t="shared" si="77"/>
        <v>3</v>
      </c>
      <c r="D2441" t="s">
        <v>2010</v>
      </c>
      <c r="E2441" t="s">
        <v>45</v>
      </c>
      <c r="F2441" t="s">
        <v>13</v>
      </c>
      <c r="G2441" t="s">
        <v>23</v>
      </c>
      <c r="H2441" t="s">
        <v>1659</v>
      </c>
      <c r="I2441" s="2">
        <v>4158.91</v>
      </c>
      <c r="J2441" s="3">
        <v>8</v>
      </c>
      <c r="K2441" s="2">
        <v>363.9</v>
      </c>
    </row>
    <row r="2442" spans="1:11" x14ac:dyDescent="0.35">
      <c r="A2442" s="1">
        <v>42439</v>
      </c>
      <c r="B2442" s="3">
        <f t="shared" si="76"/>
        <v>2016</v>
      </c>
      <c r="C2442" s="3">
        <f t="shared" si="77"/>
        <v>3</v>
      </c>
      <c r="D2442" t="s">
        <v>2012</v>
      </c>
      <c r="E2442" t="s">
        <v>45</v>
      </c>
      <c r="F2442" t="s">
        <v>13</v>
      </c>
      <c r="G2442" t="s">
        <v>14</v>
      </c>
      <c r="H2442" t="s">
        <v>218</v>
      </c>
      <c r="I2442" s="2">
        <v>26.85</v>
      </c>
      <c r="J2442" s="3">
        <v>3</v>
      </c>
      <c r="K2442" s="2">
        <v>5.0999999999999996</v>
      </c>
    </row>
    <row r="2443" spans="1:11" x14ac:dyDescent="0.35">
      <c r="A2443" s="1">
        <v>42439</v>
      </c>
      <c r="B2443" s="3">
        <f t="shared" si="76"/>
        <v>2016</v>
      </c>
      <c r="C2443" s="3">
        <f t="shared" si="77"/>
        <v>3</v>
      </c>
      <c r="D2443" t="s">
        <v>2012</v>
      </c>
      <c r="E2443" t="s">
        <v>45</v>
      </c>
      <c r="F2443" t="s">
        <v>13</v>
      </c>
      <c r="G2443" t="s">
        <v>204</v>
      </c>
      <c r="H2443" t="s">
        <v>2013</v>
      </c>
      <c r="I2443" s="2">
        <v>3357.6</v>
      </c>
      <c r="J2443" s="3">
        <v>3</v>
      </c>
      <c r="K2443" s="2">
        <v>377.73</v>
      </c>
    </row>
    <row r="2444" spans="1:11" x14ac:dyDescent="0.35">
      <c r="A2444" s="1">
        <v>42439</v>
      </c>
      <c r="B2444" s="3">
        <f t="shared" si="76"/>
        <v>2016</v>
      </c>
      <c r="C2444" s="3">
        <f t="shared" si="77"/>
        <v>3</v>
      </c>
      <c r="D2444" t="s">
        <v>2014</v>
      </c>
      <c r="E2444" t="s">
        <v>211</v>
      </c>
      <c r="F2444" t="s">
        <v>28</v>
      </c>
      <c r="G2444" t="s">
        <v>38</v>
      </c>
      <c r="H2444" t="s">
        <v>1933</v>
      </c>
      <c r="I2444" s="2">
        <v>104.7</v>
      </c>
      <c r="J2444" s="3">
        <v>1</v>
      </c>
      <c r="K2444" s="2">
        <v>6.54</v>
      </c>
    </row>
    <row r="2445" spans="1:11" x14ac:dyDescent="0.35">
      <c r="A2445" s="1">
        <v>42470</v>
      </c>
      <c r="B2445" s="3">
        <f t="shared" si="76"/>
        <v>2016</v>
      </c>
      <c r="C2445" s="3">
        <f t="shared" si="77"/>
        <v>4</v>
      </c>
      <c r="D2445" t="s">
        <v>1983</v>
      </c>
      <c r="E2445" t="s">
        <v>131</v>
      </c>
      <c r="F2445" t="s">
        <v>28</v>
      </c>
      <c r="G2445" t="s">
        <v>48</v>
      </c>
      <c r="H2445" t="s">
        <v>97</v>
      </c>
      <c r="I2445" s="2">
        <v>8.9</v>
      </c>
      <c r="J2445" s="3">
        <v>2</v>
      </c>
      <c r="K2445" s="2">
        <v>-6.53</v>
      </c>
    </row>
    <row r="2446" spans="1:11" x14ac:dyDescent="0.35">
      <c r="A2446" s="1">
        <v>42470</v>
      </c>
      <c r="B2446" s="3">
        <f t="shared" si="76"/>
        <v>2016</v>
      </c>
      <c r="C2446" s="3">
        <f t="shared" si="77"/>
        <v>4</v>
      </c>
      <c r="D2446" t="s">
        <v>889</v>
      </c>
      <c r="E2446" t="s">
        <v>45</v>
      </c>
      <c r="F2446" t="s">
        <v>28</v>
      </c>
      <c r="G2446" t="s">
        <v>29</v>
      </c>
      <c r="H2446" t="s">
        <v>2015</v>
      </c>
      <c r="I2446" s="2">
        <v>12.96</v>
      </c>
      <c r="J2446" s="3">
        <v>2</v>
      </c>
      <c r="K2446" s="2">
        <v>6.22</v>
      </c>
    </row>
    <row r="2447" spans="1:11" x14ac:dyDescent="0.35">
      <c r="A2447" s="1">
        <v>42470</v>
      </c>
      <c r="B2447" s="3">
        <f t="shared" si="76"/>
        <v>2016</v>
      </c>
      <c r="C2447" s="3">
        <f t="shared" si="77"/>
        <v>4</v>
      </c>
      <c r="D2447" t="s">
        <v>889</v>
      </c>
      <c r="E2447" t="s">
        <v>45</v>
      </c>
      <c r="F2447" t="s">
        <v>28</v>
      </c>
      <c r="G2447" t="s">
        <v>48</v>
      </c>
      <c r="H2447" t="s">
        <v>2016</v>
      </c>
      <c r="I2447" s="2">
        <v>23.2</v>
      </c>
      <c r="J2447" s="3">
        <v>5</v>
      </c>
      <c r="K2447" s="2">
        <v>8.1199999999999992</v>
      </c>
    </row>
    <row r="2448" spans="1:11" x14ac:dyDescent="0.35">
      <c r="A2448" s="1">
        <v>42470</v>
      </c>
      <c r="B2448" s="3">
        <f t="shared" si="76"/>
        <v>2016</v>
      </c>
      <c r="C2448" s="3">
        <f t="shared" si="77"/>
        <v>4</v>
      </c>
      <c r="D2448" t="s">
        <v>1438</v>
      </c>
      <c r="E2448" t="s">
        <v>45</v>
      </c>
      <c r="F2448" t="s">
        <v>28</v>
      </c>
      <c r="G2448" t="s">
        <v>58</v>
      </c>
      <c r="H2448" t="s">
        <v>1550</v>
      </c>
      <c r="I2448" s="2">
        <v>113.76</v>
      </c>
      <c r="J2448" s="3">
        <v>3</v>
      </c>
      <c r="K2448" s="2">
        <v>44.37</v>
      </c>
    </row>
    <row r="2449" spans="1:11" x14ac:dyDescent="0.35">
      <c r="A2449" s="1">
        <v>42470</v>
      </c>
      <c r="B2449" s="3">
        <f t="shared" si="76"/>
        <v>2016</v>
      </c>
      <c r="C2449" s="3">
        <f t="shared" si="77"/>
        <v>4</v>
      </c>
      <c r="D2449" t="s">
        <v>1438</v>
      </c>
      <c r="E2449" t="s">
        <v>45</v>
      </c>
      <c r="F2449" t="s">
        <v>28</v>
      </c>
      <c r="G2449" t="s">
        <v>38</v>
      </c>
      <c r="H2449" t="s">
        <v>576</v>
      </c>
      <c r="I2449" s="2">
        <v>579.51</v>
      </c>
      <c r="J2449" s="3">
        <v>3</v>
      </c>
      <c r="K2449" s="2">
        <v>81.13</v>
      </c>
    </row>
    <row r="2450" spans="1:11" x14ac:dyDescent="0.35">
      <c r="A2450" s="1">
        <v>42470</v>
      </c>
      <c r="B2450" s="3">
        <f t="shared" si="76"/>
        <v>2016</v>
      </c>
      <c r="C2450" s="3">
        <f t="shared" si="77"/>
        <v>4</v>
      </c>
      <c r="D2450" t="s">
        <v>1438</v>
      </c>
      <c r="E2450" t="s">
        <v>45</v>
      </c>
      <c r="F2450" t="s">
        <v>28</v>
      </c>
      <c r="G2450" t="s">
        <v>38</v>
      </c>
      <c r="H2450" t="s">
        <v>52</v>
      </c>
      <c r="I2450" s="2">
        <v>150.66</v>
      </c>
      <c r="J2450" s="3">
        <v>9</v>
      </c>
      <c r="K2450" s="2">
        <v>6.03</v>
      </c>
    </row>
    <row r="2451" spans="1:11" x14ac:dyDescent="0.35">
      <c r="A2451" s="1">
        <v>42470</v>
      </c>
      <c r="B2451" s="3">
        <f t="shared" si="76"/>
        <v>2016</v>
      </c>
      <c r="C2451" s="3">
        <f t="shared" si="77"/>
        <v>4</v>
      </c>
      <c r="D2451" t="s">
        <v>1438</v>
      </c>
      <c r="E2451" t="s">
        <v>45</v>
      </c>
      <c r="F2451" t="s">
        <v>28</v>
      </c>
      <c r="G2451" t="s">
        <v>48</v>
      </c>
      <c r="H2451" t="s">
        <v>2017</v>
      </c>
      <c r="I2451" s="2">
        <v>48.03</v>
      </c>
      <c r="J2451" s="3">
        <v>4</v>
      </c>
      <c r="K2451" s="2">
        <v>15.61</v>
      </c>
    </row>
    <row r="2452" spans="1:11" x14ac:dyDescent="0.35">
      <c r="A2452" s="1">
        <v>42470</v>
      </c>
      <c r="B2452" s="3">
        <f t="shared" si="76"/>
        <v>2016</v>
      </c>
      <c r="C2452" s="3">
        <f t="shared" si="77"/>
        <v>4</v>
      </c>
      <c r="D2452" t="s">
        <v>70</v>
      </c>
      <c r="E2452" t="s">
        <v>26</v>
      </c>
      <c r="F2452" t="s">
        <v>28</v>
      </c>
      <c r="G2452" t="s">
        <v>64</v>
      </c>
      <c r="H2452" t="s">
        <v>948</v>
      </c>
      <c r="I2452" s="2">
        <v>13.57</v>
      </c>
      <c r="J2452" s="3">
        <v>4</v>
      </c>
      <c r="K2452" s="2">
        <v>3.22</v>
      </c>
    </row>
    <row r="2453" spans="1:11" x14ac:dyDescent="0.35">
      <c r="A2453" s="1">
        <v>42500</v>
      </c>
      <c r="B2453" s="3">
        <f t="shared" si="76"/>
        <v>2016</v>
      </c>
      <c r="C2453" s="3">
        <f t="shared" si="77"/>
        <v>5</v>
      </c>
      <c r="D2453" t="s">
        <v>219</v>
      </c>
      <c r="E2453" t="s">
        <v>17</v>
      </c>
      <c r="F2453" t="s">
        <v>28</v>
      </c>
      <c r="G2453" t="s">
        <v>29</v>
      </c>
      <c r="H2453" t="s">
        <v>1834</v>
      </c>
      <c r="I2453" s="2">
        <v>11.96</v>
      </c>
      <c r="J2453" s="3">
        <v>2</v>
      </c>
      <c r="K2453" s="2">
        <v>5.86</v>
      </c>
    </row>
    <row r="2454" spans="1:11" x14ac:dyDescent="0.35">
      <c r="A2454" s="1">
        <v>42500</v>
      </c>
      <c r="B2454" s="3">
        <f t="shared" si="76"/>
        <v>2016</v>
      </c>
      <c r="C2454" s="3">
        <f t="shared" si="77"/>
        <v>5</v>
      </c>
      <c r="D2454" t="s">
        <v>1131</v>
      </c>
      <c r="E2454" t="s">
        <v>89</v>
      </c>
      <c r="F2454" t="s">
        <v>13</v>
      </c>
      <c r="G2454" t="s">
        <v>23</v>
      </c>
      <c r="H2454" t="s">
        <v>105</v>
      </c>
      <c r="I2454" s="2">
        <v>743.99</v>
      </c>
      <c r="J2454" s="3">
        <v>2</v>
      </c>
      <c r="K2454" s="2">
        <v>-124</v>
      </c>
    </row>
    <row r="2455" spans="1:11" x14ac:dyDescent="0.35">
      <c r="A2455" s="1">
        <v>42500</v>
      </c>
      <c r="B2455" s="3">
        <f t="shared" si="76"/>
        <v>2016</v>
      </c>
      <c r="C2455" s="3">
        <f t="shared" si="77"/>
        <v>5</v>
      </c>
      <c r="D2455" t="s">
        <v>789</v>
      </c>
      <c r="E2455" t="s">
        <v>26</v>
      </c>
      <c r="F2455" t="s">
        <v>28</v>
      </c>
      <c r="G2455" t="s">
        <v>158</v>
      </c>
      <c r="H2455" t="s">
        <v>2018</v>
      </c>
      <c r="I2455" s="2">
        <v>7.07</v>
      </c>
      <c r="J2455" s="3">
        <v>2</v>
      </c>
      <c r="K2455" s="2">
        <v>2.39</v>
      </c>
    </row>
    <row r="2456" spans="1:11" x14ac:dyDescent="0.35">
      <c r="A2456" s="1">
        <v>42531</v>
      </c>
      <c r="B2456" s="3">
        <f t="shared" si="76"/>
        <v>2016</v>
      </c>
      <c r="C2456" s="3">
        <f t="shared" si="77"/>
        <v>6</v>
      </c>
      <c r="D2456" t="s">
        <v>2019</v>
      </c>
      <c r="E2456" t="s">
        <v>45</v>
      </c>
      <c r="F2456" t="s">
        <v>28</v>
      </c>
      <c r="G2456" t="s">
        <v>46</v>
      </c>
      <c r="H2456" t="s">
        <v>1644</v>
      </c>
      <c r="I2456" s="2">
        <v>20.7</v>
      </c>
      <c r="J2456" s="3">
        <v>2</v>
      </c>
      <c r="K2456" s="2">
        <v>9.94</v>
      </c>
    </row>
    <row r="2457" spans="1:11" x14ac:dyDescent="0.35">
      <c r="A2457" s="1">
        <v>42531</v>
      </c>
      <c r="B2457" s="3">
        <f t="shared" si="76"/>
        <v>2016</v>
      </c>
      <c r="C2457" s="3">
        <f t="shared" si="77"/>
        <v>6</v>
      </c>
      <c r="D2457" t="s">
        <v>2019</v>
      </c>
      <c r="E2457" t="s">
        <v>45</v>
      </c>
      <c r="F2457" t="s">
        <v>18</v>
      </c>
      <c r="G2457" t="s">
        <v>42</v>
      </c>
      <c r="H2457" t="s">
        <v>2020</v>
      </c>
      <c r="I2457" s="2">
        <v>1335.68</v>
      </c>
      <c r="J2457" s="3">
        <v>4</v>
      </c>
      <c r="K2457" s="2">
        <v>-217.05</v>
      </c>
    </row>
    <row r="2458" spans="1:11" x14ac:dyDescent="0.35">
      <c r="A2458" s="1">
        <v>42531</v>
      </c>
      <c r="B2458" s="3">
        <f t="shared" si="76"/>
        <v>2016</v>
      </c>
      <c r="C2458" s="3">
        <f t="shared" si="77"/>
        <v>6</v>
      </c>
      <c r="D2458" t="s">
        <v>2019</v>
      </c>
      <c r="E2458" t="s">
        <v>45</v>
      </c>
      <c r="F2458" t="s">
        <v>28</v>
      </c>
      <c r="G2458" t="s">
        <v>29</v>
      </c>
      <c r="H2458" t="s">
        <v>612</v>
      </c>
      <c r="I2458" s="2">
        <v>32.4</v>
      </c>
      <c r="J2458" s="3">
        <v>5</v>
      </c>
      <c r="K2458" s="2">
        <v>15.55</v>
      </c>
    </row>
    <row r="2459" spans="1:11" x14ac:dyDescent="0.35">
      <c r="A2459" s="1">
        <v>42531</v>
      </c>
      <c r="B2459" s="3">
        <f t="shared" si="76"/>
        <v>2016</v>
      </c>
      <c r="C2459" s="3">
        <f t="shared" si="77"/>
        <v>6</v>
      </c>
      <c r="D2459" t="s">
        <v>2009</v>
      </c>
      <c r="E2459" t="s">
        <v>89</v>
      </c>
      <c r="F2459" t="s">
        <v>28</v>
      </c>
      <c r="G2459" t="s">
        <v>46</v>
      </c>
      <c r="H2459" t="s">
        <v>2021</v>
      </c>
      <c r="I2459" s="2">
        <v>23.62</v>
      </c>
      <c r="J2459" s="3">
        <v>8</v>
      </c>
      <c r="K2459" s="2">
        <v>7.97</v>
      </c>
    </row>
    <row r="2460" spans="1:11" x14ac:dyDescent="0.35">
      <c r="A2460" s="1">
        <v>42561</v>
      </c>
      <c r="B2460" s="3">
        <f t="shared" si="76"/>
        <v>2016</v>
      </c>
      <c r="C2460" s="3">
        <f t="shared" si="77"/>
        <v>7</v>
      </c>
      <c r="D2460" t="s">
        <v>1158</v>
      </c>
      <c r="E2460" t="s">
        <v>211</v>
      </c>
      <c r="F2460" t="s">
        <v>28</v>
      </c>
      <c r="G2460" t="s">
        <v>38</v>
      </c>
      <c r="H2460" t="s">
        <v>1184</v>
      </c>
      <c r="I2460" s="2">
        <v>16.77</v>
      </c>
      <c r="J2460" s="3">
        <v>2</v>
      </c>
      <c r="K2460" s="2">
        <v>1.47</v>
      </c>
    </row>
    <row r="2461" spans="1:11" x14ac:dyDescent="0.35">
      <c r="A2461" s="1">
        <v>42561</v>
      </c>
      <c r="B2461" s="3">
        <f t="shared" si="76"/>
        <v>2016</v>
      </c>
      <c r="C2461" s="3">
        <f t="shared" si="77"/>
        <v>7</v>
      </c>
      <c r="D2461" t="s">
        <v>1033</v>
      </c>
      <c r="E2461" t="s">
        <v>32</v>
      </c>
      <c r="F2461" t="s">
        <v>28</v>
      </c>
      <c r="G2461" t="s">
        <v>38</v>
      </c>
      <c r="H2461" t="s">
        <v>1259</v>
      </c>
      <c r="I2461" s="2">
        <v>338.04</v>
      </c>
      <c r="J2461" s="3">
        <v>3</v>
      </c>
      <c r="K2461" s="2">
        <v>-33.799999999999997</v>
      </c>
    </row>
    <row r="2462" spans="1:11" x14ac:dyDescent="0.35">
      <c r="A2462" s="1">
        <v>42561</v>
      </c>
      <c r="B2462" s="3">
        <f t="shared" si="76"/>
        <v>2016</v>
      </c>
      <c r="C2462" s="3">
        <f t="shared" si="77"/>
        <v>7</v>
      </c>
      <c r="D2462" t="s">
        <v>1033</v>
      </c>
      <c r="E2462" t="s">
        <v>32</v>
      </c>
      <c r="F2462" t="s">
        <v>28</v>
      </c>
      <c r="G2462" t="s">
        <v>64</v>
      </c>
      <c r="H2462" t="s">
        <v>65</v>
      </c>
      <c r="I2462" s="2">
        <v>154.24</v>
      </c>
      <c r="J2462" s="3">
        <v>4</v>
      </c>
      <c r="K2462" s="2">
        <v>17.350000000000001</v>
      </c>
    </row>
    <row r="2463" spans="1:11" x14ac:dyDescent="0.35">
      <c r="A2463" s="1">
        <v>42561</v>
      </c>
      <c r="B2463" s="3">
        <f t="shared" si="76"/>
        <v>2016</v>
      </c>
      <c r="C2463" s="3">
        <f t="shared" si="77"/>
        <v>7</v>
      </c>
      <c r="D2463" t="s">
        <v>189</v>
      </c>
      <c r="E2463" t="s">
        <v>211</v>
      </c>
      <c r="F2463" t="s">
        <v>28</v>
      </c>
      <c r="G2463" t="s">
        <v>48</v>
      </c>
      <c r="H2463" t="s">
        <v>134</v>
      </c>
      <c r="I2463" s="2">
        <v>44.86</v>
      </c>
      <c r="J2463" s="3">
        <v>6</v>
      </c>
      <c r="K2463" s="2">
        <v>-35.880000000000003</v>
      </c>
    </row>
    <row r="2464" spans="1:11" x14ac:dyDescent="0.35">
      <c r="A2464" s="1">
        <v>42561</v>
      </c>
      <c r="B2464" s="3">
        <f t="shared" si="76"/>
        <v>2016</v>
      </c>
      <c r="C2464" s="3">
        <f t="shared" si="77"/>
        <v>7</v>
      </c>
      <c r="D2464" t="s">
        <v>130</v>
      </c>
      <c r="E2464" t="s">
        <v>89</v>
      </c>
      <c r="F2464" t="s">
        <v>13</v>
      </c>
      <c r="G2464" t="s">
        <v>204</v>
      </c>
      <c r="H2464" t="s">
        <v>2022</v>
      </c>
      <c r="I2464" s="2">
        <v>341.99</v>
      </c>
      <c r="J2464" s="3">
        <v>3</v>
      </c>
      <c r="K2464" s="2">
        <v>-319.19</v>
      </c>
    </row>
    <row r="2465" spans="1:11" x14ac:dyDescent="0.35">
      <c r="A2465" s="1">
        <v>42623</v>
      </c>
      <c r="B2465" s="3">
        <f t="shared" si="76"/>
        <v>2016</v>
      </c>
      <c r="C2465" s="3">
        <f t="shared" si="77"/>
        <v>9</v>
      </c>
      <c r="D2465" t="s">
        <v>1369</v>
      </c>
      <c r="E2465" t="s">
        <v>22</v>
      </c>
      <c r="F2465" t="s">
        <v>28</v>
      </c>
      <c r="G2465" t="s">
        <v>38</v>
      </c>
      <c r="H2465" t="s">
        <v>2023</v>
      </c>
      <c r="I2465" s="2">
        <v>59.48</v>
      </c>
      <c r="J2465" s="3">
        <v>2</v>
      </c>
      <c r="K2465" s="2">
        <v>8.92</v>
      </c>
    </row>
    <row r="2466" spans="1:11" x14ac:dyDescent="0.35">
      <c r="A2466" s="1">
        <v>42623</v>
      </c>
      <c r="B2466" s="3">
        <f t="shared" si="76"/>
        <v>2016</v>
      </c>
      <c r="C2466" s="3">
        <f t="shared" si="77"/>
        <v>9</v>
      </c>
      <c r="D2466" t="s">
        <v>1369</v>
      </c>
      <c r="E2466" t="s">
        <v>22</v>
      </c>
      <c r="F2466" t="s">
        <v>28</v>
      </c>
      <c r="G2466" t="s">
        <v>29</v>
      </c>
      <c r="H2466" t="s">
        <v>2024</v>
      </c>
      <c r="I2466" s="2">
        <v>6.69</v>
      </c>
      <c r="J2466" s="3">
        <v>1</v>
      </c>
      <c r="K2466" s="2">
        <v>3.08</v>
      </c>
    </row>
    <row r="2467" spans="1:11" x14ac:dyDescent="0.35">
      <c r="A2467" s="1">
        <v>42623</v>
      </c>
      <c r="B2467" s="3">
        <f t="shared" si="76"/>
        <v>2016</v>
      </c>
      <c r="C2467" s="3">
        <f t="shared" si="77"/>
        <v>9</v>
      </c>
      <c r="D2467" t="s">
        <v>1058</v>
      </c>
      <c r="E2467" t="s">
        <v>326</v>
      </c>
      <c r="F2467" t="s">
        <v>28</v>
      </c>
      <c r="G2467" t="s">
        <v>64</v>
      </c>
      <c r="H2467" t="s">
        <v>1842</v>
      </c>
      <c r="I2467" s="2">
        <v>67.56</v>
      </c>
      <c r="J2467" s="3">
        <v>3</v>
      </c>
      <c r="K2467" s="2">
        <v>8.4499999999999993</v>
      </c>
    </row>
    <row r="2468" spans="1:11" x14ac:dyDescent="0.35">
      <c r="A2468" s="1">
        <v>42623</v>
      </c>
      <c r="B2468" s="3">
        <f t="shared" si="76"/>
        <v>2016</v>
      </c>
      <c r="C2468" s="3">
        <f t="shared" si="77"/>
        <v>9</v>
      </c>
      <c r="D2468" t="s">
        <v>676</v>
      </c>
      <c r="E2468" t="s">
        <v>32</v>
      </c>
      <c r="F2468" t="s">
        <v>18</v>
      </c>
      <c r="G2468" t="s">
        <v>42</v>
      </c>
      <c r="H2468" t="s">
        <v>283</v>
      </c>
      <c r="I2468" s="2">
        <v>300.93</v>
      </c>
      <c r="J2468" s="3">
        <v>5</v>
      </c>
      <c r="K2468" s="2">
        <v>-34.39</v>
      </c>
    </row>
    <row r="2469" spans="1:11" x14ac:dyDescent="0.35">
      <c r="A2469" s="1">
        <v>42623</v>
      </c>
      <c r="B2469" s="3">
        <f t="shared" si="76"/>
        <v>2016</v>
      </c>
      <c r="C2469" s="3">
        <f t="shared" si="77"/>
        <v>9</v>
      </c>
      <c r="D2469" t="s">
        <v>676</v>
      </c>
      <c r="E2469" t="s">
        <v>32</v>
      </c>
      <c r="F2469" t="s">
        <v>13</v>
      </c>
      <c r="G2469" t="s">
        <v>23</v>
      </c>
      <c r="H2469" t="s">
        <v>919</v>
      </c>
      <c r="I2469" s="2">
        <v>719.96</v>
      </c>
      <c r="J2469" s="3">
        <v>5</v>
      </c>
      <c r="K2469" s="2">
        <v>54</v>
      </c>
    </row>
    <row r="2470" spans="1:11" x14ac:dyDescent="0.35">
      <c r="A2470" s="1">
        <v>42623</v>
      </c>
      <c r="B2470" s="3">
        <f t="shared" si="76"/>
        <v>2016</v>
      </c>
      <c r="C2470" s="3">
        <f t="shared" si="77"/>
        <v>9</v>
      </c>
      <c r="D2470" t="s">
        <v>1537</v>
      </c>
      <c r="E2470" t="s">
        <v>77</v>
      </c>
      <c r="F2470" t="s">
        <v>13</v>
      </c>
      <c r="G2470" t="s">
        <v>23</v>
      </c>
      <c r="H2470" t="s">
        <v>955</v>
      </c>
      <c r="I2470" s="2">
        <v>519.67999999999995</v>
      </c>
      <c r="J2470" s="3">
        <v>7</v>
      </c>
      <c r="K2470" s="2">
        <v>58.46</v>
      </c>
    </row>
    <row r="2471" spans="1:11" x14ac:dyDescent="0.35">
      <c r="A2471" s="1">
        <v>42623</v>
      </c>
      <c r="B2471" s="3">
        <f t="shared" si="76"/>
        <v>2016</v>
      </c>
      <c r="C2471" s="3">
        <f t="shared" si="77"/>
        <v>9</v>
      </c>
      <c r="D2471" t="s">
        <v>1687</v>
      </c>
      <c r="E2471" t="s">
        <v>17</v>
      </c>
      <c r="F2471" t="s">
        <v>28</v>
      </c>
      <c r="G2471" t="s">
        <v>46</v>
      </c>
      <c r="H2471" t="s">
        <v>2021</v>
      </c>
      <c r="I2471" s="2">
        <v>7.38</v>
      </c>
      <c r="J2471" s="3">
        <v>2</v>
      </c>
      <c r="K2471" s="2">
        <v>3.47</v>
      </c>
    </row>
    <row r="2472" spans="1:11" x14ac:dyDescent="0.35">
      <c r="A2472" s="1">
        <v>42623</v>
      </c>
      <c r="B2472" s="3">
        <f t="shared" si="76"/>
        <v>2016</v>
      </c>
      <c r="C2472" s="3">
        <f t="shared" si="77"/>
        <v>9</v>
      </c>
      <c r="D2472" t="s">
        <v>1687</v>
      </c>
      <c r="E2472" t="s">
        <v>17</v>
      </c>
      <c r="F2472" t="s">
        <v>28</v>
      </c>
      <c r="G2472" t="s">
        <v>48</v>
      </c>
      <c r="H2472" t="s">
        <v>454</v>
      </c>
      <c r="I2472" s="2">
        <v>14.26</v>
      </c>
      <c r="J2472" s="3">
        <v>3</v>
      </c>
      <c r="K2472" s="2">
        <v>4.46</v>
      </c>
    </row>
    <row r="2473" spans="1:11" x14ac:dyDescent="0.35">
      <c r="A2473" s="1">
        <v>42623</v>
      </c>
      <c r="B2473" s="3">
        <f t="shared" si="76"/>
        <v>2016</v>
      </c>
      <c r="C2473" s="3">
        <f t="shared" si="77"/>
        <v>9</v>
      </c>
      <c r="D2473" t="s">
        <v>1687</v>
      </c>
      <c r="E2473" t="s">
        <v>17</v>
      </c>
      <c r="F2473" t="s">
        <v>28</v>
      </c>
      <c r="G2473" t="s">
        <v>29</v>
      </c>
      <c r="H2473" t="s">
        <v>610</v>
      </c>
      <c r="I2473" s="2">
        <v>81.98</v>
      </c>
      <c r="J2473" s="3">
        <v>2</v>
      </c>
      <c r="K2473" s="2">
        <v>40.17</v>
      </c>
    </row>
    <row r="2474" spans="1:11" x14ac:dyDescent="0.35">
      <c r="A2474" s="1">
        <v>42623</v>
      </c>
      <c r="B2474" s="3">
        <f t="shared" si="76"/>
        <v>2016</v>
      </c>
      <c r="C2474" s="3">
        <f t="shared" si="77"/>
        <v>9</v>
      </c>
      <c r="D2474" t="s">
        <v>1687</v>
      </c>
      <c r="E2474" t="s">
        <v>17</v>
      </c>
      <c r="F2474" t="s">
        <v>28</v>
      </c>
      <c r="G2474" t="s">
        <v>48</v>
      </c>
      <c r="H2474" t="s">
        <v>2025</v>
      </c>
      <c r="I2474" s="2">
        <v>39.619999999999997</v>
      </c>
      <c r="J2474" s="3">
        <v>3</v>
      </c>
      <c r="K2474" s="2">
        <v>13.87</v>
      </c>
    </row>
    <row r="2475" spans="1:11" x14ac:dyDescent="0.35">
      <c r="A2475" s="1">
        <v>42623</v>
      </c>
      <c r="B2475" s="3">
        <f t="shared" si="76"/>
        <v>2016</v>
      </c>
      <c r="C2475" s="3">
        <f t="shared" si="77"/>
        <v>9</v>
      </c>
      <c r="D2475" t="s">
        <v>1509</v>
      </c>
      <c r="E2475" t="s">
        <v>45</v>
      </c>
      <c r="F2475" t="s">
        <v>28</v>
      </c>
      <c r="G2475" t="s">
        <v>48</v>
      </c>
      <c r="H2475" t="s">
        <v>1721</v>
      </c>
      <c r="I2475" s="2">
        <v>276.77999999999997</v>
      </c>
      <c r="J2475" s="3">
        <v>2</v>
      </c>
      <c r="K2475" s="2">
        <v>89.95</v>
      </c>
    </row>
    <row r="2476" spans="1:11" x14ac:dyDescent="0.35">
      <c r="A2476" s="1">
        <v>42653</v>
      </c>
      <c r="B2476" s="3">
        <f t="shared" si="76"/>
        <v>2016</v>
      </c>
      <c r="C2476" s="3">
        <f t="shared" si="77"/>
        <v>10</v>
      </c>
      <c r="D2476" t="s">
        <v>1776</v>
      </c>
      <c r="E2476" t="s">
        <v>81</v>
      </c>
      <c r="F2476" t="s">
        <v>28</v>
      </c>
      <c r="G2476" t="s">
        <v>215</v>
      </c>
      <c r="H2476" t="s">
        <v>538</v>
      </c>
      <c r="I2476" s="2">
        <v>20.61</v>
      </c>
      <c r="J2476" s="3">
        <v>2</v>
      </c>
      <c r="K2476" s="2">
        <v>-4.38</v>
      </c>
    </row>
    <row r="2477" spans="1:11" x14ac:dyDescent="0.35">
      <c r="A2477" s="1">
        <v>42653</v>
      </c>
      <c r="B2477" s="3">
        <f t="shared" si="76"/>
        <v>2016</v>
      </c>
      <c r="C2477" s="3">
        <f t="shared" si="77"/>
        <v>10</v>
      </c>
      <c r="D2477" t="s">
        <v>1776</v>
      </c>
      <c r="E2477" t="s">
        <v>81</v>
      </c>
      <c r="F2477" t="s">
        <v>28</v>
      </c>
      <c r="G2477" t="s">
        <v>48</v>
      </c>
      <c r="H2477" t="s">
        <v>560</v>
      </c>
      <c r="I2477" s="2">
        <v>4.0999999999999996</v>
      </c>
      <c r="J2477" s="3">
        <v>3</v>
      </c>
      <c r="K2477" s="2">
        <v>-2.73</v>
      </c>
    </row>
    <row r="2478" spans="1:11" x14ac:dyDescent="0.35">
      <c r="A2478" s="1">
        <v>42653</v>
      </c>
      <c r="B2478" s="3">
        <f t="shared" si="76"/>
        <v>2016</v>
      </c>
      <c r="C2478" s="3">
        <f t="shared" si="77"/>
        <v>10</v>
      </c>
      <c r="D2478" t="s">
        <v>1384</v>
      </c>
      <c r="E2478" t="s">
        <v>103</v>
      </c>
      <c r="F2478" t="s">
        <v>18</v>
      </c>
      <c r="G2478" t="s">
        <v>237</v>
      </c>
      <c r="H2478" t="s">
        <v>2026</v>
      </c>
      <c r="I2478" s="2">
        <v>90.88</v>
      </c>
      <c r="J2478" s="3">
        <v>3</v>
      </c>
      <c r="K2478" s="2">
        <v>-190.85</v>
      </c>
    </row>
    <row r="2479" spans="1:11" x14ac:dyDescent="0.35">
      <c r="A2479" s="1">
        <v>42653</v>
      </c>
      <c r="B2479" s="3">
        <f t="shared" si="76"/>
        <v>2016</v>
      </c>
      <c r="C2479" s="3">
        <f t="shared" si="77"/>
        <v>10</v>
      </c>
      <c r="D2479" t="s">
        <v>1384</v>
      </c>
      <c r="E2479" t="s">
        <v>103</v>
      </c>
      <c r="F2479" t="s">
        <v>13</v>
      </c>
      <c r="G2479" t="s">
        <v>23</v>
      </c>
      <c r="H2479" t="s">
        <v>808</v>
      </c>
      <c r="I2479" s="2">
        <v>15.99</v>
      </c>
      <c r="J2479" s="3">
        <v>1</v>
      </c>
      <c r="K2479" s="2">
        <v>-3</v>
      </c>
    </row>
    <row r="2480" spans="1:11" x14ac:dyDescent="0.35">
      <c r="A2480" s="1">
        <v>42653</v>
      </c>
      <c r="B2480" s="3">
        <f t="shared" si="76"/>
        <v>2016</v>
      </c>
      <c r="C2480" s="3">
        <f t="shared" si="77"/>
        <v>10</v>
      </c>
      <c r="D2480" t="s">
        <v>1384</v>
      </c>
      <c r="E2480" t="s">
        <v>103</v>
      </c>
      <c r="F2480" t="s">
        <v>18</v>
      </c>
      <c r="G2480" t="s">
        <v>19</v>
      </c>
      <c r="H2480" t="s">
        <v>2027</v>
      </c>
      <c r="I2480" s="2">
        <v>120.78</v>
      </c>
      <c r="J2480" s="3">
        <v>1</v>
      </c>
      <c r="K2480" s="2">
        <v>13.59</v>
      </c>
    </row>
    <row r="2481" spans="1:11" x14ac:dyDescent="0.35">
      <c r="A2481" s="1">
        <v>42653</v>
      </c>
      <c r="B2481" s="3">
        <f t="shared" si="76"/>
        <v>2016</v>
      </c>
      <c r="C2481" s="3">
        <f t="shared" si="77"/>
        <v>10</v>
      </c>
      <c r="D2481" t="s">
        <v>412</v>
      </c>
      <c r="E2481" t="s">
        <v>32</v>
      </c>
      <c r="F2481" t="s">
        <v>18</v>
      </c>
      <c r="G2481" t="s">
        <v>36</v>
      </c>
      <c r="H2481" t="s">
        <v>2028</v>
      </c>
      <c r="I2481" s="2">
        <v>14</v>
      </c>
      <c r="J2481" s="3">
        <v>4</v>
      </c>
      <c r="K2481" s="2">
        <v>-6.3</v>
      </c>
    </row>
    <row r="2482" spans="1:11" x14ac:dyDescent="0.35">
      <c r="A2482" s="1">
        <v>42653</v>
      </c>
      <c r="B2482" s="3">
        <f t="shared" si="76"/>
        <v>2016</v>
      </c>
      <c r="C2482" s="3">
        <f t="shared" si="77"/>
        <v>10</v>
      </c>
      <c r="D2482" t="s">
        <v>412</v>
      </c>
      <c r="E2482" t="s">
        <v>32</v>
      </c>
      <c r="F2482" t="s">
        <v>28</v>
      </c>
      <c r="G2482" t="s">
        <v>48</v>
      </c>
      <c r="H2482" t="s">
        <v>686</v>
      </c>
      <c r="I2482" s="2">
        <v>16.39</v>
      </c>
      <c r="J2482" s="3">
        <v>2</v>
      </c>
      <c r="K2482" s="2">
        <v>-26.23</v>
      </c>
    </row>
    <row r="2483" spans="1:11" x14ac:dyDescent="0.35">
      <c r="A2483" s="1">
        <v>42684</v>
      </c>
      <c r="B2483" s="3">
        <f t="shared" si="76"/>
        <v>2016</v>
      </c>
      <c r="C2483" s="3">
        <f t="shared" si="77"/>
        <v>11</v>
      </c>
      <c r="D2483" t="s">
        <v>2029</v>
      </c>
      <c r="E2483" t="s">
        <v>45</v>
      </c>
      <c r="F2483" t="s">
        <v>28</v>
      </c>
      <c r="G2483" t="s">
        <v>38</v>
      </c>
      <c r="H2483" t="s">
        <v>580</v>
      </c>
      <c r="I2483" s="2">
        <v>155.82</v>
      </c>
      <c r="J2483" s="3">
        <v>7</v>
      </c>
      <c r="K2483" s="2">
        <v>42.07</v>
      </c>
    </row>
    <row r="2484" spans="1:11" x14ac:dyDescent="0.35">
      <c r="A2484" s="1">
        <v>42684</v>
      </c>
      <c r="B2484" s="3">
        <f t="shared" si="76"/>
        <v>2016</v>
      </c>
      <c r="C2484" s="3">
        <f t="shared" si="77"/>
        <v>11</v>
      </c>
      <c r="D2484" t="s">
        <v>2029</v>
      </c>
      <c r="E2484" t="s">
        <v>45</v>
      </c>
      <c r="F2484" t="s">
        <v>28</v>
      </c>
      <c r="G2484" t="s">
        <v>48</v>
      </c>
      <c r="H2484" t="s">
        <v>1654</v>
      </c>
      <c r="I2484" s="2">
        <v>70.010000000000005</v>
      </c>
      <c r="J2484" s="3">
        <v>3</v>
      </c>
      <c r="K2484" s="2">
        <v>24.5</v>
      </c>
    </row>
    <row r="2485" spans="1:11" x14ac:dyDescent="0.35">
      <c r="A2485" s="1">
        <v>42684</v>
      </c>
      <c r="B2485" s="3">
        <f t="shared" si="76"/>
        <v>2016</v>
      </c>
      <c r="C2485" s="3">
        <f t="shared" si="77"/>
        <v>11</v>
      </c>
      <c r="D2485" t="s">
        <v>1328</v>
      </c>
      <c r="E2485" t="s">
        <v>45</v>
      </c>
      <c r="F2485" t="s">
        <v>28</v>
      </c>
      <c r="G2485" t="s">
        <v>48</v>
      </c>
      <c r="H2485" t="s">
        <v>657</v>
      </c>
      <c r="I2485" s="2">
        <v>13.22</v>
      </c>
      <c r="J2485" s="3">
        <v>4</v>
      </c>
      <c r="K2485" s="2">
        <v>4.46</v>
      </c>
    </row>
    <row r="2486" spans="1:11" x14ac:dyDescent="0.35">
      <c r="A2486" s="1">
        <v>42684</v>
      </c>
      <c r="B2486" s="3">
        <f t="shared" si="76"/>
        <v>2016</v>
      </c>
      <c r="C2486" s="3">
        <f t="shared" si="77"/>
        <v>11</v>
      </c>
      <c r="D2486" t="s">
        <v>1328</v>
      </c>
      <c r="E2486" t="s">
        <v>45</v>
      </c>
      <c r="F2486" t="s">
        <v>28</v>
      </c>
      <c r="G2486" t="s">
        <v>29</v>
      </c>
      <c r="H2486" t="s">
        <v>2030</v>
      </c>
      <c r="I2486" s="2">
        <v>32.4</v>
      </c>
      <c r="J2486" s="3">
        <v>5</v>
      </c>
      <c r="K2486" s="2">
        <v>15.55</v>
      </c>
    </row>
    <row r="2487" spans="1:11" x14ac:dyDescent="0.35">
      <c r="A2487" s="1">
        <v>42684</v>
      </c>
      <c r="B2487" s="3">
        <f t="shared" si="76"/>
        <v>2016</v>
      </c>
      <c r="C2487" s="3">
        <f t="shared" si="77"/>
        <v>11</v>
      </c>
      <c r="D2487" t="s">
        <v>2031</v>
      </c>
      <c r="E2487" t="s">
        <v>165</v>
      </c>
      <c r="F2487" t="s">
        <v>28</v>
      </c>
      <c r="G2487" t="s">
        <v>64</v>
      </c>
      <c r="H2487" t="s">
        <v>1668</v>
      </c>
      <c r="I2487" s="2">
        <v>41.86</v>
      </c>
      <c r="J2487" s="3">
        <v>7</v>
      </c>
      <c r="K2487" s="2">
        <v>10.47</v>
      </c>
    </row>
    <row r="2488" spans="1:11" x14ac:dyDescent="0.35">
      <c r="A2488" s="1">
        <v>42684</v>
      </c>
      <c r="B2488" s="3">
        <f t="shared" si="76"/>
        <v>2016</v>
      </c>
      <c r="C2488" s="3">
        <f t="shared" si="77"/>
        <v>11</v>
      </c>
      <c r="D2488" t="s">
        <v>833</v>
      </c>
      <c r="E2488" t="s">
        <v>131</v>
      </c>
      <c r="F2488" t="s">
        <v>28</v>
      </c>
      <c r="G2488" t="s">
        <v>215</v>
      </c>
      <c r="H2488" t="s">
        <v>765</v>
      </c>
      <c r="I2488" s="2">
        <v>14.72</v>
      </c>
      <c r="J2488" s="3">
        <v>5</v>
      </c>
      <c r="K2488" s="2">
        <v>-3.31</v>
      </c>
    </row>
    <row r="2489" spans="1:11" x14ac:dyDescent="0.35">
      <c r="A2489" s="1">
        <v>42684</v>
      </c>
      <c r="B2489" s="3">
        <f t="shared" si="76"/>
        <v>2016</v>
      </c>
      <c r="C2489" s="3">
        <f t="shared" si="77"/>
        <v>11</v>
      </c>
      <c r="D2489" t="s">
        <v>833</v>
      </c>
      <c r="E2489" t="s">
        <v>131</v>
      </c>
      <c r="F2489" t="s">
        <v>28</v>
      </c>
      <c r="G2489" t="s">
        <v>38</v>
      </c>
      <c r="H2489" t="s">
        <v>328</v>
      </c>
      <c r="I2489" s="2">
        <v>38.979999999999997</v>
      </c>
      <c r="J2489" s="3">
        <v>3</v>
      </c>
      <c r="K2489" s="2">
        <v>-2.44</v>
      </c>
    </row>
    <row r="2490" spans="1:11" x14ac:dyDescent="0.35">
      <c r="A2490" s="1">
        <v>42684</v>
      </c>
      <c r="B2490" s="3">
        <f t="shared" si="76"/>
        <v>2016</v>
      </c>
      <c r="C2490" s="3">
        <f t="shared" si="77"/>
        <v>11</v>
      </c>
      <c r="D2490" t="s">
        <v>724</v>
      </c>
      <c r="E2490" t="s">
        <v>131</v>
      </c>
      <c r="F2490" t="s">
        <v>28</v>
      </c>
      <c r="G2490" t="s">
        <v>46</v>
      </c>
      <c r="H2490" t="s">
        <v>1492</v>
      </c>
      <c r="I2490" s="2">
        <v>9.2200000000000006</v>
      </c>
      <c r="J2490" s="3">
        <v>4</v>
      </c>
      <c r="K2490" s="2">
        <v>3.34</v>
      </c>
    </row>
    <row r="2491" spans="1:11" x14ac:dyDescent="0.35">
      <c r="A2491" s="1">
        <v>42684</v>
      </c>
      <c r="B2491" s="3">
        <f t="shared" si="76"/>
        <v>2016</v>
      </c>
      <c r="C2491" s="3">
        <f t="shared" si="77"/>
        <v>11</v>
      </c>
      <c r="D2491" t="s">
        <v>724</v>
      </c>
      <c r="E2491" t="s">
        <v>131</v>
      </c>
      <c r="F2491" t="s">
        <v>13</v>
      </c>
      <c r="G2491" t="s">
        <v>23</v>
      </c>
      <c r="H2491" t="s">
        <v>761</v>
      </c>
      <c r="I2491" s="2">
        <v>41.96</v>
      </c>
      <c r="J2491" s="3">
        <v>7</v>
      </c>
      <c r="K2491" s="2">
        <v>-9.7899999999999991</v>
      </c>
    </row>
    <row r="2492" spans="1:11" x14ac:dyDescent="0.35">
      <c r="A2492" s="1">
        <v>42684</v>
      </c>
      <c r="B2492" s="3">
        <f t="shared" si="76"/>
        <v>2016</v>
      </c>
      <c r="C2492" s="3">
        <f t="shared" si="77"/>
        <v>11</v>
      </c>
      <c r="D2492" t="s">
        <v>724</v>
      </c>
      <c r="E2492" t="s">
        <v>131</v>
      </c>
      <c r="F2492" t="s">
        <v>28</v>
      </c>
      <c r="G2492" t="s">
        <v>29</v>
      </c>
      <c r="H2492" t="s">
        <v>967</v>
      </c>
      <c r="I2492" s="2">
        <v>89.57</v>
      </c>
      <c r="J2492" s="3">
        <v>2</v>
      </c>
      <c r="K2492" s="2">
        <v>32.47</v>
      </c>
    </row>
    <row r="2493" spans="1:11" x14ac:dyDescent="0.35">
      <c r="A2493" s="1">
        <v>42684</v>
      </c>
      <c r="B2493" s="3">
        <f t="shared" si="76"/>
        <v>2016</v>
      </c>
      <c r="C2493" s="3">
        <f t="shared" si="77"/>
        <v>11</v>
      </c>
      <c r="D2493" t="s">
        <v>724</v>
      </c>
      <c r="E2493" t="s">
        <v>131</v>
      </c>
      <c r="F2493" t="s">
        <v>28</v>
      </c>
      <c r="G2493" t="s">
        <v>29</v>
      </c>
      <c r="H2493" t="s">
        <v>966</v>
      </c>
      <c r="I2493" s="2">
        <v>22.25</v>
      </c>
      <c r="J2493" s="3">
        <v>3</v>
      </c>
      <c r="K2493" s="2">
        <v>7.51</v>
      </c>
    </row>
    <row r="2494" spans="1:11" x14ac:dyDescent="0.35">
      <c r="A2494" s="1">
        <v>42684</v>
      </c>
      <c r="B2494" s="3">
        <f t="shared" si="76"/>
        <v>2016</v>
      </c>
      <c r="C2494" s="3">
        <f t="shared" si="77"/>
        <v>11</v>
      </c>
      <c r="D2494" t="s">
        <v>724</v>
      </c>
      <c r="E2494" t="s">
        <v>131</v>
      </c>
      <c r="F2494" t="s">
        <v>28</v>
      </c>
      <c r="G2494" t="s">
        <v>58</v>
      </c>
      <c r="H2494" t="s">
        <v>1667</v>
      </c>
      <c r="I2494" s="2">
        <v>334.88</v>
      </c>
      <c r="J2494" s="3">
        <v>4</v>
      </c>
      <c r="K2494" s="2">
        <v>29.3</v>
      </c>
    </row>
    <row r="2495" spans="1:11" x14ac:dyDescent="0.35">
      <c r="A2495" s="1">
        <v>42684</v>
      </c>
      <c r="B2495" s="3">
        <f t="shared" si="76"/>
        <v>2016</v>
      </c>
      <c r="C2495" s="3">
        <f t="shared" si="77"/>
        <v>11</v>
      </c>
      <c r="D2495" t="s">
        <v>724</v>
      </c>
      <c r="E2495" t="s">
        <v>131</v>
      </c>
      <c r="F2495" t="s">
        <v>18</v>
      </c>
      <c r="G2495" t="s">
        <v>36</v>
      </c>
      <c r="H2495" t="s">
        <v>315</v>
      </c>
      <c r="I2495" s="2">
        <v>148.29</v>
      </c>
      <c r="J2495" s="3">
        <v>7</v>
      </c>
      <c r="K2495" s="2">
        <v>29.66</v>
      </c>
    </row>
    <row r="2496" spans="1:11" x14ac:dyDescent="0.35">
      <c r="A2496" s="1">
        <v>42684</v>
      </c>
      <c r="B2496" s="3">
        <f t="shared" si="76"/>
        <v>2016</v>
      </c>
      <c r="C2496" s="3">
        <f t="shared" si="77"/>
        <v>11</v>
      </c>
      <c r="D2496" t="s">
        <v>724</v>
      </c>
      <c r="E2496" t="s">
        <v>131</v>
      </c>
      <c r="F2496" t="s">
        <v>28</v>
      </c>
      <c r="G2496" t="s">
        <v>29</v>
      </c>
      <c r="H2496" t="s">
        <v>2032</v>
      </c>
      <c r="I2496" s="2">
        <v>4.62</v>
      </c>
      <c r="J2496" s="3">
        <v>1</v>
      </c>
      <c r="K2496" s="2">
        <v>1.68</v>
      </c>
    </row>
    <row r="2497" spans="1:11" x14ac:dyDescent="0.35">
      <c r="A2497" s="1">
        <v>42684</v>
      </c>
      <c r="B2497" s="3">
        <f t="shared" si="76"/>
        <v>2016</v>
      </c>
      <c r="C2497" s="3">
        <f t="shared" si="77"/>
        <v>11</v>
      </c>
      <c r="D2497" t="s">
        <v>724</v>
      </c>
      <c r="E2497" t="s">
        <v>131</v>
      </c>
      <c r="F2497" t="s">
        <v>13</v>
      </c>
      <c r="G2497" t="s">
        <v>14</v>
      </c>
      <c r="H2497" t="s">
        <v>1588</v>
      </c>
      <c r="I2497" s="2">
        <v>178.92</v>
      </c>
      <c r="J2497" s="3">
        <v>7</v>
      </c>
      <c r="K2497" s="2">
        <v>-29.07</v>
      </c>
    </row>
    <row r="2498" spans="1:11" x14ac:dyDescent="0.35">
      <c r="A2498" s="1">
        <v>42684</v>
      </c>
      <c r="B2498" s="3">
        <f t="shared" ref="B2498:B2561" si="78">YEAR(A2498)</f>
        <v>2016</v>
      </c>
      <c r="C2498" s="3">
        <f t="shared" ref="C2498:C2561" si="79">MONTH(A2498)</f>
        <v>11</v>
      </c>
      <c r="D2498" t="s">
        <v>724</v>
      </c>
      <c r="E2498" t="s">
        <v>131</v>
      </c>
      <c r="F2498" t="s">
        <v>28</v>
      </c>
      <c r="G2498" t="s">
        <v>48</v>
      </c>
      <c r="H2498" t="s">
        <v>1863</v>
      </c>
      <c r="I2498" s="2">
        <v>69.89</v>
      </c>
      <c r="J2498" s="3">
        <v>7</v>
      </c>
      <c r="K2498" s="2">
        <v>-46.59</v>
      </c>
    </row>
    <row r="2499" spans="1:11" x14ac:dyDescent="0.35">
      <c r="A2499" s="1">
        <v>42684</v>
      </c>
      <c r="B2499" s="3">
        <f t="shared" si="78"/>
        <v>2016</v>
      </c>
      <c r="C2499" s="3">
        <f t="shared" si="79"/>
        <v>11</v>
      </c>
      <c r="D2499" t="s">
        <v>318</v>
      </c>
      <c r="E2499" t="s">
        <v>32</v>
      </c>
      <c r="F2499" t="s">
        <v>13</v>
      </c>
      <c r="G2499" t="s">
        <v>14</v>
      </c>
      <c r="H2499" t="s">
        <v>1160</v>
      </c>
      <c r="I2499" s="2">
        <v>279.94</v>
      </c>
      <c r="J2499" s="3">
        <v>7</v>
      </c>
      <c r="K2499" s="2">
        <v>48.99</v>
      </c>
    </row>
    <row r="2500" spans="1:11" x14ac:dyDescent="0.35">
      <c r="A2500" s="1">
        <v>42684</v>
      </c>
      <c r="B2500" s="3">
        <f t="shared" si="78"/>
        <v>2016</v>
      </c>
      <c r="C2500" s="3">
        <f t="shared" si="79"/>
        <v>11</v>
      </c>
      <c r="D2500" t="s">
        <v>1317</v>
      </c>
      <c r="E2500" t="s">
        <v>190</v>
      </c>
      <c r="F2500" t="s">
        <v>18</v>
      </c>
      <c r="G2500" t="s">
        <v>36</v>
      </c>
      <c r="H2500" t="s">
        <v>1773</v>
      </c>
      <c r="I2500" s="2">
        <v>37.299999999999997</v>
      </c>
      <c r="J2500" s="3">
        <v>2</v>
      </c>
      <c r="K2500" s="2">
        <v>17.16</v>
      </c>
    </row>
    <row r="2501" spans="1:11" x14ac:dyDescent="0.35">
      <c r="A2501" s="1">
        <v>42684</v>
      </c>
      <c r="B2501" s="3">
        <f t="shared" si="78"/>
        <v>2016</v>
      </c>
      <c r="C2501" s="3">
        <f t="shared" si="79"/>
        <v>11</v>
      </c>
      <c r="D2501" t="s">
        <v>1317</v>
      </c>
      <c r="E2501" t="s">
        <v>190</v>
      </c>
      <c r="F2501" t="s">
        <v>28</v>
      </c>
      <c r="G2501" t="s">
        <v>48</v>
      </c>
      <c r="H2501" t="s">
        <v>686</v>
      </c>
      <c r="I2501" s="2">
        <v>81.96</v>
      </c>
      <c r="J2501" s="3">
        <v>2</v>
      </c>
      <c r="K2501" s="2">
        <v>39.340000000000003</v>
      </c>
    </row>
    <row r="2502" spans="1:11" x14ac:dyDescent="0.35">
      <c r="A2502" s="1">
        <v>42684</v>
      </c>
      <c r="B2502" s="3">
        <f t="shared" si="78"/>
        <v>2016</v>
      </c>
      <c r="C2502" s="3">
        <f t="shared" si="79"/>
        <v>11</v>
      </c>
      <c r="D2502" t="s">
        <v>870</v>
      </c>
      <c r="E2502" t="s">
        <v>22</v>
      </c>
      <c r="F2502" t="s">
        <v>28</v>
      </c>
      <c r="G2502" t="s">
        <v>48</v>
      </c>
      <c r="H2502" t="s">
        <v>2033</v>
      </c>
      <c r="I2502" s="2">
        <v>20.37</v>
      </c>
      <c r="J2502" s="3">
        <v>1</v>
      </c>
      <c r="K2502" s="2">
        <v>7.38</v>
      </c>
    </row>
    <row r="2503" spans="1:11" x14ac:dyDescent="0.35">
      <c r="A2503" s="1">
        <v>42684</v>
      </c>
      <c r="B2503" s="3">
        <f t="shared" si="78"/>
        <v>2016</v>
      </c>
      <c r="C2503" s="3">
        <f t="shared" si="79"/>
        <v>11</v>
      </c>
      <c r="D2503" t="s">
        <v>870</v>
      </c>
      <c r="E2503" t="s">
        <v>22</v>
      </c>
      <c r="F2503" t="s">
        <v>28</v>
      </c>
      <c r="G2503" t="s">
        <v>48</v>
      </c>
      <c r="H2503" t="s">
        <v>553</v>
      </c>
      <c r="I2503" s="2">
        <v>49.85</v>
      </c>
      <c r="J2503" s="3">
        <v>3</v>
      </c>
      <c r="K2503" s="2">
        <v>16.82</v>
      </c>
    </row>
    <row r="2504" spans="1:11" x14ac:dyDescent="0.35">
      <c r="A2504" s="1">
        <v>42684</v>
      </c>
      <c r="B2504" s="3">
        <f t="shared" si="78"/>
        <v>2016</v>
      </c>
      <c r="C2504" s="3">
        <f t="shared" si="79"/>
        <v>11</v>
      </c>
      <c r="D2504" t="s">
        <v>830</v>
      </c>
      <c r="E2504" t="s">
        <v>45</v>
      </c>
      <c r="F2504" t="s">
        <v>28</v>
      </c>
      <c r="G2504" t="s">
        <v>29</v>
      </c>
      <c r="H2504" t="s">
        <v>1899</v>
      </c>
      <c r="I2504" s="2">
        <v>67.709999999999994</v>
      </c>
      <c r="J2504" s="3">
        <v>3</v>
      </c>
      <c r="K2504" s="2">
        <v>32.5</v>
      </c>
    </row>
    <row r="2505" spans="1:11" x14ac:dyDescent="0.35">
      <c r="A2505" s="1">
        <v>42684</v>
      </c>
      <c r="B2505" s="3">
        <f t="shared" si="78"/>
        <v>2016</v>
      </c>
      <c r="C2505" s="3">
        <f t="shared" si="79"/>
        <v>11</v>
      </c>
      <c r="D2505" t="s">
        <v>830</v>
      </c>
      <c r="E2505" t="s">
        <v>45</v>
      </c>
      <c r="F2505" t="s">
        <v>28</v>
      </c>
      <c r="G2505" t="s">
        <v>58</v>
      </c>
      <c r="H2505" t="s">
        <v>2034</v>
      </c>
      <c r="I2505" s="2">
        <v>129.91999999999999</v>
      </c>
      <c r="J2505" s="3">
        <v>4</v>
      </c>
      <c r="K2505" s="2">
        <v>38.979999999999997</v>
      </c>
    </row>
    <row r="2506" spans="1:11" x14ac:dyDescent="0.35">
      <c r="A2506" s="1">
        <v>42684</v>
      </c>
      <c r="B2506" s="3">
        <f t="shared" si="78"/>
        <v>2016</v>
      </c>
      <c r="C2506" s="3">
        <f t="shared" si="79"/>
        <v>11</v>
      </c>
      <c r="D2506" t="s">
        <v>830</v>
      </c>
      <c r="E2506" t="s">
        <v>45</v>
      </c>
      <c r="F2506" t="s">
        <v>18</v>
      </c>
      <c r="G2506" t="s">
        <v>36</v>
      </c>
      <c r="H2506" t="s">
        <v>827</v>
      </c>
      <c r="I2506" s="2">
        <v>467.46</v>
      </c>
      <c r="J2506" s="3">
        <v>9</v>
      </c>
      <c r="K2506" s="2">
        <v>191.66</v>
      </c>
    </row>
    <row r="2507" spans="1:11" x14ac:dyDescent="0.35">
      <c r="A2507" s="1">
        <v>42684</v>
      </c>
      <c r="B2507" s="3">
        <f t="shared" si="78"/>
        <v>2016</v>
      </c>
      <c r="C2507" s="3">
        <f t="shared" si="79"/>
        <v>11</v>
      </c>
      <c r="D2507" t="s">
        <v>830</v>
      </c>
      <c r="E2507" t="s">
        <v>45</v>
      </c>
      <c r="F2507" t="s">
        <v>28</v>
      </c>
      <c r="G2507" t="s">
        <v>29</v>
      </c>
      <c r="H2507" t="s">
        <v>449</v>
      </c>
      <c r="I2507" s="2">
        <v>61.4</v>
      </c>
      <c r="J2507" s="3">
        <v>5</v>
      </c>
      <c r="K2507" s="2">
        <v>28.86</v>
      </c>
    </row>
    <row r="2508" spans="1:11" x14ac:dyDescent="0.35">
      <c r="A2508" s="1">
        <v>42684</v>
      </c>
      <c r="B2508" s="3">
        <f t="shared" si="78"/>
        <v>2016</v>
      </c>
      <c r="C2508" s="3">
        <f t="shared" si="79"/>
        <v>11</v>
      </c>
      <c r="D2508" t="s">
        <v>830</v>
      </c>
      <c r="E2508" t="s">
        <v>45</v>
      </c>
      <c r="F2508" t="s">
        <v>28</v>
      </c>
      <c r="G2508" t="s">
        <v>38</v>
      </c>
      <c r="H2508" t="s">
        <v>587</v>
      </c>
      <c r="I2508" s="2">
        <v>720.76</v>
      </c>
      <c r="J2508" s="3">
        <v>4</v>
      </c>
      <c r="K2508" s="2">
        <v>187.4</v>
      </c>
    </row>
    <row r="2509" spans="1:11" x14ac:dyDescent="0.35">
      <c r="A2509" s="1">
        <v>42684</v>
      </c>
      <c r="B2509" s="3">
        <f t="shared" si="78"/>
        <v>2016</v>
      </c>
      <c r="C2509" s="3">
        <f t="shared" si="79"/>
        <v>11</v>
      </c>
      <c r="D2509" t="s">
        <v>830</v>
      </c>
      <c r="E2509" t="s">
        <v>45</v>
      </c>
      <c r="F2509" t="s">
        <v>28</v>
      </c>
      <c r="G2509" t="s">
        <v>48</v>
      </c>
      <c r="H2509" t="s">
        <v>1815</v>
      </c>
      <c r="I2509" s="2">
        <v>5.18</v>
      </c>
      <c r="J2509" s="3">
        <v>3</v>
      </c>
      <c r="K2509" s="2">
        <v>1.81</v>
      </c>
    </row>
    <row r="2510" spans="1:11" x14ac:dyDescent="0.35">
      <c r="A2510" s="1">
        <v>42684</v>
      </c>
      <c r="B2510" s="3">
        <f t="shared" si="78"/>
        <v>2016</v>
      </c>
      <c r="C2510" s="3">
        <f t="shared" si="79"/>
        <v>11</v>
      </c>
      <c r="D2510" t="s">
        <v>830</v>
      </c>
      <c r="E2510" t="s">
        <v>45</v>
      </c>
      <c r="F2510" t="s">
        <v>28</v>
      </c>
      <c r="G2510" t="s">
        <v>64</v>
      </c>
      <c r="H2510" t="s">
        <v>2035</v>
      </c>
      <c r="I2510" s="2">
        <v>14.7</v>
      </c>
      <c r="J2510" s="3">
        <v>5</v>
      </c>
      <c r="K2510" s="2">
        <v>3.97</v>
      </c>
    </row>
    <row r="2511" spans="1:11" x14ac:dyDescent="0.35">
      <c r="A2511" s="1">
        <v>42684</v>
      </c>
      <c r="B2511" s="3">
        <f t="shared" si="78"/>
        <v>2016</v>
      </c>
      <c r="C2511" s="3">
        <f t="shared" si="79"/>
        <v>11</v>
      </c>
      <c r="D2511" t="s">
        <v>981</v>
      </c>
      <c r="E2511" t="s">
        <v>45</v>
      </c>
      <c r="F2511" t="s">
        <v>18</v>
      </c>
      <c r="G2511" t="s">
        <v>36</v>
      </c>
      <c r="H2511" t="s">
        <v>2036</v>
      </c>
      <c r="I2511" s="2">
        <v>9.98</v>
      </c>
      <c r="J2511" s="3">
        <v>1</v>
      </c>
      <c r="K2511" s="2">
        <v>2.79</v>
      </c>
    </row>
    <row r="2512" spans="1:11" x14ac:dyDescent="0.35">
      <c r="A2512" s="1">
        <v>42684</v>
      </c>
      <c r="B2512" s="3">
        <f t="shared" si="78"/>
        <v>2016</v>
      </c>
      <c r="C2512" s="3">
        <f t="shared" si="79"/>
        <v>11</v>
      </c>
      <c r="D2512" t="s">
        <v>1251</v>
      </c>
      <c r="E2512" t="s">
        <v>45</v>
      </c>
      <c r="F2512" t="s">
        <v>28</v>
      </c>
      <c r="G2512" t="s">
        <v>38</v>
      </c>
      <c r="H2512" t="s">
        <v>2023</v>
      </c>
      <c r="I2512" s="2">
        <v>29.74</v>
      </c>
      <c r="J2512" s="3">
        <v>1</v>
      </c>
      <c r="K2512" s="2">
        <v>4.46</v>
      </c>
    </row>
    <row r="2513" spans="1:11" x14ac:dyDescent="0.35">
      <c r="A2513" s="1">
        <v>42684</v>
      </c>
      <c r="B2513" s="3">
        <f t="shared" si="78"/>
        <v>2016</v>
      </c>
      <c r="C2513" s="3">
        <f t="shared" si="79"/>
        <v>11</v>
      </c>
      <c r="D2513" t="s">
        <v>875</v>
      </c>
      <c r="E2513" t="s">
        <v>131</v>
      </c>
      <c r="F2513" t="s">
        <v>28</v>
      </c>
      <c r="G2513" t="s">
        <v>29</v>
      </c>
      <c r="H2513" t="s">
        <v>2015</v>
      </c>
      <c r="I2513" s="2">
        <v>31.1</v>
      </c>
      <c r="J2513" s="3">
        <v>6</v>
      </c>
      <c r="K2513" s="2">
        <v>10.89</v>
      </c>
    </row>
    <row r="2514" spans="1:11" x14ac:dyDescent="0.35">
      <c r="A2514" s="1">
        <v>42684</v>
      </c>
      <c r="B2514" s="3">
        <f t="shared" si="78"/>
        <v>2016</v>
      </c>
      <c r="C2514" s="3">
        <f t="shared" si="79"/>
        <v>11</v>
      </c>
      <c r="D2514" t="s">
        <v>595</v>
      </c>
      <c r="E2514" t="s">
        <v>339</v>
      </c>
      <c r="F2514" t="s">
        <v>13</v>
      </c>
      <c r="G2514" t="s">
        <v>23</v>
      </c>
      <c r="H2514" t="s">
        <v>1261</v>
      </c>
      <c r="I2514" s="2">
        <v>221.98</v>
      </c>
      <c r="J2514" s="3">
        <v>2</v>
      </c>
      <c r="K2514" s="2">
        <v>62.15</v>
      </c>
    </row>
    <row r="2515" spans="1:11" x14ac:dyDescent="0.35">
      <c r="A2515" s="1">
        <v>42684</v>
      </c>
      <c r="B2515" s="3">
        <f t="shared" si="78"/>
        <v>2016</v>
      </c>
      <c r="C2515" s="3">
        <f t="shared" si="79"/>
        <v>11</v>
      </c>
      <c r="D2515" t="s">
        <v>595</v>
      </c>
      <c r="E2515" t="s">
        <v>339</v>
      </c>
      <c r="F2515" t="s">
        <v>18</v>
      </c>
      <c r="G2515" t="s">
        <v>237</v>
      </c>
      <c r="H2515" t="s">
        <v>2037</v>
      </c>
      <c r="I2515" s="2">
        <v>341.96</v>
      </c>
      <c r="J2515" s="3">
        <v>2</v>
      </c>
      <c r="K2515" s="2">
        <v>54.71</v>
      </c>
    </row>
    <row r="2516" spans="1:11" x14ac:dyDescent="0.35">
      <c r="A2516" s="1">
        <v>42684</v>
      </c>
      <c r="B2516" s="3">
        <f t="shared" si="78"/>
        <v>2016</v>
      </c>
      <c r="C2516" s="3">
        <f t="shared" si="79"/>
        <v>11</v>
      </c>
      <c r="D2516" t="s">
        <v>828</v>
      </c>
      <c r="E2516" t="s">
        <v>22</v>
      </c>
      <c r="F2516" t="s">
        <v>28</v>
      </c>
      <c r="G2516" t="s">
        <v>48</v>
      </c>
      <c r="H2516" t="s">
        <v>560</v>
      </c>
      <c r="I2516" s="2">
        <v>3.64</v>
      </c>
      <c r="J2516" s="3">
        <v>1</v>
      </c>
      <c r="K2516" s="2">
        <v>1.37</v>
      </c>
    </row>
    <row r="2517" spans="1:11" x14ac:dyDescent="0.35">
      <c r="A2517" s="1">
        <v>42684</v>
      </c>
      <c r="B2517" s="3">
        <f t="shared" si="78"/>
        <v>2016</v>
      </c>
      <c r="C2517" s="3">
        <f t="shared" si="79"/>
        <v>11</v>
      </c>
      <c r="D2517" t="s">
        <v>828</v>
      </c>
      <c r="E2517" t="s">
        <v>22</v>
      </c>
      <c r="F2517" t="s">
        <v>13</v>
      </c>
      <c r="G2517" t="s">
        <v>23</v>
      </c>
      <c r="H2517" t="s">
        <v>994</v>
      </c>
      <c r="I2517" s="2">
        <v>881.93</v>
      </c>
      <c r="J2517" s="3">
        <v>7</v>
      </c>
      <c r="K2517" s="2">
        <v>220.48</v>
      </c>
    </row>
    <row r="2518" spans="1:11" x14ac:dyDescent="0.35">
      <c r="A2518" s="1">
        <v>42714</v>
      </c>
      <c r="B2518" s="3">
        <f t="shared" si="78"/>
        <v>2016</v>
      </c>
      <c r="C2518" s="3">
        <f t="shared" si="79"/>
        <v>12</v>
      </c>
      <c r="D2518" t="s">
        <v>1033</v>
      </c>
      <c r="E2518" t="s">
        <v>45</v>
      </c>
      <c r="F2518" t="s">
        <v>18</v>
      </c>
      <c r="G2518" t="s">
        <v>19</v>
      </c>
      <c r="H2518" t="s">
        <v>1170</v>
      </c>
      <c r="I2518" s="2">
        <v>321.57</v>
      </c>
      <c r="J2518" s="3">
        <v>2</v>
      </c>
      <c r="K2518" s="2">
        <v>28.14</v>
      </c>
    </row>
    <row r="2519" spans="1:11" x14ac:dyDescent="0.35">
      <c r="A2519" s="1">
        <v>42714</v>
      </c>
      <c r="B2519" s="3">
        <f t="shared" si="78"/>
        <v>2016</v>
      </c>
      <c r="C2519" s="3">
        <f t="shared" si="79"/>
        <v>12</v>
      </c>
      <c r="D2519" t="s">
        <v>534</v>
      </c>
      <c r="E2519" t="s">
        <v>22</v>
      </c>
      <c r="F2519" t="s">
        <v>28</v>
      </c>
      <c r="G2519" t="s">
        <v>38</v>
      </c>
      <c r="H2519" t="s">
        <v>647</v>
      </c>
      <c r="I2519" s="2">
        <v>80.58</v>
      </c>
      <c r="J2519" s="3">
        <v>6</v>
      </c>
      <c r="K2519" s="2">
        <v>22.56</v>
      </c>
    </row>
    <row r="2520" spans="1:11" x14ac:dyDescent="0.35">
      <c r="A2520" s="1">
        <v>42714</v>
      </c>
      <c r="B2520" s="3">
        <f t="shared" si="78"/>
        <v>2016</v>
      </c>
      <c r="C2520" s="3">
        <f t="shared" si="79"/>
        <v>12</v>
      </c>
      <c r="D2520" t="s">
        <v>534</v>
      </c>
      <c r="E2520" t="s">
        <v>22</v>
      </c>
      <c r="F2520" t="s">
        <v>28</v>
      </c>
      <c r="G2520" t="s">
        <v>158</v>
      </c>
      <c r="H2520" t="s">
        <v>1254</v>
      </c>
      <c r="I2520" s="2">
        <v>361.92</v>
      </c>
      <c r="J2520" s="3">
        <v>4</v>
      </c>
      <c r="K2520" s="2">
        <v>162.86000000000001</v>
      </c>
    </row>
    <row r="2521" spans="1:11" x14ac:dyDescent="0.35">
      <c r="A2521" s="1">
        <v>42714</v>
      </c>
      <c r="B2521" s="3">
        <f t="shared" si="78"/>
        <v>2016</v>
      </c>
      <c r="C2521" s="3">
        <f t="shared" si="79"/>
        <v>12</v>
      </c>
      <c r="D2521" t="s">
        <v>957</v>
      </c>
      <c r="E2521" t="s">
        <v>17</v>
      </c>
      <c r="F2521" t="s">
        <v>28</v>
      </c>
      <c r="G2521" t="s">
        <v>48</v>
      </c>
      <c r="H2521" t="s">
        <v>1211</v>
      </c>
      <c r="I2521" s="2">
        <v>153.55000000000001</v>
      </c>
      <c r="J2521" s="3">
        <v>3</v>
      </c>
      <c r="K2521" s="2">
        <v>51.82</v>
      </c>
    </row>
    <row r="2522" spans="1:11" x14ac:dyDescent="0.35">
      <c r="A2522" s="1">
        <v>42714</v>
      </c>
      <c r="B2522" s="3">
        <f t="shared" si="78"/>
        <v>2016</v>
      </c>
      <c r="C2522" s="3">
        <f t="shared" si="79"/>
        <v>12</v>
      </c>
      <c r="D2522" t="s">
        <v>957</v>
      </c>
      <c r="E2522" t="s">
        <v>17</v>
      </c>
      <c r="F2522" t="s">
        <v>28</v>
      </c>
      <c r="G2522" t="s">
        <v>58</v>
      </c>
      <c r="H2522" t="s">
        <v>2038</v>
      </c>
      <c r="I2522" s="2">
        <v>65.34</v>
      </c>
      <c r="J2522" s="3">
        <v>3</v>
      </c>
      <c r="K2522" s="2">
        <v>22.87</v>
      </c>
    </row>
    <row r="2523" spans="1:11" x14ac:dyDescent="0.35">
      <c r="A2523" s="1">
        <v>42714</v>
      </c>
      <c r="B2523" s="3">
        <f t="shared" si="78"/>
        <v>2016</v>
      </c>
      <c r="C2523" s="3">
        <f t="shared" si="79"/>
        <v>12</v>
      </c>
      <c r="D2523" t="s">
        <v>957</v>
      </c>
      <c r="E2523" t="s">
        <v>17</v>
      </c>
      <c r="F2523" t="s">
        <v>28</v>
      </c>
      <c r="G2523" t="s">
        <v>29</v>
      </c>
      <c r="H2523" t="s">
        <v>1446</v>
      </c>
      <c r="I2523" s="2">
        <v>123.92</v>
      </c>
      <c r="J2523" s="3">
        <v>4</v>
      </c>
      <c r="K2523" s="2">
        <v>55.76</v>
      </c>
    </row>
    <row r="2524" spans="1:11" x14ac:dyDescent="0.35">
      <c r="A2524" s="1">
        <v>42714</v>
      </c>
      <c r="B2524" s="3">
        <f t="shared" si="78"/>
        <v>2016</v>
      </c>
      <c r="C2524" s="3">
        <f t="shared" si="79"/>
        <v>12</v>
      </c>
      <c r="D2524" t="s">
        <v>957</v>
      </c>
      <c r="E2524" t="s">
        <v>17</v>
      </c>
      <c r="F2524" t="s">
        <v>28</v>
      </c>
      <c r="G2524" t="s">
        <v>58</v>
      </c>
      <c r="H2524" t="s">
        <v>2039</v>
      </c>
      <c r="I2524" s="2">
        <v>35.1</v>
      </c>
      <c r="J2524" s="3">
        <v>3</v>
      </c>
      <c r="K2524" s="2">
        <v>12.29</v>
      </c>
    </row>
    <row r="2525" spans="1:11" x14ac:dyDescent="0.35">
      <c r="A2525" s="1">
        <v>42714</v>
      </c>
      <c r="B2525" s="3">
        <f t="shared" si="78"/>
        <v>2016</v>
      </c>
      <c r="C2525" s="3">
        <f t="shared" si="79"/>
        <v>12</v>
      </c>
      <c r="D2525" t="s">
        <v>957</v>
      </c>
      <c r="E2525" t="s">
        <v>17</v>
      </c>
      <c r="F2525" t="s">
        <v>13</v>
      </c>
      <c r="G2525" t="s">
        <v>14</v>
      </c>
      <c r="H2525" t="s">
        <v>218</v>
      </c>
      <c r="I2525" s="2">
        <v>44.75</v>
      </c>
      <c r="J2525" s="3">
        <v>5</v>
      </c>
      <c r="K2525" s="2">
        <v>8.5</v>
      </c>
    </row>
    <row r="2526" spans="1:11" x14ac:dyDescent="0.35">
      <c r="A2526" s="1">
        <v>42714</v>
      </c>
      <c r="B2526" s="3">
        <f t="shared" si="78"/>
        <v>2016</v>
      </c>
      <c r="C2526" s="3">
        <f t="shared" si="79"/>
        <v>12</v>
      </c>
      <c r="D2526" t="s">
        <v>921</v>
      </c>
      <c r="E2526" t="s">
        <v>575</v>
      </c>
      <c r="F2526" t="s">
        <v>18</v>
      </c>
      <c r="G2526" t="s">
        <v>19</v>
      </c>
      <c r="H2526" t="s">
        <v>917</v>
      </c>
      <c r="I2526" s="2">
        <v>1424.9</v>
      </c>
      <c r="J2526" s="3">
        <v>5</v>
      </c>
      <c r="K2526" s="2">
        <v>356.23</v>
      </c>
    </row>
    <row r="2527" spans="1:11" x14ac:dyDescent="0.35">
      <c r="A2527" s="1">
        <v>42714</v>
      </c>
      <c r="B2527" s="3">
        <f t="shared" si="78"/>
        <v>2016</v>
      </c>
      <c r="C2527" s="3">
        <f t="shared" si="79"/>
        <v>12</v>
      </c>
      <c r="D2527" t="s">
        <v>1940</v>
      </c>
      <c r="E2527" t="s">
        <v>45</v>
      </c>
      <c r="F2527" t="s">
        <v>28</v>
      </c>
      <c r="G2527" t="s">
        <v>29</v>
      </c>
      <c r="H2527" t="s">
        <v>2024</v>
      </c>
      <c r="I2527" s="2">
        <v>80.28</v>
      </c>
      <c r="J2527" s="3">
        <v>12</v>
      </c>
      <c r="K2527" s="2">
        <v>36.93</v>
      </c>
    </row>
    <row r="2528" spans="1:11" x14ac:dyDescent="0.35">
      <c r="A2528" s="1">
        <v>42714</v>
      </c>
      <c r="B2528" s="3">
        <f t="shared" si="78"/>
        <v>2016</v>
      </c>
      <c r="C2528" s="3">
        <f t="shared" si="79"/>
        <v>12</v>
      </c>
      <c r="D2528" t="s">
        <v>1650</v>
      </c>
      <c r="E2528" t="s">
        <v>22</v>
      </c>
      <c r="F2528" t="s">
        <v>28</v>
      </c>
      <c r="G2528" t="s">
        <v>29</v>
      </c>
      <c r="H2528" t="s">
        <v>966</v>
      </c>
      <c r="I2528" s="2">
        <v>18.54</v>
      </c>
      <c r="J2528" s="3">
        <v>2</v>
      </c>
      <c r="K2528" s="2">
        <v>8.7100000000000009</v>
      </c>
    </row>
    <row r="2529" spans="1:11" x14ac:dyDescent="0.35">
      <c r="A2529" s="1">
        <v>42714</v>
      </c>
      <c r="B2529" s="3">
        <f t="shared" si="78"/>
        <v>2016</v>
      </c>
      <c r="C2529" s="3">
        <f t="shared" si="79"/>
        <v>12</v>
      </c>
      <c r="D2529" t="s">
        <v>1650</v>
      </c>
      <c r="E2529" t="s">
        <v>22</v>
      </c>
      <c r="F2529" t="s">
        <v>28</v>
      </c>
      <c r="G2529" t="s">
        <v>48</v>
      </c>
      <c r="H2529" t="s">
        <v>1867</v>
      </c>
      <c r="I2529" s="2">
        <v>679.96</v>
      </c>
      <c r="J2529" s="3">
        <v>5</v>
      </c>
      <c r="K2529" s="2">
        <v>220.99</v>
      </c>
    </row>
    <row r="2530" spans="1:11" x14ac:dyDescent="0.35">
      <c r="A2530" s="1">
        <v>42714</v>
      </c>
      <c r="B2530" s="3">
        <f t="shared" si="78"/>
        <v>2016</v>
      </c>
      <c r="C2530" s="3">
        <f t="shared" si="79"/>
        <v>12</v>
      </c>
      <c r="D2530" t="s">
        <v>1972</v>
      </c>
      <c r="E2530" t="s">
        <v>22</v>
      </c>
      <c r="F2530" t="s">
        <v>28</v>
      </c>
      <c r="G2530" t="s">
        <v>29</v>
      </c>
      <c r="H2530" t="s">
        <v>471</v>
      </c>
      <c r="I2530" s="2">
        <v>62.82</v>
      </c>
      <c r="J2530" s="3">
        <v>9</v>
      </c>
      <c r="K2530" s="2">
        <v>29.53</v>
      </c>
    </row>
    <row r="2531" spans="1:11" x14ac:dyDescent="0.35">
      <c r="A2531" s="1">
        <v>42714</v>
      </c>
      <c r="B2531" s="3">
        <f t="shared" si="78"/>
        <v>2016</v>
      </c>
      <c r="C2531" s="3">
        <f t="shared" si="79"/>
        <v>12</v>
      </c>
      <c r="D2531" t="s">
        <v>306</v>
      </c>
      <c r="E2531" t="s">
        <v>22</v>
      </c>
      <c r="F2531" t="s">
        <v>28</v>
      </c>
      <c r="G2531" t="s">
        <v>29</v>
      </c>
      <c r="H2531" t="s">
        <v>2040</v>
      </c>
      <c r="I2531" s="2">
        <v>6.48</v>
      </c>
      <c r="J2531" s="3">
        <v>1</v>
      </c>
      <c r="K2531" s="2">
        <v>3.11</v>
      </c>
    </row>
    <row r="2532" spans="1:11" x14ac:dyDescent="0.35">
      <c r="A2532" s="1">
        <v>42380</v>
      </c>
      <c r="B2532" s="3">
        <f t="shared" si="78"/>
        <v>2016</v>
      </c>
      <c r="C2532" s="3">
        <f t="shared" si="79"/>
        <v>1</v>
      </c>
      <c r="D2532" t="s">
        <v>493</v>
      </c>
      <c r="E2532" t="s">
        <v>131</v>
      </c>
      <c r="F2532" t="s">
        <v>28</v>
      </c>
      <c r="G2532" t="s">
        <v>29</v>
      </c>
      <c r="H2532" t="s">
        <v>2041</v>
      </c>
      <c r="I2532" s="2">
        <v>15.55</v>
      </c>
      <c r="J2532" s="3">
        <v>3</v>
      </c>
      <c r="K2532" s="2">
        <v>5.44</v>
      </c>
    </row>
    <row r="2533" spans="1:11" x14ac:dyDescent="0.35">
      <c r="A2533" s="1">
        <v>42380</v>
      </c>
      <c r="B2533" s="3">
        <f t="shared" si="78"/>
        <v>2016</v>
      </c>
      <c r="C2533" s="3">
        <f t="shared" si="79"/>
        <v>1</v>
      </c>
      <c r="D2533" t="s">
        <v>493</v>
      </c>
      <c r="E2533" t="s">
        <v>131</v>
      </c>
      <c r="F2533" t="s">
        <v>28</v>
      </c>
      <c r="G2533" t="s">
        <v>29</v>
      </c>
      <c r="H2533" t="s">
        <v>1214</v>
      </c>
      <c r="I2533" s="2">
        <v>63.31</v>
      </c>
      <c r="J2533" s="3">
        <v>3</v>
      </c>
      <c r="K2533" s="2">
        <v>20.58</v>
      </c>
    </row>
    <row r="2534" spans="1:11" x14ac:dyDescent="0.35">
      <c r="A2534" s="1">
        <v>42380</v>
      </c>
      <c r="B2534" s="3">
        <f t="shared" si="78"/>
        <v>2016</v>
      </c>
      <c r="C2534" s="3">
        <f t="shared" si="79"/>
        <v>1</v>
      </c>
      <c r="D2534" t="s">
        <v>493</v>
      </c>
      <c r="E2534" t="s">
        <v>131</v>
      </c>
      <c r="F2534" t="s">
        <v>13</v>
      </c>
      <c r="G2534" t="s">
        <v>23</v>
      </c>
      <c r="H2534" t="s">
        <v>1648</v>
      </c>
      <c r="I2534" s="2">
        <v>15.59</v>
      </c>
      <c r="J2534" s="3">
        <v>2</v>
      </c>
      <c r="K2534" s="2">
        <v>-9.8699999999999992</v>
      </c>
    </row>
    <row r="2535" spans="1:11" x14ac:dyDescent="0.35">
      <c r="A2535" s="1">
        <v>42380</v>
      </c>
      <c r="B2535" s="3">
        <f t="shared" si="78"/>
        <v>2016</v>
      </c>
      <c r="C2535" s="3">
        <f t="shared" si="79"/>
        <v>1</v>
      </c>
      <c r="D2535" t="s">
        <v>377</v>
      </c>
      <c r="E2535" t="s">
        <v>131</v>
      </c>
      <c r="F2535" t="s">
        <v>18</v>
      </c>
      <c r="G2535" t="s">
        <v>36</v>
      </c>
      <c r="H2535" t="s">
        <v>152</v>
      </c>
      <c r="I2535" s="2">
        <v>54.99</v>
      </c>
      <c r="J2535" s="3">
        <v>14</v>
      </c>
      <c r="K2535" s="2">
        <v>8.94</v>
      </c>
    </row>
    <row r="2536" spans="1:11" x14ac:dyDescent="0.35">
      <c r="A2536" s="1">
        <v>42411</v>
      </c>
      <c r="B2536" s="3">
        <f t="shared" si="78"/>
        <v>2016</v>
      </c>
      <c r="C2536" s="3">
        <f t="shared" si="79"/>
        <v>2</v>
      </c>
      <c r="D2536" t="s">
        <v>2042</v>
      </c>
      <c r="E2536" t="s">
        <v>339</v>
      </c>
      <c r="F2536" t="s">
        <v>13</v>
      </c>
      <c r="G2536" t="s">
        <v>23</v>
      </c>
      <c r="H2536" t="s">
        <v>2001</v>
      </c>
      <c r="I2536" s="2">
        <v>69.930000000000007</v>
      </c>
      <c r="J2536" s="3">
        <v>7</v>
      </c>
      <c r="K2536" s="2">
        <v>0.7</v>
      </c>
    </row>
    <row r="2537" spans="1:11" x14ac:dyDescent="0.35">
      <c r="A2537" s="1">
        <v>42440</v>
      </c>
      <c r="B2537" s="3">
        <f t="shared" si="78"/>
        <v>2016</v>
      </c>
      <c r="C2537" s="3">
        <f t="shared" si="79"/>
        <v>3</v>
      </c>
      <c r="D2537" t="s">
        <v>248</v>
      </c>
      <c r="E2537" t="s">
        <v>55</v>
      </c>
      <c r="F2537" t="s">
        <v>13</v>
      </c>
      <c r="G2537" t="s">
        <v>14</v>
      </c>
      <c r="H2537" t="s">
        <v>1206</v>
      </c>
      <c r="I2537" s="2">
        <v>45.98</v>
      </c>
      <c r="J2537" s="3">
        <v>2</v>
      </c>
      <c r="K2537" s="2">
        <v>19.77</v>
      </c>
    </row>
    <row r="2538" spans="1:11" x14ac:dyDescent="0.35">
      <c r="A2538" s="1">
        <v>42440</v>
      </c>
      <c r="B2538" s="3">
        <f t="shared" si="78"/>
        <v>2016</v>
      </c>
      <c r="C2538" s="3">
        <f t="shared" si="79"/>
        <v>3</v>
      </c>
      <c r="D2538" t="s">
        <v>248</v>
      </c>
      <c r="E2538" t="s">
        <v>55</v>
      </c>
      <c r="F2538" t="s">
        <v>28</v>
      </c>
      <c r="G2538" t="s">
        <v>48</v>
      </c>
      <c r="H2538" t="s">
        <v>775</v>
      </c>
      <c r="I2538" s="2">
        <v>17.46</v>
      </c>
      <c r="J2538" s="3">
        <v>2</v>
      </c>
      <c r="K2538" s="2">
        <v>8.2100000000000009</v>
      </c>
    </row>
    <row r="2539" spans="1:11" x14ac:dyDescent="0.35">
      <c r="A2539" s="1">
        <v>42440</v>
      </c>
      <c r="B2539" s="3">
        <f t="shared" si="78"/>
        <v>2016</v>
      </c>
      <c r="C2539" s="3">
        <f t="shared" si="79"/>
        <v>3</v>
      </c>
      <c r="D2539" t="s">
        <v>422</v>
      </c>
      <c r="E2539" t="s">
        <v>62</v>
      </c>
      <c r="F2539" t="s">
        <v>18</v>
      </c>
      <c r="G2539" t="s">
        <v>42</v>
      </c>
      <c r="H2539" t="s">
        <v>1364</v>
      </c>
      <c r="I2539" s="2">
        <v>244.01</v>
      </c>
      <c r="J2539" s="3">
        <v>2</v>
      </c>
      <c r="K2539" s="2">
        <v>-31.37</v>
      </c>
    </row>
    <row r="2540" spans="1:11" x14ac:dyDescent="0.35">
      <c r="A2540" s="1">
        <v>42440</v>
      </c>
      <c r="B2540" s="3">
        <f t="shared" si="78"/>
        <v>2016</v>
      </c>
      <c r="C2540" s="3">
        <f t="shared" si="79"/>
        <v>3</v>
      </c>
      <c r="D2540" t="s">
        <v>1234</v>
      </c>
      <c r="E2540" t="s">
        <v>165</v>
      </c>
      <c r="F2540" t="s">
        <v>18</v>
      </c>
      <c r="G2540" t="s">
        <v>36</v>
      </c>
      <c r="H2540" t="s">
        <v>626</v>
      </c>
      <c r="I2540" s="2">
        <v>76.92</v>
      </c>
      <c r="J2540" s="3">
        <v>4</v>
      </c>
      <c r="K2540" s="2">
        <v>31.54</v>
      </c>
    </row>
    <row r="2541" spans="1:11" x14ac:dyDescent="0.35">
      <c r="A2541" s="1">
        <v>42440</v>
      </c>
      <c r="B2541" s="3">
        <f t="shared" si="78"/>
        <v>2016</v>
      </c>
      <c r="C2541" s="3">
        <f t="shared" si="79"/>
        <v>3</v>
      </c>
      <c r="D2541" t="s">
        <v>1234</v>
      </c>
      <c r="E2541" t="s">
        <v>165</v>
      </c>
      <c r="F2541" t="s">
        <v>28</v>
      </c>
      <c r="G2541" t="s">
        <v>38</v>
      </c>
      <c r="H2541" t="s">
        <v>1187</v>
      </c>
      <c r="I2541" s="2">
        <v>481.32</v>
      </c>
      <c r="J2541" s="3">
        <v>4</v>
      </c>
      <c r="K2541" s="2">
        <v>125.14</v>
      </c>
    </row>
    <row r="2542" spans="1:11" x14ac:dyDescent="0.35">
      <c r="A2542" s="1">
        <v>42440</v>
      </c>
      <c r="B2542" s="3">
        <f t="shared" si="78"/>
        <v>2016</v>
      </c>
      <c r="C2542" s="3">
        <f t="shared" si="79"/>
        <v>3</v>
      </c>
      <c r="D2542" t="s">
        <v>2043</v>
      </c>
      <c r="E2542" t="s">
        <v>89</v>
      </c>
      <c r="F2542" t="s">
        <v>18</v>
      </c>
      <c r="G2542" t="s">
        <v>36</v>
      </c>
      <c r="H2542" t="s">
        <v>1270</v>
      </c>
      <c r="I2542" s="2">
        <v>30.34</v>
      </c>
      <c r="J2542" s="3">
        <v>4</v>
      </c>
      <c r="K2542" s="2">
        <v>9.48</v>
      </c>
    </row>
    <row r="2543" spans="1:11" x14ac:dyDescent="0.35">
      <c r="A2543" s="1">
        <v>42501</v>
      </c>
      <c r="B2543" s="3">
        <f t="shared" si="78"/>
        <v>2016</v>
      </c>
      <c r="C2543" s="3">
        <f t="shared" si="79"/>
        <v>5</v>
      </c>
      <c r="D2543" t="s">
        <v>713</v>
      </c>
      <c r="E2543" t="s">
        <v>45</v>
      </c>
      <c r="F2543" t="s">
        <v>28</v>
      </c>
      <c r="G2543" t="s">
        <v>29</v>
      </c>
      <c r="H2543" t="s">
        <v>1314</v>
      </c>
      <c r="I2543" s="2">
        <v>5.98</v>
      </c>
      <c r="J2543" s="3">
        <v>1</v>
      </c>
      <c r="K2543" s="2">
        <v>2.69</v>
      </c>
    </row>
    <row r="2544" spans="1:11" x14ac:dyDescent="0.35">
      <c r="A2544" s="1">
        <v>42532</v>
      </c>
      <c r="B2544" s="3">
        <f t="shared" si="78"/>
        <v>2016</v>
      </c>
      <c r="C2544" s="3">
        <f t="shared" si="79"/>
        <v>6</v>
      </c>
      <c r="D2544" t="s">
        <v>359</v>
      </c>
      <c r="E2544" t="s">
        <v>32</v>
      </c>
      <c r="F2544" t="s">
        <v>28</v>
      </c>
      <c r="G2544" t="s">
        <v>48</v>
      </c>
      <c r="H2544" t="s">
        <v>1837</v>
      </c>
      <c r="I2544" s="2">
        <v>1.34</v>
      </c>
      <c r="J2544" s="3">
        <v>4</v>
      </c>
      <c r="K2544" s="2">
        <v>-2.15</v>
      </c>
    </row>
    <row r="2545" spans="1:11" x14ac:dyDescent="0.35">
      <c r="A2545" s="1">
        <v>42532</v>
      </c>
      <c r="B2545" s="3">
        <f t="shared" si="78"/>
        <v>2016</v>
      </c>
      <c r="C2545" s="3">
        <f t="shared" si="79"/>
        <v>6</v>
      </c>
      <c r="D2545" t="s">
        <v>359</v>
      </c>
      <c r="E2545" t="s">
        <v>32</v>
      </c>
      <c r="F2545" t="s">
        <v>28</v>
      </c>
      <c r="G2545" t="s">
        <v>48</v>
      </c>
      <c r="H2545" t="s">
        <v>428</v>
      </c>
      <c r="I2545" s="2">
        <v>8.27</v>
      </c>
      <c r="J2545" s="3">
        <v>4</v>
      </c>
      <c r="K2545" s="2">
        <v>-13.65</v>
      </c>
    </row>
    <row r="2546" spans="1:11" x14ac:dyDescent="0.35">
      <c r="A2546" s="1">
        <v>42532</v>
      </c>
      <c r="B2546" s="3">
        <f t="shared" si="78"/>
        <v>2016</v>
      </c>
      <c r="C2546" s="3">
        <f t="shared" si="79"/>
        <v>6</v>
      </c>
      <c r="D2546" t="s">
        <v>359</v>
      </c>
      <c r="E2546" t="s">
        <v>32</v>
      </c>
      <c r="F2546" t="s">
        <v>18</v>
      </c>
      <c r="G2546" t="s">
        <v>36</v>
      </c>
      <c r="H2546" t="s">
        <v>608</v>
      </c>
      <c r="I2546" s="2">
        <v>12.54</v>
      </c>
      <c r="J2546" s="3">
        <v>7</v>
      </c>
      <c r="K2546" s="2">
        <v>-9.09</v>
      </c>
    </row>
    <row r="2547" spans="1:11" x14ac:dyDescent="0.35">
      <c r="A2547" s="1">
        <v>42532</v>
      </c>
      <c r="B2547" s="3">
        <f t="shared" si="78"/>
        <v>2016</v>
      </c>
      <c r="C2547" s="3">
        <f t="shared" si="79"/>
        <v>6</v>
      </c>
      <c r="D2547" t="s">
        <v>2044</v>
      </c>
      <c r="E2547" t="s">
        <v>22</v>
      </c>
      <c r="F2547" t="s">
        <v>13</v>
      </c>
      <c r="G2547" t="s">
        <v>14</v>
      </c>
      <c r="H2547" t="s">
        <v>1359</v>
      </c>
      <c r="I2547" s="2">
        <v>239.97</v>
      </c>
      <c r="J2547" s="3">
        <v>3</v>
      </c>
      <c r="K2547" s="2">
        <v>71.989999999999995</v>
      </c>
    </row>
    <row r="2548" spans="1:11" x14ac:dyDescent="0.35">
      <c r="A2548" s="1">
        <v>42532</v>
      </c>
      <c r="B2548" s="3">
        <f t="shared" si="78"/>
        <v>2016</v>
      </c>
      <c r="C2548" s="3">
        <f t="shared" si="79"/>
        <v>6</v>
      </c>
      <c r="D2548" t="s">
        <v>897</v>
      </c>
      <c r="E2548" t="s">
        <v>17</v>
      </c>
      <c r="F2548" t="s">
        <v>28</v>
      </c>
      <c r="G2548" t="s">
        <v>46</v>
      </c>
      <c r="H2548" t="s">
        <v>1545</v>
      </c>
      <c r="I2548" s="2">
        <v>14.62</v>
      </c>
      <c r="J2548" s="3">
        <v>2</v>
      </c>
      <c r="K2548" s="2">
        <v>6.87</v>
      </c>
    </row>
    <row r="2549" spans="1:11" x14ac:dyDescent="0.35">
      <c r="A2549" s="1">
        <v>42532</v>
      </c>
      <c r="B2549" s="3">
        <f t="shared" si="78"/>
        <v>2016</v>
      </c>
      <c r="C2549" s="3">
        <f t="shared" si="79"/>
        <v>6</v>
      </c>
      <c r="D2549" t="s">
        <v>897</v>
      </c>
      <c r="E2549" t="s">
        <v>17</v>
      </c>
      <c r="F2549" t="s">
        <v>28</v>
      </c>
      <c r="G2549" t="s">
        <v>48</v>
      </c>
      <c r="H2549" t="s">
        <v>881</v>
      </c>
      <c r="I2549" s="2">
        <v>53.98</v>
      </c>
      <c r="J2549" s="3">
        <v>14</v>
      </c>
      <c r="K2549" s="2">
        <v>17.54</v>
      </c>
    </row>
    <row r="2550" spans="1:11" x14ac:dyDescent="0.35">
      <c r="A2550" s="1">
        <v>42532</v>
      </c>
      <c r="B2550" s="3">
        <f t="shared" si="78"/>
        <v>2016</v>
      </c>
      <c r="C2550" s="3">
        <f t="shared" si="79"/>
        <v>6</v>
      </c>
      <c r="D2550" t="s">
        <v>897</v>
      </c>
      <c r="E2550" t="s">
        <v>17</v>
      </c>
      <c r="F2550" t="s">
        <v>13</v>
      </c>
      <c r="G2550" t="s">
        <v>14</v>
      </c>
      <c r="H2550" t="s">
        <v>2045</v>
      </c>
      <c r="I2550" s="2">
        <v>389.97</v>
      </c>
      <c r="J2550" s="3">
        <v>3</v>
      </c>
      <c r="K2550" s="2">
        <v>132.59</v>
      </c>
    </row>
    <row r="2551" spans="1:11" x14ac:dyDescent="0.35">
      <c r="A2551" s="1">
        <v>42532</v>
      </c>
      <c r="B2551" s="3">
        <f t="shared" si="78"/>
        <v>2016</v>
      </c>
      <c r="C2551" s="3">
        <f t="shared" si="79"/>
        <v>6</v>
      </c>
      <c r="D2551" t="s">
        <v>875</v>
      </c>
      <c r="E2551" t="s">
        <v>45</v>
      </c>
      <c r="F2551" t="s">
        <v>18</v>
      </c>
      <c r="G2551" t="s">
        <v>42</v>
      </c>
      <c r="H2551" t="s">
        <v>1029</v>
      </c>
      <c r="I2551" s="2">
        <v>902.71</v>
      </c>
      <c r="J2551" s="3">
        <v>3</v>
      </c>
      <c r="K2551" s="2">
        <v>33.85</v>
      </c>
    </row>
    <row r="2552" spans="1:11" x14ac:dyDescent="0.35">
      <c r="A2552" s="1">
        <v>42593</v>
      </c>
      <c r="B2552" s="3">
        <f t="shared" si="78"/>
        <v>2016</v>
      </c>
      <c r="C2552" s="3">
        <f t="shared" si="79"/>
        <v>8</v>
      </c>
      <c r="D2552" t="s">
        <v>2046</v>
      </c>
      <c r="E2552" t="s">
        <v>339</v>
      </c>
      <c r="F2552" t="s">
        <v>28</v>
      </c>
      <c r="G2552" t="s">
        <v>29</v>
      </c>
      <c r="H2552" t="s">
        <v>1138</v>
      </c>
      <c r="I2552" s="2">
        <v>32.4</v>
      </c>
      <c r="J2552" s="3">
        <v>5</v>
      </c>
      <c r="K2552" s="2">
        <v>15.55</v>
      </c>
    </row>
    <row r="2553" spans="1:11" x14ac:dyDescent="0.35">
      <c r="A2553" s="1">
        <v>42593</v>
      </c>
      <c r="B2553" s="3">
        <f t="shared" si="78"/>
        <v>2016</v>
      </c>
      <c r="C2553" s="3">
        <f t="shared" si="79"/>
        <v>8</v>
      </c>
      <c r="D2553" t="s">
        <v>2046</v>
      </c>
      <c r="E2553" t="s">
        <v>339</v>
      </c>
      <c r="F2553" t="s">
        <v>28</v>
      </c>
      <c r="G2553" t="s">
        <v>48</v>
      </c>
      <c r="H2553" t="s">
        <v>1397</v>
      </c>
      <c r="I2553" s="2">
        <v>41.86</v>
      </c>
      <c r="J2553" s="3">
        <v>7</v>
      </c>
      <c r="K2553" s="2">
        <v>19.260000000000002</v>
      </c>
    </row>
    <row r="2554" spans="1:11" x14ac:dyDescent="0.35">
      <c r="A2554" s="1">
        <v>42593</v>
      </c>
      <c r="B2554" s="3">
        <f t="shared" si="78"/>
        <v>2016</v>
      </c>
      <c r="C2554" s="3">
        <f t="shared" si="79"/>
        <v>8</v>
      </c>
      <c r="D2554" t="s">
        <v>2046</v>
      </c>
      <c r="E2554" t="s">
        <v>339</v>
      </c>
      <c r="F2554" t="s">
        <v>28</v>
      </c>
      <c r="G2554" t="s">
        <v>48</v>
      </c>
      <c r="H2554" t="s">
        <v>2047</v>
      </c>
      <c r="I2554" s="2">
        <v>77.56</v>
      </c>
      <c r="J2554" s="3">
        <v>2</v>
      </c>
      <c r="K2554" s="2">
        <v>35.68</v>
      </c>
    </row>
    <row r="2555" spans="1:11" x14ac:dyDescent="0.35">
      <c r="A2555" s="1">
        <v>42624</v>
      </c>
      <c r="B2555" s="3">
        <f t="shared" si="78"/>
        <v>2016</v>
      </c>
      <c r="C2555" s="3">
        <f t="shared" si="79"/>
        <v>9</v>
      </c>
      <c r="D2555" t="s">
        <v>1142</v>
      </c>
      <c r="E2555" t="s">
        <v>45</v>
      </c>
      <c r="F2555" t="s">
        <v>28</v>
      </c>
      <c r="G2555" t="s">
        <v>29</v>
      </c>
      <c r="H2555" t="s">
        <v>1226</v>
      </c>
      <c r="I2555" s="2">
        <v>7.61</v>
      </c>
      <c r="J2555" s="3">
        <v>1</v>
      </c>
      <c r="K2555" s="2">
        <v>3.58</v>
      </c>
    </row>
    <row r="2556" spans="1:11" x14ac:dyDescent="0.35">
      <c r="A2556" s="1">
        <v>42624</v>
      </c>
      <c r="B2556" s="3">
        <f t="shared" si="78"/>
        <v>2016</v>
      </c>
      <c r="C2556" s="3">
        <f t="shared" si="79"/>
        <v>9</v>
      </c>
      <c r="D2556" t="s">
        <v>1142</v>
      </c>
      <c r="E2556" t="s">
        <v>45</v>
      </c>
      <c r="F2556" t="s">
        <v>13</v>
      </c>
      <c r="G2556" t="s">
        <v>14</v>
      </c>
      <c r="H2556" t="s">
        <v>2048</v>
      </c>
      <c r="I2556" s="2">
        <v>3347.37</v>
      </c>
      <c r="J2556" s="3">
        <v>13</v>
      </c>
      <c r="K2556" s="2">
        <v>636</v>
      </c>
    </row>
    <row r="2557" spans="1:11" x14ac:dyDescent="0.35">
      <c r="A2557" s="1">
        <v>42624</v>
      </c>
      <c r="B2557" s="3">
        <f t="shared" si="78"/>
        <v>2016</v>
      </c>
      <c r="C2557" s="3">
        <f t="shared" si="79"/>
        <v>9</v>
      </c>
      <c r="D2557" t="s">
        <v>453</v>
      </c>
      <c r="E2557" t="s">
        <v>89</v>
      </c>
      <c r="F2557" t="s">
        <v>28</v>
      </c>
      <c r="G2557" t="s">
        <v>29</v>
      </c>
      <c r="H2557" t="s">
        <v>2049</v>
      </c>
      <c r="I2557" s="2">
        <v>8.4499999999999993</v>
      </c>
      <c r="J2557" s="3">
        <v>2</v>
      </c>
      <c r="K2557" s="2">
        <v>2.64</v>
      </c>
    </row>
    <row r="2558" spans="1:11" x14ac:dyDescent="0.35">
      <c r="A2558" s="1">
        <v>42624</v>
      </c>
      <c r="B2558" s="3">
        <f t="shared" si="78"/>
        <v>2016</v>
      </c>
      <c r="C2558" s="3">
        <f t="shared" si="79"/>
        <v>9</v>
      </c>
      <c r="D2558" t="s">
        <v>453</v>
      </c>
      <c r="E2558" t="s">
        <v>89</v>
      </c>
      <c r="F2558" t="s">
        <v>13</v>
      </c>
      <c r="G2558" t="s">
        <v>23</v>
      </c>
      <c r="H2558" t="s">
        <v>851</v>
      </c>
      <c r="I2558" s="2">
        <v>728.95</v>
      </c>
      <c r="J2558" s="3">
        <v>9</v>
      </c>
      <c r="K2558" s="2">
        <v>-157.94</v>
      </c>
    </row>
    <row r="2559" spans="1:11" x14ac:dyDescent="0.35">
      <c r="A2559" s="1">
        <v>42624</v>
      </c>
      <c r="B2559" s="3">
        <f t="shared" si="78"/>
        <v>2016</v>
      </c>
      <c r="C2559" s="3">
        <f t="shared" si="79"/>
        <v>9</v>
      </c>
      <c r="D2559" t="s">
        <v>189</v>
      </c>
      <c r="E2559" t="s">
        <v>131</v>
      </c>
      <c r="F2559" t="s">
        <v>28</v>
      </c>
      <c r="G2559" t="s">
        <v>48</v>
      </c>
      <c r="H2559" t="s">
        <v>134</v>
      </c>
      <c r="I2559" s="2">
        <v>22.43</v>
      </c>
      <c r="J2559" s="3">
        <v>3</v>
      </c>
      <c r="K2559" s="2">
        <v>-17.940000000000001</v>
      </c>
    </row>
    <row r="2560" spans="1:11" x14ac:dyDescent="0.35">
      <c r="A2560" s="1">
        <v>42624</v>
      </c>
      <c r="B2560" s="3">
        <f t="shared" si="78"/>
        <v>2016</v>
      </c>
      <c r="C2560" s="3">
        <f t="shared" si="79"/>
        <v>9</v>
      </c>
      <c r="D2560" t="s">
        <v>189</v>
      </c>
      <c r="E2560" t="s">
        <v>131</v>
      </c>
      <c r="F2560" t="s">
        <v>28</v>
      </c>
      <c r="G2560" t="s">
        <v>38</v>
      </c>
      <c r="H2560" t="s">
        <v>295</v>
      </c>
      <c r="I2560" s="2">
        <v>37.520000000000003</v>
      </c>
      <c r="J2560" s="3">
        <v>5</v>
      </c>
      <c r="K2560" s="2">
        <v>3.75</v>
      </c>
    </row>
    <row r="2561" spans="1:11" x14ac:dyDescent="0.35">
      <c r="A2561" s="1">
        <v>42624</v>
      </c>
      <c r="B2561" s="3">
        <f t="shared" si="78"/>
        <v>2016</v>
      </c>
      <c r="C2561" s="3">
        <f t="shared" si="79"/>
        <v>9</v>
      </c>
      <c r="D2561" t="s">
        <v>933</v>
      </c>
      <c r="E2561" t="s">
        <v>173</v>
      </c>
      <c r="F2561" t="s">
        <v>13</v>
      </c>
      <c r="G2561" t="s">
        <v>143</v>
      </c>
      <c r="H2561" t="s">
        <v>1557</v>
      </c>
      <c r="I2561" s="2">
        <v>1599.92</v>
      </c>
      <c r="J2561" s="3">
        <v>8</v>
      </c>
      <c r="K2561" s="2">
        <v>751.96</v>
      </c>
    </row>
    <row r="2562" spans="1:11" x14ac:dyDescent="0.35">
      <c r="A2562" s="1">
        <v>42624</v>
      </c>
      <c r="B2562" s="3">
        <f t="shared" ref="B2562:B2625" si="80">YEAR(A2562)</f>
        <v>2016</v>
      </c>
      <c r="C2562" s="3">
        <f t="shared" ref="C2562:C2625" si="81">MONTH(A2562)</f>
        <v>9</v>
      </c>
      <c r="D2562" t="s">
        <v>933</v>
      </c>
      <c r="E2562" t="s">
        <v>173</v>
      </c>
      <c r="F2562" t="s">
        <v>28</v>
      </c>
      <c r="G2562" t="s">
        <v>158</v>
      </c>
      <c r="H2562" t="s">
        <v>1948</v>
      </c>
      <c r="I2562" s="2">
        <v>11.09</v>
      </c>
      <c r="J2562" s="3">
        <v>1</v>
      </c>
      <c r="K2562" s="2">
        <v>5.43</v>
      </c>
    </row>
    <row r="2563" spans="1:11" x14ac:dyDescent="0.35">
      <c r="A2563" s="1">
        <v>42624</v>
      </c>
      <c r="B2563" s="3">
        <f t="shared" si="80"/>
        <v>2016</v>
      </c>
      <c r="C2563" s="3">
        <f t="shared" si="81"/>
        <v>9</v>
      </c>
      <c r="D2563" t="s">
        <v>1629</v>
      </c>
      <c r="E2563" t="s">
        <v>45</v>
      </c>
      <c r="F2563" t="s">
        <v>28</v>
      </c>
      <c r="G2563" t="s">
        <v>38</v>
      </c>
      <c r="H2563" t="s">
        <v>946</v>
      </c>
      <c r="I2563" s="2">
        <v>332.94</v>
      </c>
      <c r="J2563" s="3">
        <v>3</v>
      </c>
      <c r="K2563" s="2">
        <v>6.66</v>
      </c>
    </row>
    <row r="2564" spans="1:11" x14ac:dyDescent="0.35">
      <c r="A2564" s="1">
        <v>42624</v>
      </c>
      <c r="B2564" s="3">
        <f t="shared" si="80"/>
        <v>2016</v>
      </c>
      <c r="C2564" s="3">
        <f t="shared" si="81"/>
        <v>9</v>
      </c>
      <c r="D2564" t="s">
        <v>1629</v>
      </c>
      <c r="E2564" t="s">
        <v>45</v>
      </c>
      <c r="F2564" t="s">
        <v>28</v>
      </c>
      <c r="G2564" t="s">
        <v>48</v>
      </c>
      <c r="H2564" t="s">
        <v>134</v>
      </c>
      <c r="I2564" s="2">
        <v>39.869999999999997</v>
      </c>
      <c r="J2564" s="3">
        <v>2</v>
      </c>
      <c r="K2564" s="2">
        <v>12.96</v>
      </c>
    </row>
    <row r="2565" spans="1:11" x14ac:dyDescent="0.35">
      <c r="A2565" s="1">
        <v>42624</v>
      </c>
      <c r="B2565" s="3">
        <f t="shared" si="80"/>
        <v>2016</v>
      </c>
      <c r="C2565" s="3">
        <f t="shared" si="81"/>
        <v>9</v>
      </c>
      <c r="D2565" t="s">
        <v>567</v>
      </c>
      <c r="E2565" t="s">
        <v>1008</v>
      </c>
      <c r="F2565" t="s">
        <v>13</v>
      </c>
      <c r="G2565" t="s">
        <v>23</v>
      </c>
      <c r="H2565" t="s">
        <v>1729</v>
      </c>
      <c r="I2565" s="2">
        <v>224.75</v>
      </c>
      <c r="J2565" s="3">
        <v>5</v>
      </c>
      <c r="K2565" s="2">
        <v>62.93</v>
      </c>
    </row>
    <row r="2566" spans="1:11" x14ac:dyDescent="0.35">
      <c r="A2566" s="1">
        <v>42624</v>
      </c>
      <c r="B2566" s="3">
        <f t="shared" si="80"/>
        <v>2016</v>
      </c>
      <c r="C2566" s="3">
        <f t="shared" si="81"/>
        <v>9</v>
      </c>
      <c r="D2566" t="s">
        <v>1505</v>
      </c>
      <c r="E2566" t="s">
        <v>26</v>
      </c>
      <c r="F2566" t="s">
        <v>28</v>
      </c>
      <c r="G2566" t="s">
        <v>46</v>
      </c>
      <c r="H2566" t="s">
        <v>1192</v>
      </c>
      <c r="I2566" s="2">
        <v>6</v>
      </c>
      <c r="J2566" s="3">
        <v>2</v>
      </c>
      <c r="K2566" s="2">
        <v>2.1</v>
      </c>
    </row>
    <row r="2567" spans="1:11" x14ac:dyDescent="0.35">
      <c r="A2567" s="1">
        <v>42624</v>
      </c>
      <c r="B2567" s="3">
        <f t="shared" si="80"/>
        <v>2016</v>
      </c>
      <c r="C2567" s="3">
        <f t="shared" si="81"/>
        <v>9</v>
      </c>
      <c r="D2567" t="s">
        <v>1505</v>
      </c>
      <c r="E2567" t="s">
        <v>26</v>
      </c>
      <c r="F2567" t="s">
        <v>28</v>
      </c>
      <c r="G2567" t="s">
        <v>48</v>
      </c>
      <c r="H2567" t="s">
        <v>2050</v>
      </c>
      <c r="I2567" s="2">
        <v>1.91</v>
      </c>
      <c r="J2567" s="3">
        <v>3</v>
      </c>
      <c r="K2567" s="2">
        <v>-3.24</v>
      </c>
    </row>
    <row r="2568" spans="1:11" x14ac:dyDescent="0.35">
      <c r="A2568" s="1">
        <v>42624</v>
      </c>
      <c r="B2568" s="3">
        <f t="shared" si="80"/>
        <v>2016</v>
      </c>
      <c r="C2568" s="3">
        <f t="shared" si="81"/>
        <v>9</v>
      </c>
      <c r="D2568" t="s">
        <v>1795</v>
      </c>
      <c r="E2568" t="s">
        <v>211</v>
      </c>
      <c r="F2568" t="s">
        <v>28</v>
      </c>
      <c r="G2568" t="s">
        <v>64</v>
      </c>
      <c r="H2568" t="s">
        <v>2051</v>
      </c>
      <c r="I2568" s="2">
        <v>2.91</v>
      </c>
      <c r="J2568" s="3">
        <v>2</v>
      </c>
      <c r="K2568" s="2">
        <v>0.91</v>
      </c>
    </row>
    <row r="2569" spans="1:11" x14ac:dyDescent="0.35">
      <c r="A2569" s="1">
        <v>42624</v>
      </c>
      <c r="B2569" s="3">
        <f t="shared" si="80"/>
        <v>2016</v>
      </c>
      <c r="C2569" s="3">
        <f t="shared" si="81"/>
        <v>9</v>
      </c>
      <c r="D2569" t="s">
        <v>1795</v>
      </c>
      <c r="E2569" t="s">
        <v>211</v>
      </c>
      <c r="F2569" t="s">
        <v>28</v>
      </c>
      <c r="G2569" t="s">
        <v>29</v>
      </c>
      <c r="H2569" t="s">
        <v>2052</v>
      </c>
      <c r="I2569" s="2">
        <v>20.74</v>
      </c>
      <c r="J2569" s="3">
        <v>4</v>
      </c>
      <c r="K2569" s="2">
        <v>7.26</v>
      </c>
    </row>
    <row r="2570" spans="1:11" x14ac:dyDescent="0.35">
      <c r="A2570" s="1">
        <v>42624</v>
      </c>
      <c r="B2570" s="3">
        <f t="shared" si="80"/>
        <v>2016</v>
      </c>
      <c r="C2570" s="3">
        <f t="shared" si="81"/>
        <v>9</v>
      </c>
      <c r="D2570" t="s">
        <v>1795</v>
      </c>
      <c r="E2570" t="s">
        <v>211</v>
      </c>
      <c r="F2570" t="s">
        <v>28</v>
      </c>
      <c r="G2570" t="s">
        <v>29</v>
      </c>
      <c r="H2570" t="s">
        <v>790</v>
      </c>
      <c r="I2570" s="2">
        <v>9.57</v>
      </c>
      <c r="J2570" s="3">
        <v>2</v>
      </c>
      <c r="K2570" s="2">
        <v>2.99</v>
      </c>
    </row>
    <row r="2571" spans="1:11" x14ac:dyDescent="0.35">
      <c r="A2571" s="1">
        <v>42624</v>
      </c>
      <c r="B2571" s="3">
        <f t="shared" si="80"/>
        <v>2016</v>
      </c>
      <c r="C2571" s="3">
        <f t="shared" si="81"/>
        <v>9</v>
      </c>
      <c r="D2571" t="s">
        <v>579</v>
      </c>
      <c r="E2571" t="s">
        <v>32</v>
      </c>
      <c r="F2571" t="s">
        <v>28</v>
      </c>
      <c r="G2571" t="s">
        <v>158</v>
      </c>
      <c r="H2571" t="s">
        <v>511</v>
      </c>
      <c r="I2571" s="2">
        <v>99.57</v>
      </c>
      <c r="J2571" s="3">
        <v>2</v>
      </c>
      <c r="K2571" s="2">
        <v>33.6</v>
      </c>
    </row>
    <row r="2572" spans="1:11" x14ac:dyDescent="0.35">
      <c r="A2572" s="1">
        <v>42654</v>
      </c>
      <c r="B2572" s="3">
        <f t="shared" si="80"/>
        <v>2016</v>
      </c>
      <c r="C2572" s="3">
        <f t="shared" si="81"/>
        <v>10</v>
      </c>
      <c r="D2572" t="s">
        <v>562</v>
      </c>
      <c r="E2572" t="s">
        <v>26</v>
      </c>
      <c r="F2572" t="s">
        <v>28</v>
      </c>
      <c r="G2572" t="s">
        <v>64</v>
      </c>
      <c r="H2572" t="s">
        <v>1024</v>
      </c>
      <c r="I2572" s="2">
        <v>5.34</v>
      </c>
      <c r="J2572" s="3">
        <v>2</v>
      </c>
      <c r="K2572" s="2">
        <v>0.67</v>
      </c>
    </row>
    <row r="2573" spans="1:11" x14ac:dyDescent="0.35">
      <c r="A2573" s="1">
        <v>42654</v>
      </c>
      <c r="B2573" s="3">
        <f t="shared" si="80"/>
        <v>2016</v>
      </c>
      <c r="C2573" s="3">
        <f t="shared" si="81"/>
        <v>10</v>
      </c>
      <c r="D2573" t="s">
        <v>562</v>
      </c>
      <c r="E2573" t="s">
        <v>26</v>
      </c>
      <c r="F2573" t="s">
        <v>28</v>
      </c>
      <c r="G2573" t="s">
        <v>64</v>
      </c>
      <c r="H2573" t="s">
        <v>2053</v>
      </c>
      <c r="I2573" s="2">
        <v>27.72</v>
      </c>
      <c r="J2573" s="3">
        <v>3</v>
      </c>
      <c r="K2573" s="2">
        <v>3.47</v>
      </c>
    </row>
    <row r="2574" spans="1:11" x14ac:dyDescent="0.35">
      <c r="A2574" s="1">
        <v>42685</v>
      </c>
      <c r="B2574" s="3">
        <f t="shared" si="80"/>
        <v>2016</v>
      </c>
      <c r="C2574" s="3">
        <f t="shared" si="81"/>
        <v>11</v>
      </c>
      <c r="D2574" t="s">
        <v>1687</v>
      </c>
      <c r="E2574" t="s">
        <v>22</v>
      </c>
      <c r="F2574" t="s">
        <v>13</v>
      </c>
      <c r="G2574" t="s">
        <v>14</v>
      </c>
      <c r="H2574" t="s">
        <v>2054</v>
      </c>
      <c r="I2574" s="2">
        <v>59.97</v>
      </c>
      <c r="J2574" s="3">
        <v>3</v>
      </c>
      <c r="K2574" s="2">
        <v>14.99</v>
      </c>
    </row>
    <row r="2575" spans="1:11" x14ac:dyDescent="0.35">
      <c r="A2575" s="1">
        <v>42685</v>
      </c>
      <c r="B2575" s="3">
        <f t="shared" si="80"/>
        <v>2016</v>
      </c>
      <c r="C2575" s="3">
        <f t="shared" si="81"/>
        <v>11</v>
      </c>
      <c r="D2575" t="s">
        <v>1687</v>
      </c>
      <c r="E2575" t="s">
        <v>22</v>
      </c>
      <c r="F2575" t="s">
        <v>28</v>
      </c>
      <c r="G2575" t="s">
        <v>38</v>
      </c>
      <c r="H2575" t="s">
        <v>56</v>
      </c>
      <c r="I2575" s="2">
        <v>83.36</v>
      </c>
      <c r="J2575" s="3">
        <v>1</v>
      </c>
      <c r="K2575" s="2">
        <v>20.84</v>
      </c>
    </row>
    <row r="2576" spans="1:11" x14ac:dyDescent="0.35">
      <c r="A2576" s="1">
        <v>42685</v>
      </c>
      <c r="B2576" s="3">
        <f t="shared" si="80"/>
        <v>2016</v>
      </c>
      <c r="C2576" s="3">
        <f t="shared" si="81"/>
        <v>11</v>
      </c>
      <c r="D2576" t="s">
        <v>1275</v>
      </c>
      <c r="E2576" t="s">
        <v>26</v>
      </c>
      <c r="F2576" t="s">
        <v>13</v>
      </c>
      <c r="G2576" t="s">
        <v>14</v>
      </c>
      <c r="H2576" t="s">
        <v>335</v>
      </c>
      <c r="I2576" s="2">
        <v>95.97</v>
      </c>
      <c r="J2576" s="3">
        <v>4</v>
      </c>
      <c r="K2576" s="2">
        <v>1.2</v>
      </c>
    </row>
    <row r="2577" spans="1:11" x14ac:dyDescent="0.35">
      <c r="A2577" s="1">
        <v>42685</v>
      </c>
      <c r="B2577" s="3">
        <f t="shared" si="80"/>
        <v>2016</v>
      </c>
      <c r="C2577" s="3">
        <f t="shared" si="81"/>
        <v>11</v>
      </c>
      <c r="D2577" t="s">
        <v>1275</v>
      </c>
      <c r="E2577" t="s">
        <v>26</v>
      </c>
      <c r="F2577" t="s">
        <v>18</v>
      </c>
      <c r="G2577" t="s">
        <v>19</v>
      </c>
      <c r="H2577" t="s">
        <v>1559</v>
      </c>
      <c r="I2577" s="2">
        <v>47.99</v>
      </c>
      <c r="J2577" s="3">
        <v>2</v>
      </c>
      <c r="K2577" s="2">
        <v>-2.06</v>
      </c>
    </row>
    <row r="2578" spans="1:11" x14ac:dyDescent="0.35">
      <c r="A2578" s="1">
        <v>42685</v>
      </c>
      <c r="B2578" s="3">
        <f t="shared" si="80"/>
        <v>2016</v>
      </c>
      <c r="C2578" s="3">
        <f t="shared" si="81"/>
        <v>11</v>
      </c>
      <c r="D2578" t="s">
        <v>1934</v>
      </c>
      <c r="E2578" t="s">
        <v>71</v>
      </c>
      <c r="F2578" t="s">
        <v>13</v>
      </c>
      <c r="G2578" t="s">
        <v>23</v>
      </c>
      <c r="H2578" t="s">
        <v>1409</v>
      </c>
      <c r="I2578" s="2">
        <v>257.98</v>
      </c>
      <c r="J2578" s="3">
        <v>2</v>
      </c>
      <c r="K2578" s="2">
        <v>74.81</v>
      </c>
    </row>
    <row r="2579" spans="1:11" x14ac:dyDescent="0.35">
      <c r="A2579" s="1">
        <v>42685</v>
      </c>
      <c r="B2579" s="3">
        <f t="shared" si="80"/>
        <v>2016</v>
      </c>
      <c r="C2579" s="3">
        <f t="shared" si="81"/>
        <v>11</v>
      </c>
      <c r="D2579" t="s">
        <v>292</v>
      </c>
      <c r="E2579" t="s">
        <v>45</v>
      </c>
      <c r="F2579" t="s">
        <v>18</v>
      </c>
      <c r="G2579" t="s">
        <v>36</v>
      </c>
      <c r="H2579" t="s">
        <v>375</v>
      </c>
      <c r="I2579" s="2">
        <v>6.96</v>
      </c>
      <c r="J2579" s="3">
        <v>4</v>
      </c>
      <c r="K2579" s="2">
        <v>2.23</v>
      </c>
    </row>
    <row r="2580" spans="1:11" x14ac:dyDescent="0.35">
      <c r="A2580" s="1">
        <v>42685</v>
      </c>
      <c r="B2580" s="3">
        <f t="shared" si="80"/>
        <v>2016</v>
      </c>
      <c r="C2580" s="3">
        <f t="shared" si="81"/>
        <v>11</v>
      </c>
      <c r="D2580" t="s">
        <v>1669</v>
      </c>
      <c r="E2580" t="s">
        <v>77</v>
      </c>
      <c r="F2580" t="s">
        <v>28</v>
      </c>
      <c r="G2580" t="s">
        <v>48</v>
      </c>
      <c r="H2580" t="s">
        <v>390</v>
      </c>
      <c r="I2580" s="2">
        <v>9.89</v>
      </c>
      <c r="J2580" s="3">
        <v>2</v>
      </c>
      <c r="K2580" s="2">
        <v>-6.92</v>
      </c>
    </row>
    <row r="2581" spans="1:11" x14ac:dyDescent="0.35">
      <c r="A2581" s="1">
        <v>42685</v>
      </c>
      <c r="B2581" s="3">
        <f t="shared" si="80"/>
        <v>2016</v>
      </c>
      <c r="C2581" s="3">
        <f t="shared" si="81"/>
        <v>11</v>
      </c>
      <c r="D2581" t="s">
        <v>1669</v>
      </c>
      <c r="E2581" t="s">
        <v>77</v>
      </c>
      <c r="F2581" t="s">
        <v>28</v>
      </c>
      <c r="G2581" t="s">
        <v>58</v>
      </c>
      <c r="H2581" t="s">
        <v>2055</v>
      </c>
      <c r="I2581" s="2">
        <v>671.54</v>
      </c>
      <c r="J2581" s="3">
        <v>3</v>
      </c>
      <c r="K2581" s="2">
        <v>50.37</v>
      </c>
    </row>
    <row r="2582" spans="1:11" x14ac:dyDescent="0.35">
      <c r="A2582" s="1">
        <v>42685</v>
      </c>
      <c r="B2582" s="3">
        <f t="shared" si="80"/>
        <v>2016</v>
      </c>
      <c r="C2582" s="3">
        <f t="shared" si="81"/>
        <v>11</v>
      </c>
      <c r="D2582" t="s">
        <v>1274</v>
      </c>
      <c r="E2582" t="s">
        <v>22</v>
      </c>
      <c r="F2582" t="s">
        <v>28</v>
      </c>
      <c r="G2582" t="s">
        <v>38</v>
      </c>
      <c r="H2582" t="s">
        <v>295</v>
      </c>
      <c r="I2582" s="2">
        <v>28.14</v>
      </c>
      <c r="J2582" s="3">
        <v>3</v>
      </c>
      <c r="K2582" s="2">
        <v>7.88</v>
      </c>
    </row>
    <row r="2583" spans="1:11" x14ac:dyDescent="0.35">
      <c r="A2583" s="1">
        <v>42685</v>
      </c>
      <c r="B2583" s="3">
        <f t="shared" si="80"/>
        <v>2016</v>
      </c>
      <c r="C2583" s="3">
        <f t="shared" si="81"/>
        <v>11</v>
      </c>
      <c r="D2583" t="s">
        <v>1274</v>
      </c>
      <c r="E2583" t="s">
        <v>22</v>
      </c>
      <c r="F2583" t="s">
        <v>13</v>
      </c>
      <c r="G2583" t="s">
        <v>14</v>
      </c>
      <c r="H2583" t="s">
        <v>1386</v>
      </c>
      <c r="I2583" s="2">
        <v>36</v>
      </c>
      <c r="J2583" s="3">
        <v>2</v>
      </c>
      <c r="K2583" s="2">
        <v>6.48</v>
      </c>
    </row>
    <row r="2584" spans="1:11" x14ac:dyDescent="0.35">
      <c r="A2584" s="1">
        <v>42685</v>
      </c>
      <c r="B2584" s="3">
        <f t="shared" si="80"/>
        <v>2016</v>
      </c>
      <c r="C2584" s="3">
        <f t="shared" si="81"/>
        <v>11</v>
      </c>
      <c r="D2584" t="s">
        <v>1274</v>
      </c>
      <c r="E2584" t="s">
        <v>22</v>
      </c>
      <c r="F2584" t="s">
        <v>28</v>
      </c>
      <c r="G2584" t="s">
        <v>64</v>
      </c>
      <c r="H2584" t="s">
        <v>2056</v>
      </c>
      <c r="I2584" s="2">
        <v>92.94</v>
      </c>
      <c r="J2584" s="3">
        <v>3</v>
      </c>
      <c r="K2584" s="2">
        <v>25.09</v>
      </c>
    </row>
    <row r="2585" spans="1:11" x14ac:dyDescent="0.35">
      <c r="A2585" s="1">
        <v>42685</v>
      </c>
      <c r="B2585" s="3">
        <f t="shared" si="80"/>
        <v>2016</v>
      </c>
      <c r="C2585" s="3">
        <f t="shared" si="81"/>
        <v>11</v>
      </c>
      <c r="D2585" t="s">
        <v>1274</v>
      </c>
      <c r="E2585" t="s">
        <v>22</v>
      </c>
      <c r="F2585" t="s">
        <v>18</v>
      </c>
      <c r="G2585" t="s">
        <v>19</v>
      </c>
      <c r="H2585" t="s">
        <v>1115</v>
      </c>
      <c r="I2585" s="2">
        <v>245.65</v>
      </c>
      <c r="J2585" s="3">
        <v>3</v>
      </c>
      <c r="K2585" s="2">
        <v>8.19</v>
      </c>
    </row>
    <row r="2586" spans="1:11" x14ac:dyDescent="0.35">
      <c r="A2586" s="1">
        <v>42685</v>
      </c>
      <c r="B2586" s="3">
        <f t="shared" si="80"/>
        <v>2016</v>
      </c>
      <c r="C2586" s="3">
        <f t="shared" si="81"/>
        <v>11</v>
      </c>
      <c r="D2586" t="s">
        <v>1274</v>
      </c>
      <c r="E2586" t="s">
        <v>22</v>
      </c>
      <c r="F2586" t="s">
        <v>28</v>
      </c>
      <c r="G2586" t="s">
        <v>48</v>
      </c>
      <c r="H2586" t="s">
        <v>1061</v>
      </c>
      <c r="I2586" s="2">
        <v>55.01</v>
      </c>
      <c r="J2586" s="3">
        <v>3</v>
      </c>
      <c r="K2586" s="2">
        <v>17.190000000000001</v>
      </c>
    </row>
    <row r="2587" spans="1:11" x14ac:dyDescent="0.35">
      <c r="A2587" s="1">
        <v>42685</v>
      </c>
      <c r="B2587" s="3">
        <f t="shared" si="80"/>
        <v>2016</v>
      </c>
      <c r="C2587" s="3">
        <f t="shared" si="81"/>
        <v>11</v>
      </c>
      <c r="D2587" t="s">
        <v>1274</v>
      </c>
      <c r="E2587" t="s">
        <v>22</v>
      </c>
      <c r="F2587" t="s">
        <v>28</v>
      </c>
      <c r="G2587" t="s">
        <v>48</v>
      </c>
      <c r="H2587" t="s">
        <v>1039</v>
      </c>
      <c r="I2587" s="2">
        <v>35.229999999999997</v>
      </c>
      <c r="J2587" s="3">
        <v>3</v>
      </c>
      <c r="K2587" s="2">
        <v>11.45</v>
      </c>
    </row>
    <row r="2588" spans="1:11" x14ac:dyDescent="0.35">
      <c r="A2588" s="1">
        <v>42685</v>
      </c>
      <c r="B2588" s="3">
        <f t="shared" si="80"/>
        <v>2016</v>
      </c>
      <c r="C2588" s="3">
        <f t="shared" si="81"/>
        <v>11</v>
      </c>
      <c r="D2588" t="s">
        <v>2057</v>
      </c>
      <c r="E2588" t="s">
        <v>45</v>
      </c>
      <c r="F2588" t="s">
        <v>18</v>
      </c>
      <c r="G2588" t="s">
        <v>36</v>
      </c>
      <c r="H2588" t="s">
        <v>2058</v>
      </c>
      <c r="I2588" s="2">
        <v>41.96</v>
      </c>
      <c r="J2588" s="3">
        <v>2</v>
      </c>
      <c r="K2588" s="2">
        <v>10.91</v>
      </c>
    </row>
    <row r="2589" spans="1:11" x14ac:dyDescent="0.35">
      <c r="A2589" s="1">
        <v>42685</v>
      </c>
      <c r="B2589" s="3">
        <f t="shared" si="80"/>
        <v>2016</v>
      </c>
      <c r="C2589" s="3">
        <f t="shared" si="81"/>
        <v>11</v>
      </c>
      <c r="D2589" t="s">
        <v>2057</v>
      </c>
      <c r="E2589" t="s">
        <v>45</v>
      </c>
      <c r="F2589" t="s">
        <v>18</v>
      </c>
      <c r="G2589" t="s">
        <v>19</v>
      </c>
      <c r="H2589" t="s">
        <v>866</v>
      </c>
      <c r="I2589" s="2">
        <v>451.15</v>
      </c>
      <c r="J2589" s="3">
        <v>3</v>
      </c>
      <c r="K2589" s="2">
        <v>0</v>
      </c>
    </row>
    <row r="2590" spans="1:11" x14ac:dyDescent="0.35">
      <c r="A2590" s="1">
        <v>42685</v>
      </c>
      <c r="B2590" s="3">
        <f t="shared" si="80"/>
        <v>2016</v>
      </c>
      <c r="C2590" s="3">
        <f t="shared" si="81"/>
        <v>11</v>
      </c>
      <c r="D2590" t="s">
        <v>2057</v>
      </c>
      <c r="E2590" t="s">
        <v>45</v>
      </c>
      <c r="F2590" t="s">
        <v>28</v>
      </c>
      <c r="G2590" t="s">
        <v>48</v>
      </c>
      <c r="H2590" t="s">
        <v>1054</v>
      </c>
      <c r="I2590" s="2">
        <v>31.5</v>
      </c>
      <c r="J2590" s="3">
        <v>11</v>
      </c>
      <c r="K2590" s="2">
        <v>11.03</v>
      </c>
    </row>
    <row r="2591" spans="1:11" x14ac:dyDescent="0.35">
      <c r="A2591" s="1">
        <v>42685</v>
      </c>
      <c r="B2591" s="3">
        <f t="shared" si="80"/>
        <v>2016</v>
      </c>
      <c r="C2591" s="3">
        <f t="shared" si="81"/>
        <v>11</v>
      </c>
      <c r="D2591" t="s">
        <v>1807</v>
      </c>
      <c r="E2591" t="s">
        <v>575</v>
      </c>
      <c r="F2591" t="s">
        <v>18</v>
      </c>
      <c r="G2591" t="s">
        <v>42</v>
      </c>
      <c r="H2591" t="s">
        <v>2059</v>
      </c>
      <c r="I2591" s="2">
        <v>2678.94</v>
      </c>
      <c r="J2591" s="3">
        <v>6</v>
      </c>
      <c r="K2591" s="2">
        <v>241.1</v>
      </c>
    </row>
    <row r="2592" spans="1:11" x14ac:dyDescent="0.35">
      <c r="A2592" s="1">
        <v>42685</v>
      </c>
      <c r="B2592" s="3">
        <f t="shared" si="80"/>
        <v>2016</v>
      </c>
      <c r="C2592" s="3">
        <f t="shared" si="81"/>
        <v>11</v>
      </c>
      <c r="D2592" t="s">
        <v>2060</v>
      </c>
      <c r="E2592" t="s">
        <v>26</v>
      </c>
      <c r="F2592" t="s">
        <v>28</v>
      </c>
      <c r="G2592" t="s">
        <v>64</v>
      </c>
      <c r="H2592" t="s">
        <v>1755</v>
      </c>
      <c r="I2592" s="2">
        <v>14.11</v>
      </c>
      <c r="J2592" s="3">
        <v>6</v>
      </c>
      <c r="K2592" s="2">
        <v>1.23</v>
      </c>
    </row>
    <row r="2593" spans="1:11" x14ac:dyDescent="0.35">
      <c r="A2593" s="1">
        <v>42715</v>
      </c>
      <c r="B2593" s="3">
        <f t="shared" si="80"/>
        <v>2016</v>
      </c>
      <c r="C2593" s="3">
        <f t="shared" si="81"/>
        <v>12</v>
      </c>
      <c r="D2593" t="s">
        <v>2061</v>
      </c>
      <c r="E2593" t="s">
        <v>22</v>
      </c>
      <c r="F2593" t="s">
        <v>28</v>
      </c>
      <c r="G2593" t="s">
        <v>33</v>
      </c>
      <c r="H2593" t="s">
        <v>1849</v>
      </c>
      <c r="I2593" s="2">
        <v>15.26</v>
      </c>
      <c r="J2593" s="3">
        <v>7</v>
      </c>
      <c r="K2593" s="2">
        <v>6.26</v>
      </c>
    </row>
    <row r="2594" spans="1:11" x14ac:dyDescent="0.35">
      <c r="A2594" s="1">
        <v>42715</v>
      </c>
      <c r="B2594" s="3">
        <f t="shared" si="80"/>
        <v>2016</v>
      </c>
      <c r="C2594" s="3">
        <f t="shared" si="81"/>
        <v>12</v>
      </c>
      <c r="D2594" t="s">
        <v>2061</v>
      </c>
      <c r="E2594" t="s">
        <v>22</v>
      </c>
      <c r="F2594" t="s">
        <v>13</v>
      </c>
      <c r="G2594" t="s">
        <v>23</v>
      </c>
      <c r="H2594" t="s">
        <v>1894</v>
      </c>
      <c r="I2594" s="2">
        <v>1029.95</v>
      </c>
      <c r="J2594" s="3">
        <v>5</v>
      </c>
      <c r="K2594" s="2">
        <v>298.69</v>
      </c>
    </row>
    <row r="2595" spans="1:11" x14ac:dyDescent="0.35">
      <c r="A2595" s="1">
        <v>42715</v>
      </c>
      <c r="B2595" s="3">
        <f t="shared" si="80"/>
        <v>2016</v>
      </c>
      <c r="C2595" s="3">
        <f t="shared" si="81"/>
        <v>12</v>
      </c>
      <c r="D2595" t="s">
        <v>1500</v>
      </c>
      <c r="E2595" t="s">
        <v>103</v>
      </c>
      <c r="F2595" t="s">
        <v>28</v>
      </c>
      <c r="G2595" t="s">
        <v>38</v>
      </c>
      <c r="H2595" t="s">
        <v>2062</v>
      </c>
      <c r="I2595" s="2">
        <v>243.38</v>
      </c>
      <c r="J2595" s="3">
        <v>3</v>
      </c>
      <c r="K2595" s="2">
        <v>-51.72</v>
      </c>
    </row>
    <row r="2596" spans="1:11" x14ac:dyDescent="0.35">
      <c r="A2596" s="1">
        <v>42715</v>
      </c>
      <c r="B2596" s="3">
        <f t="shared" si="80"/>
        <v>2016</v>
      </c>
      <c r="C2596" s="3">
        <f t="shared" si="81"/>
        <v>12</v>
      </c>
      <c r="D2596" t="s">
        <v>1500</v>
      </c>
      <c r="E2596" t="s">
        <v>103</v>
      </c>
      <c r="F2596" t="s">
        <v>13</v>
      </c>
      <c r="G2596" t="s">
        <v>14</v>
      </c>
      <c r="H2596" t="s">
        <v>245</v>
      </c>
      <c r="I2596" s="2">
        <v>119.8</v>
      </c>
      <c r="J2596" s="3">
        <v>5</v>
      </c>
      <c r="K2596" s="2">
        <v>29.95</v>
      </c>
    </row>
    <row r="2597" spans="1:11" x14ac:dyDescent="0.35">
      <c r="A2597" s="1">
        <v>42715</v>
      </c>
      <c r="B2597" s="3">
        <f t="shared" si="80"/>
        <v>2016</v>
      </c>
      <c r="C2597" s="3">
        <f t="shared" si="81"/>
        <v>12</v>
      </c>
      <c r="D2597" t="s">
        <v>1500</v>
      </c>
      <c r="E2597" t="s">
        <v>103</v>
      </c>
      <c r="F2597" t="s">
        <v>13</v>
      </c>
      <c r="G2597" t="s">
        <v>23</v>
      </c>
      <c r="H2597" t="s">
        <v>859</v>
      </c>
      <c r="I2597" s="2">
        <v>300.77</v>
      </c>
      <c r="J2597" s="3">
        <v>4</v>
      </c>
      <c r="K2597" s="2">
        <v>30.08</v>
      </c>
    </row>
    <row r="2598" spans="1:11" x14ac:dyDescent="0.35">
      <c r="A2598" s="1">
        <v>42715</v>
      </c>
      <c r="B2598" s="3">
        <f t="shared" si="80"/>
        <v>2016</v>
      </c>
      <c r="C2598" s="3">
        <f t="shared" si="81"/>
        <v>12</v>
      </c>
      <c r="D2598" t="s">
        <v>1420</v>
      </c>
      <c r="E2598" t="s">
        <v>17</v>
      </c>
      <c r="F2598" t="s">
        <v>18</v>
      </c>
      <c r="G2598" t="s">
        <v>36</v>
      </c>
      <c r="H2598" t="s">
        <v>68</v>
      </c>
      <c r="I2598" s="2">
        <v>14.8</v>
      </c>
      <c r="J2598" s="3">
        <v>4</v>
      </c>
      <c r="K2598" s="2">
        <v>6.07</v>
      </c>
    </row>
    <row r="2599" spans="1:11" x14ac:dyDescent="0.35">
      <c r="A2599" s="1">
        <v>42715</v>
      </c>
      <c r="B2599" s="3">
        <f t="shared" si="80"/>
        <v>2016</v>
      </c>
      <c r="C2599" s="3">
        <f t="shared" si="81"/>
        <v>12</v>
      </c>
      <c r="D2599" t="s">
        <v>1420</v>
      </c>
      <c r="E2599" t="s">
        <v>17</v>
      </c>
      <c r="F2599" t="s">
        <v>13</v>
      </c>
      <c r="G2599" t="s">
        <v>23</v>
      </c>
      <c r="H2599" t="s">
        <v>609</v>
      </c>
      <c r="I2599" s="2">
        <v>302.38</v>
      </c>
      <c r="J2599" s="3">
        <v>3</v>
      </c>
      <c r="K2599" s="2">
        <v>22.68</v>
      </c>
    </row>
    <row r="2600" spans="1:11" x14ac:dyDescent="0.35">
      <c r="A2600" s="1">
        <v>42715</v>
      </c>
      <c r="B2600" s="3">
        <f t="shared" si="80"/>
        <v>2016</v>
      </c>
      <c r="C2600" s="3">
        <f t="shared" si="81"/>
        <v>12</v>
      </c>
      <c r="D2600" t="s">
        <v>1420</v>
      </c>
      <c r="E2600" t="s">
        <v>17</v>
      </c>
      <c r="F2600" t="s">
        <v>13</v>
      </c>
      <c r="G2600" t="s">
        <v>14</v>
      </c>
      <c r="H2600" t="s">
        <v>2063</v>
      </c>
      <c r="I2600" s="2">
        <v>316</v>
      </c>
      <c r="J2600" s="3">
        <v>4</v>
      </c>
      <c r="K2600" s="2">
        <v>31.6</v>
      </c>
    </row>
    <row r="2601" spans="1:11" x14ac:dyDescent="0.35">
      <c r="A2601" s="1">
        <v>42715</v>
      </c>
      <c r="B2601" s="3">
        <f t="shared" si="80"/>
        <v>2016</v>
      </c>
      <c r="C2601" s="3">
        <f t="shared" si="81"/>
        <v>12</v>
      </c>
      <c r="D2601" t="s">
        <v>687</v>
      </c>
      <c r="E2601" t="s">
        <v>77</v>
      </c>
      <c r="F2601" t="s">
        <v>28</v>
      </c>
      <c r="G2601" t="s">
        <v>38</v>
      </c>
      <c r="H2601" t="s">
        <v>1519</v>
      </c>
      <c r="I2601" s="2">
        <v>85.22</v>
      </c>
      <c r="J2601" s="3">
        <v>3</v>
      </c>
      <c r="K2601" s="2">
        <v>7.46</v>
      </c>
    </row>
    <row r="2602" spans="1:11" x14ac:dyDescent="0.35">
      <c r="A2602" s="1">
        <v>42715</v>
      </c>
      <c r="B2602" s="3">
        <f t="shared" si="80"/>
        <v>2016</v>
      </c>
      <c r="C2602" s="3">
        <f t="shared" si="81"/>
        <v>12</v>
      </c>
      <c r="D2602" t="s">
        <v>1598</v>
      </c>
      <c r="E2602" t="s">
        <v>326</v>
      </c>
      <c r="F2602" t="s">
        <v>28</v>
      </c>
      <c r="G2602" t="s">
        <v>64</v>
      </c>
      <c r="H2602" t="s">
        <v>779</v>
      </c>
      <c r="I2602" s="2">
        <v>6.67</v>
      </c>
      <c r="J2602" s="3">
        <v>3</v>
      </c>
      <c r="K2602" s="2">
        <v>1.67</v>
      </c>
    </row>
    <row r="2603" spans="1:11" x14ac:dyDescent="0.35">
      <c r="A2603" s="1">
        <v>42715</v>
      </c>
      <c r="B2603" s="3">
        <f t="shared" si="80"/>
        <v>2016</v>
      </c>
      <c r="C2603" s="3">
        <f t="shared" si="81"/>
        <v>12</v>
      </c>
      <c r="D2603" t="s">
        <v>1368</v>
      </c>
      <c r="E2603" t="s">
        <v>131</v>
      </c>
      <c r="F2603" t="s">
        <v>28</v>
      </c>
      <c r="G2603" t="s">
        <v>38</v>
      </c>
      <c r="H2603" t="s">
        <v>328</v>
      </c>
      <c r="I2603" s="2">
        <v>64.959999999999994</v>
      </c>
      <c r="J2603" s="3">
        <v>5</v>
      </c>
      <c r="K2603" s="2">
        <v>-4.0599999999999996</v>
      </c>
    </row>
    <row r="2604" spans="1:11" x14ac:dyDescent="0.35">
      <c r="A2604" s="1">
        <v>42715</v>
      </c>
      <c r="B2604" s="3">
        <f t="shared" si="80"/>
        <v>2016</v>
      </c>
      <c r="C2604" s="3">
        <f t="shared" si="81"/>
        <v>12</v>
      </c>
      <c r="D2604" t="s">
        <v>1368</v>
      </c>
      <c r="E2604" t="s">
        <v>131</v>
      </c>
      <c r="F2604" t="s">
        <v>28</v>
      </c>
      <c r="G2604" t="s">
        <v>215</v>
      </c>
      <c r="H2604" t="s">
        <v>1732</v>
      </c>
      <c r="I2604" s="2">
        <v>13.52</v>
      </c>
      <c r="J2604" s="3">
        <v>2</v>
      </c>
      <c r="K2604" s="2">
        <v>1.69</v>
      </c>
    </row>
    <row r="2605" spans="1:11" x14ac:dyDescent="0.35">
      <c r="A2605" s="1">
        <v>42715</v>
      </c>
      <c r="B2605" s="3">
        <f t="shared" si="80"/>
        <v>2016</v>
      </c>
      <c r="C2605" s="3">
        <f t="shared" si="81"/>
        <v>12</v>
      </c>
      <c r="D2605" t="s">
        <v>1368</v>
      </c>
      <c r="E2605" t="s">
        <v>131</v>
      </c>
      <c r="F2605" t="s">
        <v>18</v>
      </c>
      <c r="G2605" t="s">
        <v>19</v>
      </c>
      <c r="H2605" t="s">
        <v>402</v>
      </c>
      <c r="I2605" s="2">
        <v>458.43</v>
      </c>
      <c r="J2605" s="3">
        <v>5</v>
      </c>
      <c r="K2605" s="2">
        <v>-137.53</v>
      </c>
    </row>
    <row r="2606" spans="1:11" x14ac:dyDescent="0.35">
      <c r="A2606" s="1">
        <v>42715</v>
      </c>
      <c r="B2606" s="3">
        <f t="shared" si="80"/>
        <v>2016</v>
      </c>
      <c r="C2606" s="3">
        <f t="shared" si="81"/>
        <v>12</v>
      </c>
      <c r="D2606" t="s">
        <v>1368</v>
      </c>
      <c r="E2606" t="s">
        <v>131</v>
      </c>
      <c r="F2606" t="s">
        <v>28</v>
      </c>
      <c r="G2606" t="s">
        <v>58</v>
      </c>
      <c r="H2606" t="s">
        <v>1293</v>
      </c>
      <c r="I2606" s="2">
        <v>387.14</v>
      </c>
      <c r="J2606" s="3">
        <v>4</v>
      </c>
      <c r="K2606" s="2">
        <v>24.2</v>
      </c>
    </row>
    <row r="2607" spans="1:11" x14ac:dyDescent="0.35">
      <c r="A2607" s="1">
        <v>42715</v>
      </c>
      <c r="B2607" s="3">
        <f t="shared" si="80"/>
        <v>2016</v>
      </c>
      <c r="C2607" s="3">
        <f t="shared" si="81"/>
        <v>12</v>
      </c>
      <c r="D2607" t="s">
        <v>1368</v>
      </c>
      <c r="E2607" t="s">
        <v>131</v>
      </c>
      <c r="F2607" t="s">
        <v>18</v>
      </c>
      <c r="G2607" t="s">
        <v>42</v>
      </c>
      <c r="H2607" t="s">
        <v>1969</v>
      </c>
      <c r="I2607" s="2">
        <v>328.59</v>
      </c>
      <c r="J2607" s="3">
        <v>3</v>
      </c>
      <c r="K2607" s="2">
        <v>-147.87</v>
      </c>
    </row>
    <row r="2608" spans="1:11" x14ac:dyDescent="0.35">
      <c r="A2608" s="1">
        <v>42715</v>
      </c>
      <c r="B2608" s="3">
        <f t="shared" si="80"/>
        <v>2016</v>
      </c>
      <c r="C2608" s="3">
        <f t="shared" si="81"/>
        <v>12</v>
      </c>
      <c r="D2608" t="s">
        <v>346</v>
      </c>
      <c r="E2608" t="s">
        <v>107</v>
      </c>
      <c r="F2608" t="s">
        <v>18</v>
      </c>
      <c r="G2608" t="s">
        <v>19</v>
      </c>
      <c r="H2608" t="s">
        <v>1165</v>
      </c>
      <c r="I2608" s="2">
        <v>403.92</v>
      </c>
      <c r="J2608" s="3">
        <v>5</v>
      </c>
      <c r="K2608" s="2">
        <v>25.25</v>
      </c>
    </row>
    <row r="2609" spans="1:11" x14ac:dyDescent="0.35">
      <c r="A2609" s="1">
        <v>42715</v>
      </c>
      <c r="B2609" s="3">
        <f t="shared" si="80"/>
        <v>2016</v>
      </c>
      <c r="C2609" s="3">
        <f t="shared" si="81"/>
        <v>12</v>
      </c>
      <c r="D2609" t="s">
        <v>412</v>
      </c>
      <c r="E2609" t="s">
        <v>45</v>
      </c>
      <c r="F2609" t="s">
        <v>28</v>
      </c>
      <c r="G2609" t="s">
        <v>48</v>
      </c>
      <c r="H2609" t="s">
        <v>260</v>
      </c>
      <c r="I2609" s="2">
        <v>209.6</v>
      </c>
      <c r="J2609" s="3">
        <v>5</v>
      </c>
      <c r="K2609" s="2">
        <v>68.12</v>
      </c>
    </row>
    <row r="2610" spans="1:11" x14ac:dyDescent="0.35">
      <c r="A2610" s="1">
        <v>42715</v>
      </c>
      <c r="B2610" s="3">
        <f t="shared" si="80"/>
        <v>2016</v>
      </c>
      <c r="C2610" s="3">
        <f t="shared" si="81"/>
        <v>12</v>
      </c>
      <c r="D2610" t="s">
        <v>412</v>
      </c>
      <c r="E2610" t="s">
        <v>45</v>
      </c>
      <c r="F2610" t="s">
        <v>28</v>
      </c>
      <c r="G2610" t="s">
        <v>64</v>
      </c>
      <c r="H2610" t="s">
        <v>2064</v>
      </c>
      <c r="I2610" s="2">
        <v>23.32</v>
      </c>
      <c r="J2610" s="3">
        <v>2</v>
      </c>
      <c r="K2610" s="2">
        <v>6.06</v>
      </c>
    </row>
    <row r="2611" spans="1:11" x14ac:dyDescent="0.35">
      <c r="A2611" s="1">
        <v>42715</v>
      </c>
      <c r="B2611" s="3">
        <f t="shared" si="80"/>
        <v>2016</v>
      </c>
      <c r="C2611" s="3">
        <f t="shared" si="81"/>
        <v>12</v>
      </c>
      <c r="D2611" t="s">
        <v>412</v>
      </c>
      <c r="E2611" t="s">
        <v>45</v>
      </c>
      <c r="F2611" t="s">
        <v>28</v>
      </c>
      <c r="G2611" t="s">
        <v>29</v>
      </c>
      <c r="H2611" t="s">
        <v>2065</v>
      </c>
      <c r="I2611" s="2">
        <v>30.98</v>
      </c>
      <c r="J2611" s="3">
        <v>1</v>
      </c>
      <c r="K2611" s="2">
        <v>13.94</v>
      </c>
    </row>
    <row r="2612" spans="1:11" x14ac:dyDescent="0.35">
      <c r="A2612" s="1">
        <v>42715</v>
      </c>
      <c r="B2612" s="3">
        <f t="shared" si="80"/>
        <v>2016</v>
      </c>
      <c r="C2612" s="3">
        <f t="shared" si="81"/>
        <v>12</v>
      </c>
      <c r="D2612" t="s">
        <v>412</v>
      </c>
      <c r="E2612" t="s">
        <v>45</v>
      </c>
      <c r="F2612" t="s">
        <v>13</v>
      </c>
      <c r="G2612" t="s">
        <v>14</v>
      </c>
      <c r="H2612" t="s">
        <v>1195</v>
      </c>
      <c r="I2612" s="2">
        <v>119.96</v>
      </c>
      <c r="J2612" s="3">
        <v>4</v>
      </c>
      <c r="K2612" s="2">
        <v>25.19</v>
      </c>
    </row>
    <row r="2613" spans="1:11" x14ac:dyDescent="0.35">
      <c r="A2613" s="1">
        <v>42715</v>
      </c>
      <c r="B2613" s="3">
        <f t="shared" si="80"/>
        <v>2016</v>
      </c>
      <c r="C2613" s="3">
        <f t="shared" si="81"/>
        <v>12</v>
      </c>
      <c r="D2613" t="s">
        <v>412</v>
      </c>
      <c r="E2613" t="s">
        <v>45</v>
      </c>
      <c r="F2613" t="s">
        <v>18</v>
      </c>
      <c r="G2613" t="s">
        <v>19</v>
      </c>
      <c r="H2613" t="s">
        <v>1115</v>
      </c>
      <c r="I2613" s="2">
        <v>363.92</v>
      </c>
      <c r="J2613" s="3">
        <v>5</v>
      </c>
      <c r="K2613" s="2">
        <v>-31.84</v>
      </c>
    </row>
    <row r="2614" spans="1:11" x14ac:dyDescent="0.35">
      <c r="A2614" s="1">
        <v>42715</v>
      </c>
      <c r="B2614" s="3">
        <f t="shared" si="80"/>
        <v>2016</v>
      </c>
      <c r="C2614" s="3">
        <f t="shared" si="81"/>
        <v>12</v>
      </c>
      <c r="D2614" t="s">
        <v>412</v>
      </c>
      <c r="E2614" t="s">
        <v>45</v>
      </c>
      <c r="F2614" t="s">
        <v>28</v>
      </c>
      <c r="G2614" t="s">
        <v>48</v>
      </c>
      <c r="H2614" t="s">
        <v>1852</v>
      </c>
      <c r="I2614" s="2">
        <v>35.81</v>
      </c>
      <c r="J2614" s="3">
        <v>3</v>
      </c>
      <c r="K2614" s="2">
        <v>11.19</v>
      </c>
    </row>
    <row r="2615" spans="1:11" x14ac:dyDescent="0.35">
      <c r="A2615" s="1">
        <v>42715</v>
      </c>
      <c r="B2615" s="3">
        <f t="shared" si="80"/>
        <v>2016</v>
      </c>
      <c r="C2615" s="3">
        <f t="shared" si="81"/>
        <v>12</v>
      </c>
      <c r="D2615" t="s">
        <v>412</v>
      </c>
      <c r="E2615" t="s">
        <v>45</v>
      </c>
      <c r="F2615" t="s">
        <v>28</v>
      </c>
      <c r="G2615" t="s">
        <v>48</v>
      </c>
      <c r="H2615" t="s">
        <v>1483</v>
      </c>
      <c r="I2615" s="2">
        <v>122.69</v>
      </c>
      <c r="J2615" s="3">
        <v>9</v>
      </c>
      <c r="K2615" s="2">
        <v>39.869999999999997</v>
      </c>
    </row>
    <row r="2616" spans="1:11" x14ac:dyDescent="0.35">
      <c r="A2616" s="1">
        <v>42715</v>
      </c>
      <c r="B2616" s="3">
        <f t="shared" si="80"/>
        <v>2016</v>
      </c>
      <c r="C2616" s="3">
        <f t="shared" si="81"/>
        <v>12</v>
      </c>
      <c r="D2616" t="s">
        <v>412</v>
      </c>
      <c r="E2616" t="s">
        <v>45</v>
      </c>
      <c r="F2616" t="s">
        <v>18</v>
      </c>
      <c r="G2616" t="s">
        <v>42</v>
      </c>
      <c r="H2616" t="s">
        <v>1028</v>
      </c>
      <c r="I2616" s="2">
        <v>892.14</v>
      </c>
      <c r="J2616" s="3">
        <v>7</v>
      </c>
      <c r="K2616" s="2">
        <v>111.52</v>
      </c>
    </row>
    <row r="2617" spans="1:11" x14ac:dyDescent="0.35">
      <c r="A2617" s="1">
        <v>42715</v>
      </c>
      <c r="B2617" s="3">
        <f t="shared" si="80"/>
        <v>2016</v>
      </c>
      <c r="C2617" s="3">
        <f t="shared" si="81"/>
        <v>12</v>
      </c>
      <c r="D2617" t="s">
        <v>412</v>
      </c>
      <c r="E2617" t="s">
        <v>45</v>
      </c>
      <c r="F2617" t="s">
        <v>28</v>
      </c>
      <c r="G2617" t="s">
        <v>38</v>
      </c>
      <c r="H2617" t="s">
        <v>52</v>
      </c>
      <c r="I2617" s="2">
        <v>50.22</v>
      </c>
      <c r="J2617" s="3">
        <v>3</v>
      </c>
      <c r="K2617" s="2">
        <v>2.0099999999999998</v>
      </c>
    </row>
    <row r="2618" spans="1:11" x14ac:dyDescent="0.35">
      <c r="A2618" s="1">
        <v>42715</v>
      </c>
      <c r="B2618" s="3">
        <f t="shared" si="80"/>
        <v>2016</v>
      </c>
      <c r="C2618" s="3">
        <f t="shared" si="81"/>
        <v>12</v>
      </c>
      <c r="D2618" t="s">
        <v>412</v>
      </c>
      <c r="E2618" t="s">
        <v>45</v>
      </c>
      <c r="F2618" t="s">
        <v>28</v>
      </c>
      <c r="G2618" t="s">
        <v>58</v>
      </c>
      <c r="H2618" t="s">
        <v>520</v>
      </c>
      <c r="I2618" s="2">
        <v>83.42</v>
      </c>
      <c r="J2618" s="3">
        <v>2</v>
      </c>
      <c r="K2618" s="2">
        <v>24.19</v>
      </c>
    </row>
    <row r="2619" spans="1:11" x14ac:dyDescent="0.35">
      <c r="A2619" s="1">
        <v>42715</v>
      </c>
      <c r="B2619" s="3">
        <f t="shared" si="80"/>
        <v>2016</v>
      </c>
      <c r="C2619" s="3">
        <f t="shared" si="81"/>
        <v>12</v>
      </c>
      <c r="D2619" t="s">
        <v>412</v>
      </c>
      <c r="E2619" t="s">
        <v>45</v>
      </c>
      <c r="F2619" t="s">
        <v>28</v>
      </c>
      <c r="G2619" t="s">
        <v>48</v>
      </c>
      <c r="H2619" t="s">
        <v>2066</v>
      </c>
      <c r="I2619" s="2">
        <v>5.87</v>
      </c>
      <c r="J2619" s="3">
        <v>2</v>
      </c>
      <c r="K2619" s="2">
        <v>2.13</v>
      </c>
    </row>
    <row r="2620" spans="1:11" x14ac:dyDescent="0.35">
      <c r="A2620" s="1">
        <v>42715</v>
      </c>
      <c r="B2620" s="3">
        <f t="shared" si="80"/>
        <v>2016</v>
      </c>
      <c r="C2620" s="3">
        <f t="shared" si="81"/>
        <v>12</v>
      </c>
      <c r="D2620" t="s">
        <v>1537</v>
      </c>
      <c r="E2620" t="s">
        <v>131</v>
      </c>
      <c r="F2620" t="s">
        <v>28</v>
      </c>
      <c r="G2620" t="s">
        <v>58</v>
      </c>
      <c r="H2620" t="s">
        <v>490</v>
      </c>
      <c r="I2620" s="2">
        <v>73.540000000000006</v>
      </c>
      <c r="J2620" s="3">
        <v>4</v>
      </c>
      <c r="K2620" s="2">
        <v>9.19</v>
      </c>
    </row>
    <row r="2621" spans="1:11" x14ac:dyDescent="0.35">
      <c r="A2621" s="1">
        <v>42412</v>
      </c>
      <c r="B2621" s="3">
        <f t="shared" si="80"/>
        <v>2016</v>
      </c>
      <c r="C2621" s="3">
        <f t="shared" si="81"/>
        <v>2</v>
      </c>
      <c r="D2621" t="s">
        <v>674</v>
      </c>
      <c r="E2621" t="s">
        <v>165</v>
      </c>
      <c r="F2621" t="s">
        <v>28</v>
      </c>
      <c r="G2621" t="s">
        <v>38</v>
      </c>
      <c r="H2621" t="s">
        <v>499</v>
      </c>
      <c r="I2621" s="2">
        <v>1350.12</v>
      </c>
      <c r="J2621" s="3">
        <v>6</v>
      </c>
      <c r="K2621" s="2">
        <v>175.52</v>
      </c>
    </row>
    <row r="2622" spans="1:11" x14ac:dyDescent="0.35">
      <c r="A2622" s="1">
        <v>42412</v>
      </c>
      <c r="B2622" s="3">
        <f t="shared" si="80"/>
        <v>2016</v>
      </c>
      <c r="C2622" s="3">
        <f t="shared" si="81"/>
        <v>2</v>
      </c>
      <c r="D2622" t="s">
        <v>674</v>
      </c>
      <c r="E2622" t="s">
        <v>165</v>
      </c>
      <c r="F2622" t="s">
        <v>28</v>
      </c>
      <c r="G2622" t="s">
        <v>48</v>
      </c>
      <c r="H2622" t="s">
        <v>1189</v>
      </c>
      <c r="I2622" s="2">
        <v>15.92</v>
      </c>
      <c r="J2622" s="3">
        <v>4</v>
      </c>
      <c r="K2622" s="2">
        <v>7.48</v>
      </c>
    </row>
    <row r="2623" spans="1:11" x14ac:dyDescent="0.35">
      <c r="A2623" s="1">
        <v>42441</v>
      </c>
      <c r="B2623" s="3">
        <f t="shared" si="80"/>
        <v>2016</v>
      </c>
      <c r="C2623" s="3">
        <f t="shared" si="81"/>
        <v>3</v>
      </c>
      <c r="D2623" t="s">
        <v>1391</v>
      </c>
      <c r="E2623" t="s">
        <v>362</v>
      </c>
      <c r="F2623" t="s">
        <v>28</v>
      </c>
      <c r="G2623" t="s">
        <v>29</v>
      </c>
      <c r="H2623" t="s">
        <v>1411</v>
      </c>
      <c r="I2623" s="2">
        <v>12.96</v>
      </c>
      <c r="J2623" s="3">
        <v>2</v>
      </c>
      <c r="K2623" s="2">
        <v>6.22</v>
      </c>
    </row>
    <row r="2624" spans="1:11" x14ac:dyDescent="0.35">
      <c r="A2624" s="1">
        <v>42441</v>
      </c>
      <c r="B2624" s="3">
        <f t="shared" si="80"/>
        <v>2016</v>
      </c>
      <c r="C2624" s="3">
        <f t="shared" si="81"/>
        <v>3</v>
      </c>
      <c r="D2624" t="s">
        <v>1567</v>
      </c>
      <c r="E2624" t="s">
        <v>22</v>
      </c>
      <c r="F2624" t="s">
        <v>28</v>
      </c>
      <c r="G2624" t="s">
        <v>158</v>
      </c>
      <c r="H2624" t="s">
        <v>159</v>
      </c>
      <c r="I2624" s="2">
        <v>29.34</v>
      </c>
      <c r="J2624" s="3">
        <v>3</v>
      </c>
      <c r="K2624" s="2">
        <v>13.5</v>
      </c>
    </row>
    <row r="2625" spans="1:11" x14ac:dyDescent="0.35">
      <c r="A2625" s="1">
        <v>42441</v>
      </c>
      <c r="B2625" s="3">
        <f t="shared" si="80"/>
        <v>2016</v>
      </c>
      <c r="C2625" s="3">
        <f t="shared" si="81"/>
        <v>3</v>
      </c>
      <c r="D2625" t="s">
        <v>1202</v>
      </c>
      <c r="E2625" t="s">
        <v>45</v>
      </c>
      <c r="F2625" t="s">
        <v>28</v>
      </c>
      <c r="G2625" t="s">
        <v>38</v>
      </c>
      <c r="H2625" t="s">
        <v>2067</v>
      </c>
      <c r="I2625" s="2">
        <v>676.55</v>
      </c>
      <c r="J2625" s="3">
        <v>5</v>
      </c>
      <c r="K2625" s="2">
        <v>6.77</v>
      </c>
    </row>
    <row r="2626" spans="1:11" x14ac:dyDescent="0.35">
      <c r="A2626" s="1">
        <v>42441</v>
      </c>
      <c r="B2626" s="3">
        <f t="shared" ref="B2626:B2689" si="82">YEAR(A2626)</f>
        <v>2016</v>
      </c>
      <c r="C2626" s="3">
        <f t="shared" ref="C2626:C2689" si="83">MONTH(A2626)</f>
        <v>3</v>
      </c>
      <c r="D2626" t="s">
        <v>1202</v>
      </c>
      <c r="E2626" t="s">
        <v>45</v>
      </c>
      <c r="F2626" t="s">
        <v>28</v>
      </c>
      <c r="G2626" t="s">
        <v>58</v>
      </c>
      <c r="H2626" t="s">
        <v>168</v>
      </c>
      <c r="I2626" s="2">
        <v>154.9</v>
      </c>
      <c r="J2626" s="3">
        <v>5</v>
      </c>
      <c r="K2626" s="2">
        <v>40.270000000000003</v>
      </c>
    </row>
    <row r="2627" spans="1:11" x14ac:dyDescent="0.35">
      <c r="A2627" s="1">
        <v>42441</v>
      </c>
      <c r="B2627" s="3">
        <f t="shared" si="82"/>
        <v>2016</v>
      </c>
      <c r="C2627" s="3">
        <f t="shared" si="83"/>
        <v>3</v>
      </c>
      <c r="D2627" t="s">
        <v>1202</v>
      </c>
      <c r="E2627" t="s">
        <v>45</v>
      </c>
      <c r="F2627" t="s">
        <v>28</v>
      </c>
      <c r="G2627" t="s">
        <v>158</v>
      </c>
      <c r="H2627" t="s">
        <v>285</v>
      </c>
      <c r="I2627" s="2">
        <v>30.56</v>
      </c>
      <c r="J2627" s="3">
        <v>4</v>
      </c>
      <c r="K2627" s="2">
        <v>14.97</v>
      </c>
    </row>
    <row r="2628" spans="1:11" x14ac:dyDescent="0.35">
      <c r="A2628" s="1">
        <v>42441</v>
      </c>
      <c r="B2628" s="3">
        <f t="shared" si="82"/>
        <v>2016</v>
      </c>
      <c r="C2628" s="3">
        <f t="shared" si="83"/>
        <v>3</v>
      </c>
      <c r="D2628" t="s">
        <v>1202</v>
      </c>
      <c r="E2628" t="s">
        <v>45</v>
      </c>
      <c r="F2628" t="s">
        <v>18</v>
      </c>
      <c r="G2628" t="s">
        <v>19</v>
      </c>
      <c r="H2628" t="s">
        <v>149</v>
      </c>
      <c r="I2628" s="2">
        <v>770.35</v>
      </c>
      <c r="J2628" s="3">
        <v>3</v>
      </c>
      <c r="K2628" s="2">
        <v>77.040000000000006</v>
      </c>
    </row>
    <row r="2629" spans="1:11" x14ac:dyDescent="0.35">
      <c r="A2629" s="1">
        <v>42441</v>
      </c>
      <c r="B2629" s="3">
        <f t="shared" si="82"/>
        <v>2016</v>
      </c>
      <c r="C2629" s="3">
        <f t="shared" si="83"/>
        <v>3</v>
      </c>
      <c r="D2629" t="s">
        <v>1144</v>
      </c>
      <c r="E2629" t="s">
        <v>45</v>
      </c>
      <c r="F2629" t="s">
        <v>28</v>
      </c>
      <c r="G2629" t="s">
        <v>29</v>
      </c>
      <c r="H2629" t="s">
        <v>2068</v>
      </c>
      <c r="I2629" s="2">
        <v>19.98</v>
      </c>
      <c r="J2629" s="3">
        <v>2</v>
      </c>
      <c r="K2629" s="2">
        <v>8.99</v>
      </c>
    </row>
    <row r="2630" spans="1:11" x14ac:dyDescent="0.35">
      <c r="A2630" s="1">
        <v>42472</v>
      </c>
      <c r="B2630" s="3">
        <f t="shared" si="82"/>
        <v>2016</v>
      </c>
      <c r="C2630" s="3">
        <f t="shared" si="83"/>
        <v>4</v>
      </c>
      <c r="D2630" t="s">
        <v>1560</v>
      </c>
      <c r="E2630" t="s">
        <v>173</v>
      </c>
      <c r="F2630" t="s">
        <v>18</v>
      </c>
      <c r="G2630" t="s">
        <v>42</v>
      </c>
      <c r="H2630" t="s">
        <v>283</v>
      </c>
      <c r="I2630" s="2">
        <v>343.92</v>
      </c>
      <c r="J2630" s="3">
        <v>4</v>
      </c>
      <c r="K2630" s="2">
        <v>75.66</v>
      </c>
    </row>
    <row r="2631" spans="1:11" x14ac:dyDescent="0.35">
      <c r="A2631" s="1">
        <v>42472</v>
      </c>
      <c r="B2631" s="3">
        <f t="shared" si="82"/>
        <v>2016</v>
      </c>
      <c r="C2631" s="3">
        <f t="shared" si="83"/>
        <v>4</v>
      </c>
      <c r="D2631" t="s">
        <v>1560</v>
      </c>
      <c r="E2631" t="s">
        <v>173</v>
      </c>
      <c r="F2631" t="s">
        <v>28</v>
      </c>
      <c r="G2631" t="s">
        <v>29</v>
      </c>
      <c r="H2631" t="s">
        <v>610</v>
      </c>
      <c r="I2631" s="2">
        <v>40.99</v>
      </c>
      <c r="J2631" s="3">
        <v>1</v>
      </c>
      <c r="K2631" s="2">
        <v>20.09</v>
      </c>
    </row>
    <row r="2632" spans="1:11" x14ac:dyDescent="0.35">
      <c r="A2632" s="1">
        <v>42472</v>
      </c>
      <c r="B2632" s="3">
        <f t="shared" si="82"/>
        <v>2016</v>
      </c>
      <c r="C2632" s="3">
        <f t="shared" si="83"/>
        <v>4</v>
      </c>
      <c r="D2632" t="s">
        <v>1560</v>
      </c>
      <c r="E2632" t="s">
        <v>173</v>
      </c>
      <c r="F2632" t="s">
        <v>28</v>
      </c>
      <c r="G2632" t="s">
        <v>158</v>
      </c>
      <c r="H2632" t="s">
        <v>697</v>
      </c>
      <c r="I2632" s="2">
        <v>63.9</v>
      </c>
      <c r="J2632" s="3">
        <v>5</v>
      </c>
      <c r="K2632" s="2">
        <v>28.76</v>
      </c>
    </row>
    <row r="2633" spans="1:11" x14ac:dyDescent="0.35">
      <c r="A2633" s="1">
        <v>42472</v>
      </c>
      <c r="B2633" s="3">
        <f t="shared" si="82"/>
        <v>2016</v>
      </c>
      <c r="C2633" s="3">
        <f t="shared" si="83"/>
        <v>4</v>
      </c>
      <c r="D2633" t="s">
        <v>302</v>
      </c>
      <c r="E2633" t="s">
        <v>45</v>
      </c>
      <c r="F2633" t="s">
        <v>18</v>
      </c>
      <c r="G2633" t="s">
        <v>19</v>
      </c>
      <c r="H2633" t="s">
        <v>1080</v>
      </c>
      <c r="I2633" s="2">
        <v>638.29</v>
      </c>
      <c r="J2633" s="3">
        <v>7</v>
      </c>
      <c r="K2633" s="2">
        <v>-31.91</v>
      </c>
    </row>
    <row r="2634" spans="1:11" x14ac:dyDescent="0.35">
      <c r="A2634" s="1">
        <v>42472</v>
      </c>
      <c r="B2634" s="3">
        <f t="shared" si="82"/>
        <v>2016</v>
      </c>
      <c r="C2634" s="3">
        <f t="shared" si="83"/>
        <v>4</v>
      </c>
      <c r="D2634" t="s">
        <v>302</v>
      </c>
      <c r="E2634" t="s">
        <v>45</v>
      </c>
      <c r="F2634" t="s">
        <v>28</v>
      </c>
      <c r="G2634" t="s">
        <v>48</v>
      </c>
      <c r="H2634" t="s">
        <v>2025</v>
      </c>
      <c r="I2634" s="2">
        <v>13.21</v>
      </c>
      <c r="J2634" s="3">
        <v>1</v>
      </c>
      <c r="K2634" s="2">
        <v>4.62</v>
      </c>
    </row>
    <row r="2635" spans="1:11" x14ac:dyDescent="0.35">
      <c r="A2635" s="1">
        <v>42472</v>
      </c>
      <c r="B2635" s="3">
        <f t="shared" si="82"/>
        <v>2016</v>
      </c>
      <c r="C2635" s="3">
        <f t="shared" si="83"/>
        <v>4</v>
      </c>
      <c r="D2635" t="s">
        <v>2069</v>
      </c>
      <c r="E2635" t="s">
        <v>45</v>
      </c>
      <c r="F2635" t="s">
        <v>28</v>
      </c>
      <c r="G2635" t="s">
        <v>29</v>
      </c>
      <c r="H2635" t="s">
        <v>2070</v>
      </c>
      <c r="I2635" s="2">
        <v>19.440000000000001</v>
      </c>
      <c r="J2635" s="3">
        <v>3</v>
      </c>
      <c r="K2635" s="2">
        <v>9.33</v>
      </c>
    </row>
    <row r="2636" spans="1:11" x14ac:dyDescent="0.35">
      <c r="A2636" s="1">
        <v>42472</v>
      </c>
      <c r="B2636" s="3">
        <f t="shared" si="82"/>
        <v>2016</v>
      </c>
      <c r="C2636" s="3">
        <f t="shared" si="83"/>
        <v>4</v>
      </c>
      <c r="D2636" t="s">
        <v>2069</v>
      </c>
      <c r="E2636" t="s">
        <v>45</v>
      </c>
      <c r="F2636" t="s">
        <v>18</v>
      </c>
      <c r="G2636" t="s">
        <v>19</v>
      </c>
      <c r="H2636" t="s">
        <v>969</v>
      </c>
      <c r="I2636" s="2">
        <v>194.35</v>
      </c>
      <c r="J2636" s="3">
        <v>3</v>
      </c>
      <c r="K2636" s="2">
        <v>-36.44</v>
      </c>
    </row>
    <row r="2637" spans="1:11" x14ac:dyDescent="0.35">
      <c r="A2637" s="1">
        <v>42472</v>
      </c>
      <c r="B2637" s="3">
        <f t="shared" si="82"/>
        <v>2016</v>
      </c>
      <c r="C2637" s="3">
        <f t="shared" si="83"/>
        <v>4</v>
      </c>
      <c r="D2637" t="s">
        <v>2069</v>
      </c>
      <c r="E2637" t="s">
        <v>45</v>
      </c>
      <c r="F2637" t="s">
        <v>28</v>
      </c>
      <c r="G2637" t="s">
        <v>48</v>
      </c>
      <c r="H2637" t="s">
        <v>1108</v>
      </c>
      <c r="I2637" s="2">
        <v>36.619999999999997</v>
      </c>
      <c r="J2637" s="3">
        <v>3</v>
      </c>
      <c r="K2637" s="2">
        <v>13.73</v>
      </c>
    </row>
    <row r="2638" spans="1:11" x14ac:dyDescent="0.35">
      <c r="A2638" s="1">
        <v>42472</v>
      </c>
      <c r="B2638" s="3">
        <f t="shared" si="82"/>
        <v>2016</v>
      </c>
      <c r="C2638" s="3">
        <f t="shared" si="83"/>
        <v>4</v>
      </c>
      <c r="D2638" t="s">
        <v>734</v>
      </c>
      <c r="E2638" t="s">
        <v>81</v>
      </c>
      <c r="F2638" t="s">
        <v>28</v>
      </c>
      <c r="G2638" t="s">
        <v>38</v>
      </c>
      <c r="H2638" t="s">
        <v>39</v>
      </c>
      <c r="I2638" s="2">
        <v>129.55000000000001</v>
      </c>
      <c r="J2638" s="3">
        <v>3</v>
      </c>
      <c r="K2638" s="2">
        <v>-22.67</v>
      </c>
    </row>
    <row r="2639" spans="1:11" x14ac:dyDescent="0.35">
      <c r="A2639" s="1">
        <v>42472</v>
      </c>
      <c r="B2639" s="3">
        <f t="shared" si="82"/>
        <v>2016</v>
      </c>
      <c r="C2639" s="3">
        <f t="shared" si="83"/>
        <v>4</v>
      </c>
      <c r="D2639" t="s">
        <v>734</v>
      </c>
      <c r="E2639" t="s">
        <v>81</v>
      </c>
      <c r="F2639" t="s">
        <v>28</v>
      </c>
      <c r="G2639" t="s">
        <v>38</v>
      </c>
      <c r="H2639" t="s">
        <v>1843</v>
      </c>
      <c r="I2639" s="2">
        <v>51.98</v>
      </c>
      <c r="J2639" s="3">
        <v>1</v>
      </c>
      <c r="K2639" s="2">
        <v>-5.2</v>
      </c>
    </row>
    <row r="2640" spans="1:11" x14ac:dyDescent="0.35">
      <c r="A2640" s="1">
        <v>42472</v>
      </c>
      <c r="B2640" s="3">
        <f t="shared" si="82"/>
        <v>2016</v>
      </c>
      <c r="C2640" s="3">
        <f t="shared" si="83"/>
        <v>4</v>
      </c>
      <c r="D2640" t="s">
        <v>734</v>
      </c>
      <c r="E2640" t="s">
        <v>81</v>
      </c>
      <c r="F2640" t="s">
        <v>28</v>
      </c>
      <c r="G2640" t="s">
        <v>29</v>
      </c>
      <c r="H2640" t="s">
        <v>2071</v>
      </c>
      <c r="I2640" s="2">
        <v>10.27</v>
      </c>
      <c r="J2640" s="3">
        <v>3</v>
      </c>
      <c r="K2640" s="2">
        <v>3.47</v>
      </c>
    </row>
    <row r="2641" spans="1:11" x14ac:dyDescent="0.35">
      <c r="A2641" s="1">
        <v>42502</v>
      </c>
      <c r="B2641" s="3">
        <f t="shared" si="82"/>
        <v>2016</v>
      </c>
      <c r="C2641" s="3">
        <f t="shared" si="83"/>
        <v>5</v>
      </c>
      <c r="D2641" t="s">
        <v>2072</v>
      </c>
      <c r="E2641" t="s">
        <v>173</v>
      </c>
      <c r="F2641" t="s">
        <v>28</v>
      </c>
      <c r="G2641" t="s">
        <v>64</v>
      </c>
      <c r="H2641" t="s">
        <v>526</v>
      </c>
      <c r="I2641" s="2">
        <v>10.96</v>
      </c>
      <c r="J2641" s="3">
        <v>4</v>
      </c>
      <c r="K2641" s="2">
        <v>2.96</v>
      </c>
    </row>
    <row r="2642" spans="1:11" x14ac:dyDescent="0.35">
      <c r="A2642" s="1">
        <v>42502</v>
      </c>
      <c r="B2642" s="3">
        <f t="shared" si="82"/>
        <v>2016</v>
      </c>
      <c r="C2642" s="3">
        <f t="shared" si="83"/>
        <v>5</v>
      </c>
      <c r="D2642" t="s">
        <v>889</v>
      </c>
      <c r="E2642" t="s">
        <v>89</v>
      </c>
      <c r="F2642" t="s">
        <v>28</v>
      </c>
      <c r="G2642" t="s">
        <v>38</v>
      </c>
      <c r="H2642" t="s">
        <v>1342</v>
      </c>
      <c r="I2642" s="2">
        <v>82.37</v>
      </c>
      <c r="J2642" s="3">
        <v>2</v>
      </c>
      <c r="K2642" s="2">
        <v>-19.559999999999999</v>
      </c>
    </row>
    <row r="2643" spans="1:11" x14ac:dyDescent="0.35">
      <c r="A2643" s="1">
        <v>42502</v>
      </c>
      <c r="B2643" s="3">
        <f t="shared" si="82"/>
        <v>2016</v>
      </c>
      <c r="C2643" s="3">
        <f t="shared" si="83"/>
        <v>5</v>
      </c>
      <c r="D2643" t="s">
        <v>1967</v>
      </c>
      <c r="E2643" t="s">
        <v>17</v>
      </c>
      <c r="F2643" t="s">
        <v>28</v>
      </c>
      <c r="G2643" t="s">
        <v>158</v>
      </c>
      <c r="H2643" t="s">
        <v>2073</v>
      </c>
      <c r="I2643" s="2">
        <v>54.9</v>
      </c>
      <c r="J2643" s="3">
        <v>5</v>
      </c>
      <c r="K2643" s="2">
        <v>26.9</v>
      </c>
    </row>
    <row r="2644" spans="1:11" x14ac:dyDescent="0.35">
      <c r="A2644" s="1">
        <v>42502</v>
      </c>
      <c r="B2644" s="3">
        <f t="shared" si="82"/>
        <v>2016</v>
      </c>
      <c r="C2644" s="3">
        <f t="shared" si="83"/>
        <v>5</v>
      </c>
      <c r="D2644" t="s">
        <v>1253</v>
      </c>
      <c r="E2644" t="s">
        <v>22</v>
      </c>
      <c r="F2644" t="s">
        <v>18</v>
      </c>
      <c r="G2644" t="s">
        <v>36</v>
      </c>
      <c r="H2644" t="s">
        <v>494</v>
      </c>
      <c r="I2644" s="2">
        <v>10.02</v>
      </c>
      <c r="J2644" s="3">
        <v>3</v>
      </c>
      <c r="K2644" s="2">
        <v>4.41</v>
      </c>
    </row>
    <row r="2645" spans="1:11" x14ac:dyDescent="0.35">
      <c r="A2645" s="1">
        <v>42502</v>
      </c>
      <c r="B2645" s="3">
        <f t="shared" si="82"/>
        <v>2016</v>
      </c>
      <c r="C2645" s="3">
        <f t="shared" si="83"/>
        <v>5</v>
      </c>
      <c r="D2645" t="s">
        <v>1253</v>
      </c>
      <c r="E2645" t="s">
        <v>22</v>
      </c>
      <c r="F2645" t="s">
        <v>13</v>
      </c>
      <c r="G2645" t="s">
        <v>23</v>
      </c>
      <c r="H2645" t="s">
        <v>899</v>
      </c>
      <c r="I2645" s="2">
        <v>631.96</v>
      </c>
      <c r="J2645" s="3">
        <v>4</v>
      </c>
      <c r="K2645" s="2">
        <v>303.33999999999997</v>
      </c>
    </row>
    <row r="2646" spans="1:11" x14ac:dyDescent="0.35">
      <c r="A2646" s="1">
        <v>42502</v>
      </c>
      <c r="B2646" s="3">
        <f t="shared" si="82"/>
        <v>2016</v>
      </c>
      <c r="C2646" s="3">
        <f t="shared" si="83"/>
        <v>5</v>
      </c>
      <c r="D2646" t="s">
        <v>2074</v>
      </c>
      <c r="E2646" t="s">
        <v>45</v>
      </c>
      <c r="F2646" t="s">
        <v>13</v>
      </c>
      <c r="G2646" t="s">
        <v>14</v>
      </c>
      <c r="H2646" t="s">
        <v>2075</v>
      </c>
      <c r="I2646" s="2">
        <v>120</v>
      </c>
      <c r="J2646" s="3">
        <v>6</v>
      </c>
      <c r="K2646" s="2">
        <v>46.8</v>
      </c>
    </row>
    <row r="2647" spans="1:11" x14ac:dyDescent="0.35">
      <c r="A2647" s="1">
        <v>42502</v>
      </c>
      <c r="B2647" s="3">
        <f t="shared" si="82"/>
        <v>2016</v>
      </c>
      <c r="C2647" s="3">
        <f t="shared" si="83"/>
        <v>5</v>
      </c>
      <c r="D2647" t="s">
        <v>2074</v>
      </c>
      <c r="E2647" t="s">
        <v>45</v>
      </c>
      <c r="F2647" t="s">
        <v>28</v>
      </c>
      <c r="G2647" t="s">
        <v>58</v>
      </c>
      <c r="H2647" t="s">
        <v>247</v>
      </c>
      <c r="I2647" s="2">
        <v>8.67</v>
      </c>
      <c r="J2647" s="3">
        <v>1</v>
      </c>
      <c r="K2647" s="2">
        <v>2.34</v>
      </c>
    </row>
    <row r="2648" spans="1:11" x14ac:dyDescent="0.35">
      <c r="A2648" s="1">
        <v>42533</v>
      </c>
      <c r="B2648" s="3">
        <f t="shared" si="82"/>
        <v>2016</v>
      </c>
      <c r="C2648" s="3">
        <f t="shared" si="83"/>
        <v>6</v>
      </c>
      <c r="D2648" t="s">
        <v>2076</v>
      </c>
      <c r="E2648" t="s">
        <v>45</v>
      </c>
      <c r="F2648" t="s">
        <v>28</v>
      </c>
      <c r="G2648" t="s">
        <v>46</v>
      </c>
      <c r="H2648" t="s">
        <v>82</v>
      </c>
      <c r="I2648" s="2">
        <v>14.62</v>
      </c>
      <c r="J2648" s="3">
        <v>2</v>
      </c>
      <c r="K2648" s="2">
        <v>6.87</v>
      </c>
    </row>
    <row r="2649" spans="1:11" x14ac:dyDescent="0.35">
      <c r="A2649" s="1">
        <v>42533</v>
      </c>
      <c r="B2649" s="3">
        <f t="shared" si="82"/>
        <v>2016</v>
      </c>
      <c r="C2649" s="3">
        <f t="shared" si="83"/>
        <v>6</v>
      </c>
      <c r="D2649" t="s">
        <v>2077</v>
      </c>
      <c r="E2649" t="s">
        <v>607</v>
      </c>
      <c r="F2649" t="s">
        <v>28</v>
      </c>
      <c r="G2649" t="s">
        <v>58</v>
      </c>
      <c r="H2649" t="s">
        <v>2078</v>
      </c>
      <c r="I2649" s="2">
        <v>208.16</v>
      </c>
      <c r="J2649" s="3">
        <v>1</v>
      </c>
      <c r="K2649" s="2">
        <v>56.2</v>
      </c>
    </row>
    <row r="2650" spans="1:11" x14ac:dyDescent="0.35">
      <c r="A2650" s="1">
        <v>42533</v>
      </c>
      <c r="B2650" s="3">
        <f t="shared" si="82"/>
        <v>2016</v>
      </c>
      <c r="C2650" s="3">
        <f t="shared" si="83"/>
        <v>6</v>
      </c>
      <c r="D2650" t="s">
        <v>2077</v>
      </c>
      <c r="E2650" t="s">
        <v>607</v>
      </c>
      <c r="F2650" t="s">
        <v>28</v>
      </c>
      <c r="G2650" t="s">
        <v>48</v>
      </c>
      <c r="H2650" t="s">
        <v>2079</v>
      </c>
      <c r="I2650" s="2">
        <v>16.739999999999998</v>
      </c>
      <c r="J2650" s="3">
        <v>3</v>
      </c>
      <c r="K2650" s="2">
        <v>8.0399999999999991</v>
      </c>
    </row>
    <row r="2651" spans="1:11" x14ac:dyDescent="0.35">
      <c r="A2651" s="1">
        <v>42533</v>
      </c>
      <c r="B2651" s="3">
        <f t="shared" si="82"/>
        <v>2016</v>
      </c>
      <c r="C2651" s="3">
        <f t="shared" si="83"/>
        <v>6</v>
      </c>
      <c r="D2651" t="s">
        <v>282</v>
      </c>
      <c r="E2651" t="s">
        <v>876</v>
      </c>
      <c r="F2651" t="s">
        <v>18</v>
      </c>
      <c r="G2651" t="s">
        <v>36</v>
      </c>
      <c r="H2651" t="s">
        <v>1490</v>
      </c>
      <c r="I2651" s="2">
        <v>47.04</v>
      </c>
      <c r="J2651" s="3">
        <v>3</v>
      </c>
      <c r="K2651" s="2">
        <v>18.350000000000001</v>
      </c>
    </row>
    <row r="2652" spans="1:11" x14ac:dyDescent="0.35">
      <c r="A2652" s="1">
        <v>42533</v>
      </c>
      <c r="B2652" s="3">
        <f t="shared" si="82"/>
        <v>2016</v>
      </c>
      <c r="C2652" s="3">
        <f t="shared" si="83"/>
        <v>6</v>
      </c>
      <c r="D2652" t="s">
        <v>282</v>
      </c>
      <c r="E2652" t="s">
        <v>876</v>
      </c>
      <c r="F2652" t="s">
        <v>28</v>
      </c>
      <c r="G2652" t="s">
        <v>48</v>
      </c>
      <c r="H2652" t="s">
        <v>757</v>
      </c>
      <c r="I2652" s="2">
        <v>30.84</v>
      </c>
      <c r="J2652" s="3">
        <v>4</v>
      </c>
      <c r="K2652" s="2">
        <v>13.88</v>
      </c>
    </row>
    <row r="2653" spans="1:11" x14ac:dyDescent="0.35">
      <c r="A2653" s="1">
        <v>42533</v>
      </c>
      <c r="B2653" s="3">
        <f t="shared" si="82"/>
        <v>2016</v>
      </c>
      <c r="C2653" s="3">
        <f t="shared" si="83"/>
        <v>6</v>
      </c>
      <c r="D2653" t="s">
        <v>282</v>
      </c>
      <c r="E2653" t="s">
        <v>876</v>
      </c>
      <c r="F2653" t="s">
        <v>28</v>
      </c>
      <c r="G2653" t="s">
        <v>38</v>
      </c>
      <c r="H2653" t="s">
        <v>735</v>
      </c>
      <c r="I2653" s="2">
        <v>226.56</v>
      </c>
      <c r="J2653" s="3">
        <v>6</v>
      </c>
      <c r="K2653" s="2">
        <v>63.44</v>
      </c>
    </row>
    <row r="2654" spans="1:11" x14ac:dyDescent="0.35">
      <c r="A2654" s="1">
        <v>42533</v>
      </c>
      <c r="B2654" s="3">
        <f t="shared" si="82"/>
        <v>2016</v>
      </c>
      <c r="C2654" s="3">
        <f t="shared" si="83"/>
        <v>6</v>
      </c>
      <c r="D2654" t="s">
        <v>282</v>
      </c>
      <c r="E2654" t="s">
        <v>876</v>
      </c>
      <c r="F2654" t="s">
        <v>28</v>
      </c>
      <c r="G2654" t="s">
        <v>158</v>
      </c>
      <c r="H2654" t="s">
        <v>697</v>
      </c>
      <c r="I2654" s="2">
        <v>115.02</v>
      </c>
      <c r="J2654" s="3">
        <v>9</v>
      </c>
      <c r="K2654" s="2">
        <v>51.76</v>
      </c>
    </row>
    <row r="2655" spans="1:11" x14ac:dyDescent="0.35">
      <c r="A2655" s="1">
        <v>42533</v>
      </c>
      <c r="B2655" s="3">
        <f t="shared" si="82"/>
        <v>2016</v>
      </c>
      <c r="C2655" s="3">
        <f t="shared" si="83"/>
        <v>6</v>
      </c>
      <c r="D2655" t="s">
        <v>282</v>
      </c>
      <c r="E2655" t="s">
        <v>876</v>
      </c>
      <c r="F2655" t="s">
        <v>13</v>
      </c>
      <c r="G2655" t="s">
        <v>23</v>
      </c>
      <c r="H2655" t="s">
        <v>1496</v>
      </c>
      <c r="I2655" s="2">
        <v>68.040000000000006</v>
      </c>
      <c r="J2655" s="3">
        <v>7</v>
      </c>
      <c r="K2655" s="2">
        <v>19.73</v>
      </c>
    </row>
    <row r="2656" spans="1:11" x14ac:dyDescent="0.35">
      <c r="A2656" s="1">
        <v>42533</v>
      </c>
      <c r="B2656" s="3">
        <f t="shared" si="82"/>
        <v>2016</v>
      </c>
      <c r="C2656" s="3">
        <f t="shared" si="83"/>
        <v>6</v>
      </c>
      <c r="D2656" t="s">
        <v>1539</v>
      </c>
      <c r="E2656" t="s">
        <v>26</v>
      </c>
      <c r="F2656" t="s">
        <v>13</v>
      </c>
      <c r="G2656" t="s">
        <v>204</v>
      </c>
      <c r="H2656" t="s">
        <v>2080</v>
      </c>
      <c r="I2656" s="2">
        <v>1007.98</v>
      </c>
      <c r="J2656" s="3">
        <v>3</v>
      </c>
      <c r="K2656" s="2">
        <v>43.2</v>
      </c>
    </row>
    <row r="2657" spans="1:11" x14ac:dyDescent="0.35">
      <c r="A2657" s="1">
        <v>42533</v>
      </c>
      <c r="B2657" s="3">
        <f t="shared" si="82"/>
        <v>2016</v>
      </c>
      <c r="C2657" s="3">
        <f t="shared" si="83"/>
        <v>6</v>
      </c>
      <c r="D2657" t="s">
        <v>1539</v>
      </c>
      <c r="E2657" t="s">
        <v>26</v>
      </c>
      <c r="F2657" t="s">
        <v>28</v>
      </c>
      <c r="G2657" t="s">
        <v>29</v>
      </c>
      <c r="H2657" t="s">
        <v>1237</v>
      </c>
      <c r="I2657" s="2">
        <v>313.49</v>
      </c>
      <c r="J2657" s="3">
        <v>7</v>
      </c>
      <c r="K2657" s="2">
        <v>113.64</v>
      </c>
    </row>
    <row r="2658" spans="1:11" x14ac:dyDescent="0.35">
      <c r="A2658" s="1">
        <v>42533</v>
      </c>
      <c r="B2658" s="3">
        <f t="shared" si="82"/>
        <v>2016</v>
      </c>
      <c r="C2658" s="3">
        <f t="shared" si="83"/>
        <v>6</v>
      </c>
      <c r="D2658" t="s">
        <v>2081</v>
      </c>
      <c r="E2658" t="s">
        <v>26</v>
      </c>
      <c r="F2658" t="s">
        <v>28</v>
      </c>
      <c r="G2658" t="s">
        <v>29</v>
      </c>
      <c r="H2658" t="s">
        <v>1508</v>
      </c>
      <c r="I2658" s="2">
        <v>23.12</v>
      </c>
      <c r="J2658" s="3">
        <v>5</v>
      </c>
      <c r="K2658" s="2">
        <v>8.3800000000000008</v>
      </c>
    </row>
    <row r="2659" spans="1:11" x14ac:dyDescent="0.35">
      <c r="A2659" s="1">
        <v>42533</v>
      </c>
      <c r="B2659" s="3">
        <f t="shared" si="82"/>
        <v>2016</v>
      </c>
      <c r="C2659" s="3">
        <f t="shared" si="83"/>
        <v>6</v>
      </c>
      <c r="D2659" t="s">
        <v>1297</v>
      </c>
      <c r="E2659" t="s">
        <v>22</v>
      </c>
      <c r="F2659" t="s">
        <v>28</v>
      </c>
      <c r="G2659" t="s">
        <v>29</v>
      </c>
      <c r="H2659" t="s">
        <v>2065</v>
      </c>
      <c r="I2659" s="2">
        <v>92.94</v>
      </c>
      <c r="J2659" s="3">
        <v>3</v>
      </c>
      <c r="K2659" s="2">
        <v>41.82</v>
      </c>
    </row>
    <row r="2660" spans="1:11" x14ac:dyDescent="0.35">
      <c r="A2660" s="1">
        <v>42533</v>
      </c>
      <c r="B2660" s="3">
        <f t="shared" si="82"/>
        <v>2016</v>
      </c>
      <c r="C2660" s="3">
        <f t="shared" si="83"/>
        <v>6</v>
      </c>
      <c r="D2660" t="s">
        <v>1297</v>
      </c>
      <c r="E2660" t="s">
        <v>22</v>
      </c>
      <c r="F2660" t="s">
        <v>28</v>
      </c>
      <c r="G2660" t="s">
        <v>58</v>
      </c>
      <c r="H2660" t="s">
        <v>581</v>
      </c>
      <c r="I2660" s="2">
        <v>52.56</v>
      </c>
      <c r="J2660" s="3">
        <v>3</v>
      </c>
      <c r="K2660" s="2">
        <v>18.399999999999999</v>
      </c>
    </row>
    <row r="2661" spans="1:11" x14ac:dyDescent="0.35">
      <c r="A2661" s="1">
        <v>42533</v>
      </c>
      <c r="B2661" s="3">
        <f t="shared" si="82"/>
        <v>2016</v>
      </c>
      <c r="C2661" s="3">
        <f t="shared" si="83"/>
        <v>6</v>
      </c>
      <c r="D2661" t="s">
        <v>130</v>
      </c>
      <c r="E2661" t="s">
        <v>45</v>
      </c>
      <c r="F2661" t="s">
        <v>28</v>
      </c>
      <c r="G2661" t="s">
        <v>29</v>
      </c>
      <c r="H2661" t="s">
        <v>2065</v>
      </c>
      <c r="I2661" s="2">
        <v>185.88</v>
      </c>
      <c r="J2661" s="3">
        <v>6</v>
      </c>
      <c r="K2661" s="2">
        <v>83.65</v>
      </c>
    </row>
    <row r="2662" spans="1:11" x14ac:dyDescent="0.35">
      <c r="A2662" s="1">
        <v>42533</v>
      </c>
      <c r="B2662" s="3">
        <f t="shared" si="82"/>
        <v>2016</v>
      </c>
      <c r="C2662" s="3">
        <f t="shared" si="83"/>
        <v>6</v>
      </c>
      <c r="D2662" t="s">
        <v>130</v>
      </c>
      <c r="E2662" t="s">
        <v>45</v>
      </c>
      <c r="F2662" t="s">
        <v>28</v>
      </c>
      <c r="G2662" t="s">
        <v>29</v>
      </c>
      <c r="H2662" t="s">
        <v>2082</v>
      </c>
      <c r="I2662" s="2">
        <v>12.96</v>
      </c>
      <c r="J2662" s="3">
        <v>2</v>
      </c>
      <c r="K2662" s="2">
        <v>6.22</v>
      </c>
    </row>
    <row r="2663" spans="1:11" x14ac:dyDescent="0.35">
      <c r="A2663" s="1">
        <v>42533</v>
      </c>
      <c r="B2663" s="3">
        <f t="shared" si="82"/>
        <v>2016</v>
      </c>
      <c r="C2663" s="3">
        <f t="shared" si="83"/>
        <v>6</v>
      </c>
      <c r="D2663" t="s">
        <v>1925</v>
      </c>
      <c r="E2663" t="s">
        <v>32</v>
      </c>
      <c r="F2663" t="s">
        <v>28</v>
      </c>
      <c r="G2663" t="s">
        <v>58</v>
      </c>
      <c r="H2663" t="s">
        <v>1105</v>
      </c>
      <c r="I2663" s="2">
        <v>64.38</v>
      </c>
      <c r="J2663" s="3">
        <v>4</v>
      </c>
      <c r="K2663" s="2">
        <v>-160.96</v>
      </c>
    </row>
    <row r="2664" spans="1:11" x14ac:dyDescent="0.35">
      <c r="A2664" s="1">
        <v>42533</v>
      </c>
      <c r="B2664" s="3">
        <f t="shared" si="82"/>
        <v>2016</v>
      </c>
      <c r="C2664" s="3">
        <f t="shared" si="83"/>
        <v>6</v>
      </c>
      <c r="D2664" t="s">
        <v>1925</v>
      </c>
      <c r="E2664" t="s">
        <v>32</v>
      </c>
      <c r="F2664" t="s">
        <v>18</v>
      </c>
      <c r="G2664" t="s">
        <v>36</v>
      </c>
      <c r="H2664" t="s">
        <v>2083</v>
      </c>
      <c r="I2664" s="2">
        <v>6.98</v>
      </c>
      <c r="J2664" s="3">
        <v>2</v>
      </c>
      <c r="K2664" s="2">
        <v>-4.54</v>
      </c>
    </row>
    <row r="2665" spans="1:11" x14ac:dyDescent="0.35">
      <c r="A2665" s="1">
        <v>42533</v>
      </c>
      <c r="B2665" s="3">
        <f t="shared" si="82"/>
        <v>2016</v>
      </c>
      <c r="C2665" s="3">
        <f t="shared" si="83"/>
        <v>6</v>
      </c>
      <c r="D2665" t="s">
        <v>1925</v>
      </c>
      <c r="E2665" t="s">
        <v>32</v>
      </c>
      <c r="F2665" t="s">
        <v>28</v>
      </c>
      <c r="G2665" t="s">
        <v>64</v>
      </c>
      <c r="H2665" t="s">
        <v>726</v>
      </c>
      <c r="I2665" s="2">
        <v>11.26</v>
      </c>
      <c r="J2665" s="3">
        <v>8</v>
      </c>
      <c r="K2665" s="2">
        <v>3.94</v>
      </c>
    </row>
    <row r="2666" spans="1:11" x14ac:dyDescent="0.35">
      <c r="A2666" s="1">
        <v>42533</v>
      </c>
      <c r="B2666" s="3">
        <f t="shared" si="82"/>
        <v>2016</v>
      </c>
      <c r="C2666" s="3">
        <f t="shared" si="83"/>
        <v>6</v>
      </c>
      <c r="D2666" t="s">
        <v>1925</v>
      </c>
      <c r="E2666" t="s">
        <v>32</v>
      </c>
      <c r="F2666" t="s">
        <v>28</v>
      </c>
      <c r="G2666" t="s">
        <v>29</v>
      </c>
      <c r="H2666" t="s">
        <v>2084</v>
      </c>
      <c r="I2666" s="2">
        <v>15.55</v>
      </c>
      <c r="J2666" s="3">
        <v>3</v>
      </c>
      <c r="K2666" s="2">
        <v>5.64</v>
      </c>
    </row>
    <row r="2667" spans="1:11" x14ac:dyDescent="0.35">
      <c r="A2667" s="1">
        <v>42533</v>
      </c>
      <c r="B2667" s="3">
        <f t="shared" si="82"/>
        <v>2016</v>
      </c>
      <c r="C2667" s="3">
        <f t="shared" si="83"/>
        <v>6</v>
      </c>
      <c r="D2667" t="s">
        <v>1925</v>
      </c>
      <c r="E2667" t="s">
        <v>32</v>
      </c>
      <c r="F2667" t="s">
        <v>18</v>
      </c>
      <c r="G2667" t="s">
        <v>19</v>
      </c>
      <c r="H2667" t="s">
        <v>941</v>
      </c>
      <c r="I2667" s="2">
        <v>379.37</v>
      </c>
      <c r="J2667" s="3">
        <v>2</v>
      </c>
      <c r="K2667" s="2">
        <v>-119.23</v>
      </c>
    </row>
    <row r="2668" spans="1:11" x14ac:dyDescent="0.35">
      <c r="A2668" s="1">
        <v>42533</v>
      </c>
      <c r="B2668" s="3">
        <f t="shared" si="82"/>
        <v>2016</v>
      </c>
      <c r="C2668" s="3">
        <f t="shared" si="83"/>
        <v>6</v>
      </c>
      <c r="D2668" t="s">
        <v>1925</v>
      </c>
      <c r="E2668" t="s">
        <v>32</v>
      </c>
      <c r="F2668" t="s">
        <v>28</v>
      </c>
      <c r="G2668" t="s">
        <v>38</v>
      </c>
      <c r="H2668" t="s">
        <v>295</v>
      </c>
      <c r="I2668" s="2">
        <v>67.540000000000006</v>
      </c>
      <c r="J2668" s="3">
        <v>9</v>
      </c>
      <c r="K2668" s="2">
        <v>6.75</v>
      </c>
    </row>
    <row r="2669" spans="1:11" x14ac:dyDescent="0.35">
      <c r="A2669" s="1">
        <v>42533</v>
      </c>
      <c r="B2669" s="3">
        <f t="shared" si="82"/>
        <v>2016</v>
      </c>
      <c r="C2669" s="3">
        <f t="shared" si="83"/>
        <v>6</v>
      </c>
      <c r="D2669" t="s">
        <v>1925</v>
      </c>
      <c r="E2669" t="s">
        <v>32</v>
      </c>
      <c r="F2669" t="s">
        <v>28</v>
      </c>
      <c r="G2669" t="s">
        <v>48</v>
      </c>
      <c r="H2669" t="s">
        <v>1921</v>
      </c>
      <c r="I2669" s="2">
        <v>1.52</v>
      </c>
      <c r="J2669" s="3">
        <v>2</v>
      </c>
      <c r="K2669" s="2">
        <v>-2.67</v>
      </c>
    </row>
    <row r="2670" spans="1:11" x14ac:dyDescent="0.35">
      <c r="A2670" s="1">
        <v>42563</v>
      </c>
      <c r="B2670" s="3">
        <f t="shared" si="82"/>
        <v>2016</v>
      </c>
      <c r="C2670" s="3">
        <f t="shared" si="83"/>
        <v>7</v>
      </c>
      <c r="D2670" t="s">
        <v>1410</v>
      </c>
      <c r="E2670" t="s">
        <v>45</v>
      </c>
      <c r="F2670" t="s">
        <v>13</v>
      </c>
      <c r="G2670" t="s">
        <v>23</v>
      </c>
      <c r="H2670" t="s">
        <v>1265</v>
      </c>
      <c r="I2670" s="2">
        <v>95.76</v>
      </c>
      <c r="J2670" s="3">
        <v>6</v>
      </c>
      <c r="K2670" s="2">
        <v>7.18</v>
      </c>
    </row>
    <row r="2671" spans="1:11" x14ac:dyDescent="0.35">
      <c r="A2671" s="1">
        <v>42594</v>
      </c>
      <c r="B2671" s="3">
        <f t="shared" si="82"/>
        <v>2016</v>
      </c>
      <c r="C2671" s="3">
        <f t="shared" si="83"/>
        <v>8</v>
      </c>
      <c r="D2671" t="s">
        <v>1171</v>
      </c>
      <c r="E2671" t="s">
        <v>1451</v>
      </c>
      <c r="F2671" t="s">
        <v>28</v>
      </c>
      <c r="G2671" t="s">
        <v>29</v>
      </c>
      <c r="H2671" t="s">
        <v>895</v>
      </c>
      <c r="I2671" s="2">
        <v>6.48</v>
      </c>
      <c r="J2671" s="3">
        <v>1</v>
      </c>
      <c r="K2671" s="2">
        <v>3.11</v>
      </c>
    </row>
    <row r="2672" spans="1:11" x14ac:dyDescent="0.35">
      <c r="A2672" s="1">
        <v>42594</v>
      </c>
      <c r="B2672" s="3">
        <f t="shared" si="82"/>
        <v>2016</v>
      </c>
      <c r="C2672" s="3">
        <f t="shared" si="83"/>
        <v>8</v>
      </c>
      <c r="D2672" t="s">
        <v>1650</v>
      </c>
      <c r="E2672" t="s">
        <v>32</v>
      </c>
      <c r="F2672" t="s">
        <v>13</v>
      </c>
      <c r="G2672" t="s">
        <v>14</v>
      </c>
      <c r="H2672" t="s">
        <v>2085</v>
      </c>
      <c r="I2672" s="2">
        <v>1399.94</v>
      </c>
      <c r="J2672" s="3">
        <v>7</v>
      </c>
      <c r="K2672" s="2">
        <v>52.5</v>
      </c>
    </row>
    <row r="2673" spans="1:11" x14ac:dyDescent="0.35">
      <c r="A2673" s="1">
        <v>42594</v>
      </c>
      <c r="B2673" s="3">
        <f t="shared" si="82"/>
        <v>2016</v>
      </c>
      <c r="C2673" s="3">
        <f t="shared" si="83"/>
        <v>8</v>
      </c>
      <c r="D2673" t="s">
        <v>564</v>
      </c>
      <c r="E2673" t="s">
        <v>22</v>
      </c>
      <c r="F2673" t="s">
        <v>18</v>
      </c>
      <c r="G2673" t="s">
        <v>19</v>
      </c>
      <c r="H2673" t="s">
        <v>969</v>
      </c>
      <c r="I2673" s="2">
        <v>145.76</v>
      </c>
      <c r="J2673" s="3">
        <v>2</v>
      </c>
      <c r="K2673" s="2">
        <v>-8.1</v>
      </c>
    </row>
    <row r="2674" spans="1:11" x14ac:dyDescent="0.35">
      <c r="A2674" s="1">
        <v>42594</v>
      </c>
      <c r="B2674" s="3">
        <f t="shared" si="82"/>
        <v>2016</v>
      </c>
      <c r="C2674" s="3">
        <f t="shared" si="83"/>
        <v>8</v>
      </c>
      <c r="D2674" t="s">
        <v>1601</v>
      </c>
      <c r="E2674" t="s">
        <v>77</v>
      </c>
      <c r="F2674" t="s">
        <v>18</v>
      </c>
      <c r="G2674" t="s">
        <v>42</v>
      </c>
      <c r="H2674" t="s">
        <v>1812</v>
      </c>
      <c r="I2674" s="2">
        <v>562.29</v>
      </c>
      <c r="J2674" s="3">
        <v>7</v>
      </c>
      <c r="K2674" s="2">
        <v>-255.59</v>
      </c>
    </row>
    <row r="2675" spans="1:11" x14ac:dyDescent="0.35">
      <c r="A2675" s="1">
        <v>42594</v>
      </c>
      <c r="B2675" s="3">
        <f t="shared" si="82"/>
        <v>2016</v>
      </c>
      <c r="C2675" s="3">
        <f t="shared" si="83"/>
        <v>8</v>
      </c>
      <c r="D2675" t="s">
        <v>485</v>
      </c>
      <c r="E2675" t="s">
        <v>22</v>
      </c>
      <c r="F2675" t="s">
        <v>18</v>
      </c>
      <c r="G2675" t="s">
        <v>42</v>
      </c>
      <c r="H2675" t="s">
        <v>1364</v>
      </c>
      <c r="I2675" s="2">
        <v>209.15</v>
      </c>
      <c r="J2675" s="3">
        <v>2</v>
      </c>
      <c r="K2675" s="2">
        <v>-66.23</v>
      </c>
    </row>
    <row r="2676" spans="1:11" x14ac:dyDescent="0.35">
      <c r="A2676" s="1">
        <v>42594</v>
      </c>
      <c r="B2676" s="3">
        <f t="shared" si="82"/>
        <v>2016</v>
      </c>
      <c r="C2676" s="3">
        <f t="shared" si="83"/>
        <v>8</v>
      </c>
      <c r="D2676" t="s">
        <v>485</v>
      </c>
      <c r="E2676" t="s">
        <v>22</v>
      </c>
      <c r="F2676" t="s">
        <v>28</v>
      </c>
      <c r="G2676" t="s">
        <v>38</v>
      </c>
      <c r="H2676" t="s">
        <v>797</v>
      </c>
      <c r="I2676" s="2">
        <v>1591.02</v>
      </c>
      <c r="J2676" s="3">
        <v>6</v>
      </c>
      <c r="K2676" s="2">
        <v>286.38</v>
      </c>
    </row>
    <row r="2677" spans="1:11" x14ac:dyDescent="0.35">
      <c r="A2677" s="1">
        <v>42594</v>
      </c>
      <c r="B2677" s="3">
        <f t="shared" si="82"/>
        <v>2016</v>
      </c>
      <c r="C2677" s="3">
        <f t="shared" si="83"/>
        <v>8</v>
      </c>
      <c r="D2677" t="s">
        <v>346</v>
      </c>
      <c r="E2677" t="s">
        <v>89</v>
      </c>
      <c r="F2677" t="s">
        <v>28</v>
      </c>
      <c r="G2677" t="s">
        <v>64</v>
      </c>
      <c r="H2677" t="s">
        <v>2064</v>
      </c>
      <c r="I2677" s="2">
        <v>37.31</v>
      </c>
      <c r="J2677" s="3">
        <v>4</v>
      </c>
      <c r="K2677" s="2">
        <v>2.8</v>
      </c>
    </row>
    <row r="2678" spans="1:11" x14ac:dyDescent="0.35">
      <c r="A2678" s="1">
        <v>42625</v>
      </c>
      <c r="B2678" s="3">
        <f t="shared" si="82"/>
        <v>2016</v>
      </c>
      <c r="C2678" s="3">
        <f t="shared" si="83"/>
        <v>9</v>
      </c>
      <c r="D2678" t="s">
        <v>1777</v>
      </c>
      <c r="E2678" t="s">
        <v>103</v>
      </c>
      <c r="F2678" t="s">
        <v>18</v>
      </c>
      <c r="G2678" t="s">
        <v>36</v>
      </c>
      <c r="H2678" t="s">
        <v>544</v>
      </c>
      <c r="I2678" s="2">
        <v>15.14</v>
      </c>
      <c r="J2678" s="3">
        <v>4</v>
      </c>
      <c r="K2678" s="2">
        <v>3.59</v>
      </c>
    </row>
    <row r="2679" spans="1:11" x14ac:dyDescent="0.35">
      <c r="A2679" s="1">
        <v>42625</v>
      </c>
      <c r="B2679" s="3">
        <f t="shared" si="82"/>
        <v>2016</v>
      </c>
      <c r="C2679" s="3">
        <f t="shared" si="83"/>
        <v>9</v>
      </c>
      <c r="D2679" t="s">
        <v>1777</v>
      </c>
      <c r="E2679" t="s">
        <v>103</v>
      </c>
      <c r="F2679" t="s">
        <v>18</v>
      </c>
      <c r="G2679" t="s">
        <v>19</v>
      </c>
      <c r="H2679" t="s">
        <v>1114</v>
      </c>
      <c r="I2679" s="2">
        <v>466.77</v>
      </c>
      <c r="J2679" s="3">
        <v>2</v>
      </c>
      <c r="K2679" s="2">
        <v>52.51</v>
      </c>
    </row>
    <row r="2680" spans="1:11" x14ac:dyDescent="0.35">
      <c r="A2680" s="1">
        <v>42625</v>
      </c>
      <c r="B2680" s="3">
        <f t="shared" si="82"/>
        <v>2016</v>
      </c>
      <c r="C2680" s="3">
        <f t="shared" si="83"/>
        <v>9</v>
      </c>
      <c r="D2680" t="s">
        <v>1777</v>
      </c>
      <c r="E2680" t="s">
        <v>103</v>
      </c>
      <c r="F2680" t="s">
        <v>18</v>
      </c>
      <c r="G2680" t="s">
        <v>36</v>
      </c>
      <c r="H2680" t="s">
        <v>1753</v>
      </c>
      <c r="I2680" s="2">
        <v>15.23</v>
      </c>
      <c r="J2680" s="3">
        <v>1</v>
      </c>
      <c r="K2680" s="2">
        <v>1.71</v>
      </c>
    </row>
    <row r="2681" spans="1:11" x14ac:dyDescent="0.35">
      <c r="A2681" s="1">
        <v>42625</v>
      </c>
      <c r="B2681" s="3">
        <f t="shared" si="82"/>
        <v>2016</v>
      </c>
      <c r="C2681" s="3">
        <f t="shared" si="83"/>
        <v>9</v>
      </c>
      <c r="D2681" t="s">
        <v>1777</v>
      </c>
      <c r="E2681" t="s">
        <v>103</v>
      </c>
      <c r="F2681" t="s">
        <v>28</v>
      </c>
      <c r="G2681" t="s">
        <v>46</v>
      </c>
      <c r="H2681" t="s">
        <v>253</v>
      </c>
      <c r="I2681" s="2">
        <v>6.26</v>
      </c>
      <c r="J2681" s="3">
        <v>3</v>
      </c>
      <c r="K2681" s="2">
        <v>2.04</v>
      </c>
    </row>
    <row r="2682" spans="1:11" x14ac:dyDescent="0.35">
      <c r="A2682" s="1">
        <v>42625</v>
      </c>
      <c r="B2682" s="3">
        <f t="shared" si="82"/>
        <v>2016</v>
      </c>
      <c r="C2682" s="3">
        <f t="shared" si="83"/>
        <v>9</v>
      </c>
      <c r="D2682" t="s">
        <v>1260</v>
      </c>
      <c r="E2682" t="s">
        <v>17</v>
      </c>
      <c r="F2682" t="s">
        <v>28</v>
      </c>
      <c r="G2682" t="s">
        <v>33</v>
      </c>
      <c r="H2682" t="s">
        <v>409</v>
      </c>
      <c r="I2682" s="2">
        <v>10.47</v>
      </c>
      <c r="J2682" s="3">
        <v>3</v>
      </c>
      <c r="K2682" s="2">
        <v>4.82</v>
      </c>
    </row>
    <row r="2683" spans="1:11" x14ac:dyDescent="0.35">
      <c r="A2683" s="1">
        <v>42625</v>
      </c>
      <c r="B2683" s="3">
        <f t="shared" si="82"/>
        <v>2016</v>
      </c>
      <c r="C2683" s="3">
        <f t="shared" si="83"/>
        <v>9</v>
      </c>
      <c r="D2683" t="s">
        <v>1260</v>
      </c>
      <c r="E2683" t="s">
        <v>17</v>
      </c>
      <c r="F2683" t="s">
        <v>28</v>
      </c>
      <c r="G2683" t="s">
        <v>46</v>
      </c>
      <c r="H2683" t="s">
        <v>2021</v>
      </c>
      <c r="I2683" s="2">
        <v>11.07</v>
      </c>
      <c r="J2683" s="3">
        <v>3</v>
      </c>
      <c r="K2683" s="2">
        <v>5.2</v>
      </c>
    </row>
    <row r="2684" spans="1:11" x14ac:dyDescent="0.35">
      <c r="A2684" s="1">
        <v>42625</v>
      </c>
      <c r="B2684" s="3">
        <f t="shared" si="82"/>
        <v>2016</v>
      </c>
      <c r="C2684" s="3">
        <f t="shared" si="83"/>
        <v>9</v>
      </c>
      <c r="D2684" t="s">
        <v>1260</v>
      </c>
      <c r="E2684" t="s">
        <v>17</v>
      </c>
      <c r="F2684" t="s">
        <v>28</v>
      </c>
      <c r="G2684" t="s">
        <v>48</v>
      </c>
      <c r="H2684" t="s">
        <v>1821</v>
      </c>
      <c r="I2684" s="2">
        <v>20.7</v>
      </c>
      <c r="J2684" s="3">
        <v>4</v>
      </c>
      <c r="K2684" s="2">
        <v>7.76</v>
      </c>
    </row>
    <row r="2685" spans="1:11" x14ac:dyDescent="0.35">
      <c r="A2685" s="1">
        <v>42625</v>
      </c>
      <c r="B2685" s="3">
        <f t="shared" si="82"/>
        <v>2016</v>
      </c>
      <c r="C2685" s="3">
        <f t="shared" si="83"/>
        <v>9</v>
      </c>
      <c r="D2685" t="s">
        <v>1823</v>
      </c>
      <c r="E2685" t="s">
        <v>173</v>
      </c>
      <c r="F2685" t="s">
        <v>13</v>
      </c>
      <c r="G2685" t="s">
        <v>14</v>
      </c>
      <c r="H2685" t="s">
        <v>1981</v>
      </c>
      <c r="I2685" s="2">
        <v>20.7</v>
      </c>
      <c r="J2685" s="3">
        <v>3</v>
      </c>
      <c r="K2685" s="2">
        <v>1.66</v>
      </c>
    </row>
    <row r="2686" spans="1:11" x14ac:dyDescent="0.35">
      <c r="A2686" s="1">
        <v>42625</v>
      </c>
      <c r="B2686" s="3">
        <f t="shared" si="82"/>
        <v>2016</v>
      </c>
      <c r="C2686" s="3">
        <f t="shared" si="83"/>
        <v>9</v>
      </c>
      <c r="D2686" t="s">
        <v>1823</v>
      </c>
      <c r="E2686" t="s">
        <v>173</v>
      </c>
      <c r="F2686" t="s">
        <v>28</v>
      </c>
      <c r="G2686" t="s">
        <v>33</v>
      </c>
      <c r="H2686" t="s">
        <v>111</v>
      </c>
      <c r="I2686" s="2">
        <v>11.34</v>
      </c>
      <c r="J2686" s="3">
        <v>3</v>
      </c>
      <c r="K2686" s="2">
        <v>5.22</v>
      </c>
    </row>
    <row r="2687" spans="1:11" x14ac:dyDescent="0.35">
      <c r="A2687" s="1">
        <v>42625</v>
      </c>
      <c r="B2687" s="3">
        <f t="shared" si="82"/>
        <v>2016</v>
      </c>
      <c r="C2687" s="3">
        <f t="shared" si="83"/>
        <v>9</v>
      </c>
      <c r="D2687" t="s">
        <v>1823</v>
      </c>
      <c r="E2687" t="s">
        <v>173</v>
      </c>
      <c r="F2687" t="s">
        <v>28</v>
      </c>
      <c r="G2687" t="s">
        <v>38</v>
      </c>
      <c r="H2687" t="s">
        <v>1608</v>
      </c>
      <c r="I2687" s="2">
        <v>67.900000000000006</v>
      </c>
      <c r="J2687" s="3">
        <v>5</v>
      </c>
      <c r="K2687" s="2">
        <v>0.68</v>
      </c>
    </row>
    <row r="2688" spans="1:11" x14ac:dyDescent="0.35">
      <c r="A2688" s="1">
        <v>42625</v>
      </c>
      <c r="B2688" s="3">
        <f t="shared" si="82"/>
        <v>2016</v>
      </c>
      <c r="C2688" s="3">
        <f t="shared" si="83"/>
        <v>9</v>
      </c>
      <c r="D2688" t="s">
        <v>1823</v>
      </c>
      <c r="E2688" t="s">
        <v>173</v>
      </c>
      <c r="F2688" t="s">
        <v>18</v>
      </c>
      <c r="G2688" t="s">
        <v>19</v>
      </c>
      <c r="H2688" t="s">
        <v>1149</v>
      </c>
      <c r="I2688" s="2">
        <v>1059.1199999999999</v>
      </c>
      <c r="J2688" s="3">
        <v>4</v>
      </c>
      <c r="K2688" s="2">
        <v>307.14</v>
      </c>
    </row>
    <row r="2689" spans="1:11" x14ac:dyDescent="0.35">
      <c r="A2689" s="1">
        <v>42625</v>
      </c>
      <c r="B2689" s="3">
        <f t="shared" si="82"/>
        <v>2016</v>
      </c>
      <c r="C2689" s="3">
        <f t="shared" si="83"/>
        <v>9</v>
      </c>
      <c r="D2689" t="s">
        <v>1537</v>
      </c>
      <c r="E2689" t="s">
        <v>71</v>
      </c>
      <c r="F2689" t="s">
        <v>28</v>
      </c>
      <c r="G2689" t="s">
        <v>29</v>
      </c>
      <c r="H2689" t="s">
        <v>2086</v>
      </c>
      <c r="I2689" s="2">
        <v>68.52</v>
      </c>
      <c r="J2689" s="3">
        <v>3</v>
      </c>
      <c r="K2689" s="2">
        <v>31.52</v>
      </c>
    </row>
    <row r="2690" spans="1:11" x14ac:dyDescent="0.35">
      <c r="A2690" s="1">
        <v>42625</v>
      </c>
      <c r="B2690" s="3">
        <f t="shared" ref="B2690:B2753" si="84">YEAR(A2690)</f>
        <v>2016</v>
      </c>
      <c r="C2690" s="3">
        <f t="shared" ref="C2690:C2753" si="85">MONTH(A2690)</f>
        <v>9</v>
      </c>
      <c r="D2690" t="s">
        <v>1539</v>
      </c>
      <c r="E2690" t="s">
        <v>103</v>
      </c>
      <c r="F2690" t="s">
        <v>13</v>
      </c>
      <c r="G2690" t="s">
        <v>23</v>
      </c>
      <c r="H2690" t="s">
        <v>514</v>
      </c>
      <c r="I2690" s="2">
        <v>146.94999999999999</v>
      </c>
      <c r="J2690" s="3">
        <v>3</v>
      </c>
      <c r="K2690" s="2">
        <v>9.18</v>
      </c>
    </row>
    <row r="2691" spans="1:11" x14ac:dyDescent="0.35">
      <c r="A2691" s="1">
        <v>42625</v>
      </c>
      <c r="B2691" s="3">
        <f t="shared" si="84"/>
        <v>2016</v>
      </c>
      <c r="C2691" s="3">
        <f t="shared" si="85"/>
        <v>9</v>
      </c>
      <c r="D2691" t="s">
        <v>1539</v>
      </c>
      <c r="E2691" t="s">
        <v>103</v>
      </c>
      <c r="F2691" t="s">
        <v>18</v>
      </c>
      <c r="G2691" t="s">
        <v>19</v>
      </c>
      <c r="H2691" t="s">
        <v>1691</v>
      </c>
      <c r="I2691" s="2">
        <v>83.14</v>
      </c>
      <c r="J2691" s="3">
        <v>4</v>
      </c>
      <c r="K2691" s="2">
        <v>5.2</v>
      </c>
    </row>
    <row r="2692" spans="1:11" x14ac:dyDescent="0.35">
      <c r="A2692" s="1">
        <v>42625</v>
      </c>
      <c r="B2692" s="3">
        <f t="shared" si="84"/>
        <v>2016</v>
      </c>
      <c r="C2692" s="3">
        <f t="shared" si="85"/>
        <v>9</v>
      </c>
      <c r="D2692" t="s">
        <v>2087</v>
      </c>
      <c r="E2692" t="s">
        <v>22</v>
      </c>
      <c r="F2692" t="s">
        <v>18</v>
      </c>
      <c r="G2692" t="s">
        <v>36</v>
      </c>
      <c r="H2692" t="s">
        <v>2088</v>
      </c>
      <c r="I2692" s="2">
        <v>40.479999999999997</v>
      </c>
      <c r="J2692" s="3">
        <v>2</v>
      </c>
      <c r="K2692" s="2">
        <v>14.57</v>
      </c>
    </row>
    <row r="2693" spans="1:11" x14ac:dyDescent="0.35">
      <c r="A2693" s="1">
        <v>42686</v>
      </c>
      <c r="B2693" s="3">
        <f t="shared" si="84"/>
        <v>2016</v>
      </c>
      <c r="C2693" s="3">
        <f t="shared" si="85"/>
        <v>11</v>
      </c>
      <c r="D2693" t="s">
        <v>356</v>
      </c>
      <c r="E2693" t="s">
        <v>211</v>
      </c>
      <c r="F2693" t="s">
        <v>28</v>
      </c>
      <c r="G2693" t="s">
        <v>48</v>
      </c>
      <c r="H2693" t="s">
        <v>1408</v>
      </c>
      <c r="I2693" s="2">
        <v>6.27</v>
      </c>
      <c r="J2693" s="3">
        <v>5</v>
      </c>
      <c r="K2693" s="2">
        <v>-4.5999999999999996</v>
      </c>
    </row>
    <row r="2694" spans="1:11" x14ac:dyDescent="0.35">
      <c r="A2694" s="1">
        <v>42686</v>
      </c>
      <c r="B2694" s="3">
        <f t="shared" si="84"/>
        <v>2016</v>
      </c>
      <c r="C2694" s="3">
        <f t="shared" si="85"/>
        <v>11</v>
      </c>
      <c r="D2694" t="s">
        <v>356</v>
      </c>
      <c r="E2694" t="s">
        <v>211</v>
      </c>
      <c r="F2694" t="s">
        <v>28</v>
      </c>
      <c r="G2694" t="s">
        <v>48</v>
      </c>
      <c r="H2694" t="s">
        <v>2089</v>
      </c>
      <c r="I2694" s="2">
        <v>4.37</v>
      </c>
      <c r="J2694" s="3">
        <v>7</v>
      </c>
      <c r="K2694" s="2">
        <v>-3.35</v>
      </c>
    </row>
    <row r="2695" spans="1:11" x14ac:dyDescent="0.35">
      <c r="A2695" s="1">
        <v>42686</v>
      </c>
      <c r="B2695" s="3">
        <f t="shared" si="84"/>
        <v>2016</v>
      </c>
      <c r="C2695" s="3">
        <f t="shared" si="85"/>
        <v>11</v>
      </c>
      <c r="D2695" t="s">
        <v>356</v>
      </c>
      <c r="E2695" t="s">
        <v>211</v>
      </c>
      <c r="F2695" t="s">
        <v>13</v>
      </c>
      <c r="G2695" t="s">
        <v>14</v>
      </c>
      <c r="H2695" t="s">
        <v>2054</v>
      </c>
      <c r="I2695" s="2">
        <v>31.98</v>
      </c>
      <c r="J2695" s="3">
        <v>2</v>
      </c>
      <c r="K2695" s="2">
        <v>2</v>
      </c>
    </row>
    <row r="2696" spans="1:11" x14ac:dyDescent="0.35">
      <c r="A2696" s="1">
        <v>42686</v>
      </c>
      <c r="B2696" s="3">
        <f t="shared" si="84"/>
        <v>2016</v>
      </c>
      <c r="C2696" s="3">
        <f t="shared" si="85"/>
        <v>11</v>
      </c>
      <c r="D2696" t="s">
        <v>546</v>
      </c>
      <c r="E2696" t="s">
        <v>575</v>
      </c>
      <c r="F2696" t="s">
        <v>28</v>
      </c>
      <c r="G2696" t="s">
        <v>158</v>
      </c>
      <c r="H2696" t="s">
        <v>2090</v>
      </c>
      <c r="I2696" s="2">
        <v>287.52</v>
      </c>
      <c r="J2696" s="3">
        <v>8</v>
      </c>
      <c r="K2696" s="2">
        <v>129.38</v>
      </c>
    </row>
    <row r="2697" spans="1:11" x14ac:dyDescent="0.35">
      <c r="A2697" s="1">
        <v>42686</v>
      </c>
      <c r="B2697" s="3">
        <f t="shared" si="84"/>
        <v>2016</v>
      </c>
      <c r="C2697" s="3">
        <f t="shared" si="85"/>
        <v>11</v>
      </c>
      <c r="D2697" t="s">
        <v>546</v>
      </c>
      <c r="E2697" t="s">
        <v>575</v>
      </c>
      <c r="F2697" t="s">
        <v>28</v>
      </c>
      <c r="G2697" t="s">
        <v>58</v>
      </c>
      <c r="H2697" t="s">
        <v>1641</v>
      </c>
      <c r="I2697" s="2">
        <v>37.68</v>
      </c>
      <c r="J2697" s="3">
        <v>2</v>
      </c>
      <c r="K2697" s="2">
        <v>10.55</v>
      </c>
    </row>
    <row r="2698" spans="1:11" x14ac:dyDescent="0.35">
      <c r="A2698" s="1">
        <v>42686</v>
      </c>
      <c r="B2698" s="3">
        <f t="shared" si="84"/>
        <v>2016</v>
      </c>
      <c r="C2698" s="3">
        <f t="shared" si="85"/>
        <v>11</v>
      </c>
      <c r="D2698" t="s">
        <v>546</v>
      </c>
      <c r="E2698" t="s">
        <v>575</v>
      </c>
      <c r="F2698" t="s">
        <v>28</v>
      </c>
      <c r="G2698" t="s">
        <v>29</v>
      </c>
      <c r="H2698" t="s">
        <v>1571</v>
      </c>
      <c r="I2698" s="2">
        <v>19.98</v>
      </c>
      <c r="J2698" s="3">
        <v>2</v>
      </c>
      <c r="K2698" s="2">
        <v>8.99</v>
      </c>
    </row>
    <row r="2699" spans="1:11" x14ac:dyDescent="0.35">
      <c r="A2699" s="1">
        <v>42686</v>
      </c>
      <c r="B2699" s="3">
        <f t="shared" si="84"/>
        <v>2016</v>
      </c>
      <c r="C2699" s="3">
        <f t="shared" si="85"/>
        <v>11</v>
      </c>
      <c r="D2699" t="s">
        <v>546</v>
      </c>
      <c r="E2699" t="s">
        <v>575</v>
      </c>
      <c r="F2699" t="s">
        <v>28</v>
      </c>
      <c r="G2699" t="s">
        <v>64</v>
      </c>
      <c r="H2699" t="s">
        <v>1755</v>
      </c>
      <c r="I2699" s="2">
        <v>20.58</v>
      </c>
      <c r="J2699" s="3">
        <v>7</v>
      </c>
      <c r="K2699" s="2">
        <v>5.56</v>
      </c>
    </row>
    <row r="2700" spans="1:11" x14ac:dyDescent="0.35">
      <c r="A2700" s="1">
        <v>42686</v>
      </c>
      <c r="B2700" s="3">
        <f t="shared" si="84"/>
        <v>2016</v>
      </c>
      <c r="C2700" s="3">
        <f t="shared" si="85"/>
        <v>11</v>
      </c>
      <c r="D2700" t="s">
        <v>546</v>
      </c>
      <c r="E2700" t="s">
        <v>575</v>
      </c>
      <c r="F2700" t="s">
        <v>28</v>
      </c>
      <c r="G2700" t="s">
        <v>48</v>
      </c>
      <c r="H2700" t="s">
        <v>1269</v>
      </c>
      <c r="I2700" s="2">
        <v>17.38</v>
      </c>
      <c r="J2700" s="3">
        <v>2</v>
      </c>
      <c r="K2700" s="2">
        <v>8.69</v>
      </c>
    </row>
    <row r="2701" spans="1:11" x14ac:dyDescent="0.35">
      <c r="A2701" s="1">
        <v>42686</v>
      </c>
      <c r="B2701" s="3">
        <f t="shared" si="84"/>
        <v>2016</v>
      </c>
      <c r="C2701" s="3">
        <f t="shared" si="85"/>
        <v>11</v>
      </c>
      <c r="D2701" t="s">
        <v>2091</v>
      </c>
      <c r="E2701" t="s">
        <v>131</v>
      </c>
      <c r="F2701" t="s">
        <v>18</v>
      </c>
      <c r="G2701" t="s">
        <v>19</v>
      </c>
      <c r="H2701" t="s">
        <v>605</v>
      </c>
      <c r="I2701" s="2">
        <v>1474.8</v>
      </c>
      <c r="J2701" s="3">
        <v>7</v>
      </c>
      <c r="K2701" s="2">
        <v>-21.07</v>
      </c>
    </row>
    <row r="2702" spans="1:11" x14ac:dyDescent="0.35">
      <c r="A2702" s="1">
        <v>42686</v>
      </c>
      <c r="B2702" s="3">
        <f t="shared" si="84"/>
        <v>2016</v>
      </c>
      <c r="C2702" s="3">
        <f t="shared" si="85"/>
        <v>11</v>
      </c>
      <c r="D2702" t="s">
        <v>2091</v>
      </c>
      <c r="E2702" t="s">
        <v>131</v>
      </c>
      <c r="F2702" t="s">
        <v>28</v>
      </c>
      <c r="G2702" t="s">
        <v>58</v>
      </c>
      <c r="H2702" t="s">
        <v>1186</v>
      </c>
      <c r="I2702" s="2">
        <v>110.1</v>
      </c>
      <c r="J2702" s="3">
        <v>2</v>
      </c>
      <c r="K2702" s="2">
        <v>33.03</v>
      </c>
    </row>
    <row r="2703" spans="1:11" x14ac:dyDescent="0.35">
      <c r="A2703" s="1">
        <v>42686</v>
      </c>
      <c r="B2703" s="3">
        <f t="shared" si="84"/>
        <v>2016</v>
      </c>
      <c r="C2703" s="3">
        <f t="shared" si="85"/>
        <v>11</v>
      </c>
      <c r="D2703" t="s">
        <v>2091</v>
      </c>
      <c r="E2703" t="s">
        <v>131</v>
      </c>
      <c r="F2703" t="s">
        <v>28</v>
      </c>
      <c r="G2703" t="s">
        <v>33</v>
      </c>
      <c r="H2703" t="s">
        <v>409</v>
      </c>
      <c r="I2703" s="2">
        <v>16.75</v>
      </c>
      <c r="J2703" s="3">
        <v>6</v>
      </c>
      <c r="K2703" s="2">
        <v>5.44</v>
      </c>
    </row>
    <row r="2704" spans="1:11" x14ac:dyDescent="0.35">
      <c r="A2704" s="1">
        <v>42686</v>
      </c>
      <c r="B2704" s="3">
        <f t="shared" si="84"/>
        <v>2016</v>
      </c>
      <c r="C2704" s="3">
        <f t="shared" si="85"/>
        <v>11</v>
      </c>
      <c r="D2704" t="s">
        <v>2091</v>
      </c>
      <c r="E2704" t="s">
        <v>131</v>
      </c>
      <c r="F2704" t="s">
        <v>18</v>
      </c>
      <c r="G2704" t="s">
        <v>19</v>
      </c>
      <c r="H2704" t="s">
        <v>718</v>
      </c>
      <c r="I2704" s="2">
        <v>1537.07</v>
      </c>
      <c r="J2704" s="3">
        <v>9</v>
      </c>
      <c r="K2704" s="2">
        <v>0</v>
      </c>
    </row>
    <row r="2705" spans="1:11" x14ac:dyDescent="0.35">
      <c r="A2705" s="1">
        <v>42686</v>
      </c>
      <c r="B2705" s="3">
        <f t="shared" si="84"/>
        <v>2016</v>
      </c>
      <c r="C2705" s="3">
        <f t="shared" si="85"/>
        <v>11</v>
      </c>
      <c r="D2705" t="s">
        <v>2091</v>
      </c>
      <c r="E2705" t="s">
        <v>131</v>
      </c>
      <c r="F2705" t="s">
        <v>18</v>
      </c>
      <c r="G2705" t="s">
        <v>19</v>
      </c>
      <c r="H2705" t="s">
        <v>149</v>
      </c>
      <c r="I2705" s="2">
        <v>449.37</v>
      </c>
      <c r="J2705" s="3">
        <v>2</v>
      </c>
      <c r="K2705" s="2">
        <v>-12.84</v>
      </c>
    </row>
    <row r="2706" spans="1:11" x14ac:dyDescent="0.35">
      <c r="A2706" s="1">
        <v>42686</v>
      </c>
      <c r="B2706" s="3">
        <f t="shared" si="84"/>
        <v>2016</v>
      </c>
      <c r="C2706" s="3">
        <f t="shared" si="85"/>
        <v>11</v>
      </c>
      <c r="D2706" t="s">
        <v>54</v>
      </c>
      <c r="E2706" t="s">
        <v>45</v>
      </c>
      <c r="F2706" t="s">
        <v>13</v>
      </c>
      <c r="G2706" t="s">
        <v>23</v>
      </c>
      <c r="H2706" t="s">
        <v>2092</v>
      </c>
      <c r="I2706" s="2">
        <v>203.98</v>
      </c>
      <c r="J2706" s="3">
        <v>3</v>
      </c>
      <c r="K2706" s="2">
        <v>25.5</v>
      </c>
    </row>
    <row r="2707" spans="1:11" x14ac:dyDescent="0.35">
      <c r="A2707" s="1">
        <v>42686</v>
      </c>
      <c r="B2707" s="3">
        <f t="shared" si="84"/>
        <v>2016</v>
      </c>
      <c r="C2707" s="3">
        <f t="shared" si="85"/>
        <v>11</v>
      </c>
      <c r="D2707" t="s">
        <v>54</v>
      </c>
      <c r="E2707" t="s">
        <v>45</v>
      </c>
      <c r="F2707" t="s">
        <v>18</v>
      </c>
      <c r="G2707" t="s">
        <v>42</v>
      </c>
      <c r="H2707" t="s">
        <v>1762</v>
      </c>
      <c r="I2707" s="2">
        <v>674.35</v>
      </c>
      <c r="J2707" s="3">
        <v>3</v>
      </c>
      <c r="K2707" s="2">
        <v>-8.43</v>
      </c>
    </row>
    <row r="2708" spans="1:11" x14ac:dyDescent="0.35">
      <c r="A2708" s="1">
        <v>42686</v>
      </c>
      <c r="B2708" s="3">
        <f t="shared" si="84"/>
        <v>2016</v>
      </c>
      <c r="C2708" s="3">
        <f t="shared" si="85"/>
        <v>11</v>
      </c>
      <c r="D2708" t="s">
        <v>333</v>
      </c>
      <c r="E2708" t="s">
        <v>26</v>
      </c>
      <c r="F2708" t="s">
        <v>18</v>
      </c>
      <c r="G2708" t="s">
        <v>36</v>
      </c>
      <c r="H2708" t="s">
        <v>1270</v>
      </c>
      <c r="I2708" s="2">
        <v>22.75</v>
      </c>
      <c r="J2708" s="3">
        <v>6</v>
      </c>
      <c r="K2708" s="2">
        <v>-8.5299999999999994</v>
      </c>
    </row>
    <row r="2709" spans="1:11" x14ac:dyDescent="0.35">
      <c r="A2709" s="1">
        <v>42716</v>
      </c>
      <c r="B2709" s="3">
        <f t="shared" si="84"/>
        <v>2016</v>
      </c>
      <c r="C2709" s="3">
        <f t="shared" si="85"/>
        <v>12</v>
      </c>
      <c r="D2709" t="s">
        <v>667</v>
      </c>
      <c r="E2709" t="s">
        <v>131</v>
      </c>
      <c r="F2709" t="s">
        <v>28</v>
      </c>
      <c r="G2709" t="s">
        <v>48</v>
      </c>
      <c r="H2709" t="s">
        <v>553</v>
      </c>
      <c r="I2709" s="2">
        <v>18.690000000000001</v>
      </c>
      <c r="J2709" s="3">
        <v>3</v>
      </c>
      <c r="K2709" s="2">
        <v>-14.33</v>
      </c>
    </row>
    <row r="2710" spans="1:11" x14ac:dyDescent="0.35">
      <c r="A2710" s="1">
        <v>42716</v>
      </c>
      <c r="B2710" s="3">
        <f t="shared" si="84"/>
        <v>2016</v>
      </c>
      <c r="C2710" s="3">
        <f t="shared" si="85"/>
        <v>12</v>
      </c>
      <c r="D2710" t="s">
        <v>667</v>
      </c>
      <c r="E2710" t="s">
        <v>131</v>
      </c>
      <c r="F2710" t="s">
        <v>13</v>
      </c>
      <c r="G2710" t="s">
        <v>14</v>
      </c>
      <c r="H2710" t="s">
        <v>1027</v>
      </c>
      <c r="I2710" s="2">
        <v>383.95</v>
      </c>
      <c r="J2710" s="3">
        <v>6</v>
      </c>
      <c r="K2710" s="2">
        <v>76.790000000000006</v>
      </c>
    </row>
    <row r="2711" spans="1:11" x14ac:dyDescent="0.35">
      <c r="A2711" s="1">
        <v>42716</v>
      </c>
      <c r="B2711" s="3">
        <f t="shared" si="84"/>
        <v>2016</v>
      </c>
      <c r="C2711" s="3">
        <f t="shared" si="85"/>
        <v>12</v>
      </c>
      <c r="D2711" t="s">
        <v>784</v>
      </c>
      <c r="E2711" t="s">
        <v>71</v>
      </c>
      <c r="F2711" t="s">
        <v>13</v>
      </c>
      <c r="G2711" t="s">
        <v>23</v>
      </c>
      <c r="H2711" t="s">
        <v>859</v>
      </c>
      <c r="I2711" s="2">
        <v>657.93</v>
      </c>
      <c r="J2711" s="3">
        <v>7</v>
      </c>
      <c r="K2711" s="2">
        <v>184.22</v>
      </c>
    </row>
    <row r="2712" spans="1:11" x14ac:dyDescent="0.35">
      <c r="A2712" s="1">
        <v>42716</v>
      </c>
      <c r="B2712" s="3">
        <f t="shared" si="84"/>
        <v>2016</v>
      </c>
      <c r="C2712" s="3">
        <f t="shared" si="85"/>
        <v>12</v>
      </c>
      <c r="D2712" t="s">
        <v>784</v>
      </c>
      <c r="E2712" t="s">
        <v>71</v>
      </c>
      <c r="F2712" t="s">
        <v>18</v>
      </c>
      <c r="G2712" t="s">
        <v>36</v>
      </c>
      <c r="H2712" t="s">
        <v>850</v>
      </c>
      <c r="I2712" s="2">
        <v>33.479999999999997</v>
      </c>
      <c r="J2712" s="3">
        <v>4</v>
      </c>
      <c r="K2712" s="2">
        <v>8.6999999999999993</v>
      </c>
    </row>
    <row r="2713" spans="1:11" x14ac:dyDescent="0.35">
      <c r="A2713" s="1">
        <v>42716</v>
      </c>
      <c r="B2713" s="3">
        <f t="shared" si="84"/>
        <v>2016</v>
      </c>
      <c r="C2713" s="3">
        <f t="shared" si="85"/>
        <v>12</v>
      </c>
      <c r="D2713" t="s">
        <v>784</v>
      </c>
      <c r="E2713" t="s">
        <v>71</v>
      </c>
      <c r="F2713" t="s">
        <v>28</v>
      </c>
      <c r="G2713" t="s">
        <v>64</v>
      </c>
      <c r="H2713" t="s">
        <v>1322</v>
      </c>
      <c r="I2713" s="2">
        <v>13.9</v>
      </c>
      <c r="J2713" s="3">
        <v>5</v>
      </c>
      <c r="K2713" s="2">
        <v>3.61</v>
      </c>
    </row>
    <row r="2714" spans="1:11" x14ac:dyDescent="0.35">
      <c r="A2714" s="1">
        <v>42716</v>
      </c>
      <c r="B2714" s="3">
        <f t="shared" si="84"/>
        <v>2016</v>
      </c>
      <c r="C2714" s="3">
        <f t="shared" si="85"/>
        <v>12</v>
      </c>
      <c r="D2714" t="s">
        <v>784</v>
      </c>
      <c r="E2714" t="s">
        <v>71</v>
      </c>
      <c r="F2714" t="s">
        <v>28</v>
      </c>
      <c r="G2714" t="s">
        <v>38</v>
      </c>
      <c r="H2714" t="s">
        <v>1452</v>
      </c>
      <c r="I2714" s="2">
        <v>26.86</v>
      </c>
      <c r="J2714" s="3">
        <v>2</v>
      </c>
      <c r="K2714" s="2">
        <v>6.72</v>
      </c>
    </row>
    <row r="2715" spans="1:11" x14ac:dyDescent="0.35">
      <c r="A2715" s="1">
        <v>42716</v>
      </c>
      <c r="B2715" s="3">
        <f t="shared" si="84"/>
        <v>2016</v>
      </c>
      <c r="C2715" s="3">
        <f t="shared" si="85"/>
        <v>12</v>
      </c>
      <c r="D2715" t="s">
        <v>2093</v>
      </c>
      <c r="E2715" t="s">
        <v>165</v>
      </c>
      <c r="F2715" t="s">
        <v>13</v>
      </c>
      <c r="G2715" t="s">
        <v>14</v>
      </c>
      <c r="H2715" t="s">
        <v>2094</v>
      </c>
      <c r="I2715" s="2">
        <v>249.95</v>
      </c>
      <c r="J2715" s="3">
        <v>5</v>
      </c>
      <c r="K2715" s="2">
        <v>20</v>
      </c>
    </row>
    <row r="2716" spans="1:11" x14ac:dyDescent="0.35">
      <c r="A2716" s="1">
        <v>42716</v>
      </c>
      <c r="B2716" s="3">
        <f t="shared" si="84"/>
        <v>2016</v>
      </c>
      <c r="C2716" s="3">
        <f t="shared" si="85"/>
        <v>12</v>
      </c>
      <c r="D2716" t="s">
        <v>2093</v>
      </c>
      <c r="E2716" t="s">
        <v>165</v>
      </c>
      <c r="F2716" t="s">
        <v>28</v>
      </c>
      <c r="G2716" t="s">
        <v>29</v>
      </c>
      <c r="H2716" t="s">
        <v>2095</v>
      </c>
      <c r="I2716" s="2">
        <v>49.12</v>
      </c>
      <c r="J2716" s="3">
        <v>4</v>
      </c>
      <c r="K2716" s="2">
        <v>23.09</v>
      </c>
    </row>
    <row r="2717" spans="1:11" x14ac:dyDescent="0.35">
      <c r="A2717" s="1">
        <v>42716</v>
      </c>
      <c r="B2717" s="3">
        <f t="shared" si="84"/>
        <v>2016</v>
      </c>
      <c r="C2717" s="3">
        <f t="shared" si="85"/>
        <v>12</v>
      </c>
      <c r="D2717" t="s">
        <v>1018</v>
      </c>
      <c r="E2717" t="s">
        <v>45</v>
      </c>
      <c r="F2717" t="s">
        <v>18</v>
      </c>
      <c r="G2717" t="s">
        <v>36</v>
      </c>
      <c r="H2717" t="s">
        <v>590</v>
      </c>
      <c r="I2717" s="2">
        <v>383.64</v>
      </c>
      <c r="J2717" s="3">
        <v>6</v>
      </c>
      <c r="K2717" s="2">
        <v>122.76</v>
      </c>
    </row>
    <row r="2718" spans="1:11" x14ac:dyDescent="0.35">
      <c r="A2718" s="1">
        <v>42716</v>
      </c>
      <c r="B2718" s="3">
        <f t="shared" si="84"/>
        <v>2016</v>
      </c>
      <c r="C2718" s="3">
        <f t="shared" si="85"/>
        <v>12</v>
      </c>
      <c r="D2718" t="s">
        <v>1018</v>
      </c>
      <c r="E2718" t="s">
        <v>45</v>
      </c>
      <c r="F2718" t="s">
        <v>28</v>
      </c>
      <c r="G2718" t="s">
        <v>58</v>
      </c>
      <c r="H2718" t="s">
        <v>1641</v>
      </c>
      <c r="I2718" s="2">
        <v>56.52</v>
      </c>
      <c r="J2718" s="3">
        <v>3</v>
      </c>
      <c r="K2718" s="2">
        <v>15.83</v>
      </c>
    </row>
    <row r="2719" spans="1:11" x14ac:dyDescent="0.35">
      <c r="A2719" s="1">
        <v>42716</v>
      </c>
      <c r="B2719" s="3">
        <f t="shared" si="84"/>
        <v>2016</v>
      </c>
      <c r="C2719" s="3">
        <f t="shared" si="85"/>
        <v>12</v>
      </c>
      <c r="D2719" t="s">
        <v>1368</v>
      </c>
      <c r="E2719" t="s">
        <v>22</v>
      </c>
      <c r="F2719" t="s">
        <v>18</v>
      </c>
      <c r="G2719" t="s">
        <v>36</v>
      </c>
      <c r="H2719" t="s">
        <v>1660</v>
      </c>
      <c r="I2719" s="2">
        <v>60.35</v>
      </c>
      <c r="J2719" s="3">
        <v>5</v>
      </c>
      <c r="K2719" s="2">
        <v>19.920000000000002</v>
      </c>
    </row>
    <row r="2720" spans="1:11" x14ac:dyDescent="0.35">
      <c r="A2720" s="1">
        <v>42716</v>
      </c>
      <c r="B2720" s="3">
        <f t="shared" si="84"/>
        <v>2016</v>
      </c>
      <c r="C2720" s="3">
        <f t="shared" si="85"/>
        <v>12</v>
      </c>
      <c r="D2720" t="s">
        <v>1368</v>
      </c>
      <c r="E2720" t="s">
        <v>22</v>
      </c>
      <c r="F2720" t="s">
        <v>28</v>
      </c>
      <c r="G2720" t="s">
        <v>215</v>
      </c>
      <c r="H2720" t="s">
        <v>2096</v>
      </c>
      <c r="I2720" s="2">
        <v>35.520000000000003</v>
      </c>
      <c r="J2720" s="3">
        <v>4</v>
      </c>
      <c r="K2720" s="2">
        <v>9.9499999999999993</v>
      </c>
    </row>
    <row r="2721" spans="1:11" x14ac:dyDescent="0.35">
      <c r="A2721" s="1">
        <v>42716</v>
      </c>
      <c r="B2721" s="3">
        <f t="shared" si="84"/>
        <v>2016</v>
      </c>
      <c r="C2721" s="3">
        <f t="shared" si="85"/>
        <v>12</v>
      </c>
      <c r="D2721" t="s">
        <v>1368</v>
      </c>
      <c r="E2721" t="s">
        <v>22</v>
      </c>
      <c r="F2721" t="s">
        <v>28</v>
      </c>
      <c r="G2721" t="s">
        <v>64</v>
      </c>
      <c r="H2721" t="s">
        <v>1989</v>
      </c>
      <c r="I2721" s="2">
        <v>11.2</v>
      </c>
      <c r="J2721" s="3">
        <v>7</v>
      </c>
      <c r="K2721" s="2">
        <v>4.82</v>
      </c>
    </row>
    <row r="2722" spans="1:11" x14ac:dyDescent="0.35">
      <c r="A2722" s="1">
        <v>42736</v>
      </c>
      <c r="B2722" s="3">
        <f t="shared" si="84"/>
        <v>2017</v>
      </c>
      <c r="C2722" s="3">
        <f t="shared" si="85"/>
        <v>1</v>
      </c>
      <c r="D2722" t="s">
        <v>879</v>
      </c>
      <c r="E2722" t="s">
        <v>131</v>
      </c>
      <c r="F2722" t="s">
        <v>18</v>
      </c>
      <c r="G2722" t="s">
        <v>36</v>
      </c>
      <c r="H2722" t="s">
        <v>151</v>
      </c>
      <c r="I2722" s="2">
        <v>48.9</v>
      </c>
      <c r="J2722" s="3">
        <v>4</v>
      </c>
      <c r="K2722" s="2">
        <v>8.56</v>
      </c>
    </row>
    <row r="2723" spans="1:11" x14ac:dyDescent="0.35">
      <c r="A2723" s="1">
        <v>42736</v>
      </c>
      <c r="B2723" s="3">
        <f t="shared" si="84"/>
        <v>2017</v>
      </c>
      <c r="C2723" s="3">
        <f t="shared" si="85"/>
        <v>1</v>
      </c>
      <c r="D2723" t="s">
        <v>282</v>
      </c>
      <c r="E2723" t="s">
        <v>45</v>
      </c>
      <c r="F2723" t="s">
        <v>18</v>
      </c>
      <c r="G2723" t="s">
        <v>36</v>
      </c>
      <c r="H2723" t="s">
        <v>2097</v>
      </c>
      <c r="I2723" s="2">
        <v>474.43</v>
      </c>
      <c r="J2723" s="3">
        <v>11</v>
      </c>
      <c r="K2723" s="2">
        <v>199.26</v>
      </c>
    </row>
    <row r="2724" spans="1:11" x14ac:dyDescent="0.35">
      <c r="A2724" s="1">
        <v>42736</v>
      </c>
      <c r="B2724" s="3">
        <f t="shared" si="84"/>
        <v>2017</v>
      </c>
      <c r="C2724" s="3">
        <f t="shared" si="85"/>
        <v>1</v>
      </c>
      <c r="D2724" t="s">
        <v>463</v>
      </c>
      <c r="E2724" t="s">
        <v>12</v>
      </c>
      <c r="F2724" t="s">
        <v>28</v>
      </c>
      <c r="G2724" t="s">
        <v>48</v>
      </c>
      <c r="H2724" t="s">
        <v>2098</v>
      </c>
      <c r="I2724" s="2">
        <v>3.6</v>
      </c>
      <c r="J2724" s="3">
        <v>2</v>
      </c>
      <c r="K2724" s="2">
        <v>1.73</v>
      </c>
    </row>
    <row r="2725" spans="1:11" x14ac:dyDescent="0.35">
      <c r="A2725" s="1">
        <v>42736</v>
      </c>
      <c r="B2725" s="3">
        <f t="shared" si="84"/>
        <v>2017</v>
      </c>
      <c r="C2725" s="3">
        <f t="shared" si="85"/>
        <v>1</v>
      </c>
      <c r="D2725" t="s">
        <v>2099</v>
      </c>
      <c r="E2725" t="s">
        <v>32</v>
      </c>
      <c r="F2725" t="s">
        <v>28</v>
      </c>
      <c r="G2725" t="s">
        <v>38</v>
      </c>
      <c r="H2725" t="s">
        <v>344</v>
      </c>
      <c r="I2725" s="2">
        <v>454.56</v>
      </c>
      <c r="J2725" s="3">
        <v>5</v>
      </c>
      <c r="K2725" s="2">
        <v>-107.96</v>
      </c>
    </row>
    <row r="2726" spans="1:11" x14ac:dyDescent="0.35">
      <c r="A2726" s="1">
        <v>42736</v>
      </c>
      <c r="B2726" s="3">
        <f t="shared" si="84"/>
        <v>2017</v>
      </c>
      <c r="C2726" s="3">
        <f t="shared" si="85"/>
        <v>1</v>
      </c>
      <c r="D2726" t="s">
        <v>2099</v>
      </c>
      <c r="E2726" t="s">
        <v>32</v>
      </c>
      <c r="F2726" t="s">
        <v>18</v>
      </c>
      <c r="G2726" t="s">
        <v>36</v>
      </c>
      <c r="H2726" t="s">
        <v>196</v>
      </c>
      <c r="I2726" s="2">
        <v>141.41999999999999</v>
      </c>
      <c r="J2726" s="3">
        <v>5</v>
      </c>
      <c r="K2726" s="2">
        <v>-187.38</v>
      </c>
    </row>
    <row r="2727" spans="1:11" x14ac:dyDescent="0.35">
      <c r="A2727" s="1">
        <v>42736</v>
      </c>
      <c r="B2727" s="3">
        <f t="shared" si="84"/>
        <v>2017</v>
      </c>
      <c r="C2727" s="3">
        <f t="shared" si="85"/>
        <v>1</v>
      </c>
      <c r="D2727" t="s">
        <v>2099</v>
      </c>
      <c r="E2727" t="s">
        <v>32</v>
      </c>
      <c r="F2727" t="s">
        <v>18</v>
      </c>
      <c r="G2727" t="s">
        <v>19</v>
      </c>
      <c r="H2727" t="s">
        <v>1752</v>
      </c>
      <c r="I2727" s="2">
        <v>310.74</v>
      </c>
      <c r="J2727" s="3">
        <v>4</v>
      </c>
      <c r="K2727" s="2">
        <v>-26.64</v>
      </c>
    </row>
    <row r="2728" spans="1:11" x14ac:dyDescent="0.35">
      <c r="A2728" s="1">
        <v>42736</v>
      </c>
      <c r="B2728" s="3">
        <f t="shared" si="84"/>
        <v>2017</v>
      </c>
      <c r="C2728" s="3">
        <f t="shared" si="85"/>
        <v>1</v>
      </c>
      <c r="D2728" t="s">
        <v>2099</v>
      </c>
      <c r="E2728" t="s">
        <v>32</v>
      </c>
      <c r="F2728" t="s">
        <v>28</v>
      </c>
      <c r="G2728" t="s">
        <v>64</v>
      </c>
      <c r="H2728" t="s">
        <v>990</v>
      </c>
      <c r="I2728" s="2">
        <v>12.74</v>
      </c>
      <c r="J2728" s="3">
        <v>4</v>
      </c>
      <c r="K2728" s="2">
        <v>2.23</v>
      </c>
    </row>
    <row r="2729" spans="1:11" x14ac:dyDescent="0.35">
      <c r="A2729" s="1">
        <v>42736</v>
      </c>
      <c r="B2729" s="3">
        <f t="shared" si="84"/>
        <v>2017</v>
      </c>
      <c r="C2729" s="3">
        <f t="shared" si="85"/>
        <v>1</v>
      </c>
      <c r="D2729" t="s">
        <v>2099</v>
      </c>
      <c r="E2729" t="s">
        <v>32</v>
      </c>
      <c r="F2729" t="s">
        <v>28</v>
      </c>
      <c r="G2729" t="s">
        <v>48</v>
      </c>
      <c r="H2729" t="s">
        <v>1821</v>
      </c>
      <c r="I2729" s="2">
        <v>6.47</v>
      </c>
      <c r="J2729" s="3">
        <v>5</v>
      </c>
      <c r="K2729" s="2">
        <v>-9.7100000000000009</v>
      </c>
    </row>
    <row r="2730" spans="1:11" x14ac:dyDescent="0.35">
      <c r="A2730" s="1">
        <v>42736</v>
      </c>
      <c r="B2730" s="3">
        <f t="shared" si="84"/>
        <v>2017</v>
      </c>
      <c r="C2730" s="3">
        <f t="shared" si="85"/>
        <v>1</v>
      </c>
      <c r="D2730" t="s">
        <v>2099</v>
      </c>
      <c r="E2730" t="s">
        <v>32</v>
      </c>
      <c r="F2730" t="s">
        <v>28</v>
      </c>
      <c r="G2730" t="s">
        <v>48</v>
      </c>
      <c r="H2730" t="s">
        <v>1796</v>
      </c>
      <c r="I2730" s="2">
        <v>13.75</v>
      </c>
      <c r="J2730" s="3">
        <v>14</v>
      </c>
      <c r="K2730" s="2">
        <v>-22.68</v>
      </c>
    </row>
    <row r="2731" spans="1:11" x14ac:dyDescent="0.35">
      <c r="A2731" s="1">
        <v>42736</v>
      </c>
      <c r="B2731" s="3">
        <f t="shared" si="84"/>
        <v>2017</v>
      </c>
      <c r="C2731" s="3">
        <f t="shared" si="85"/>
        <v>1</v>
      </c>
      <c r="D2731" t="s">
        <v>2099</v>
      </c>
      <c r="E2731" t="s">
        <v>32</v>
      </c>
      <c r="F2731" t="s">
        <v>28</v>
      </c>
      <c r="G2731" t="s">
        <v>58</v>
      </c>
      <c r="H2731" t="s">
        <v>129</v>
      </c>
      <c r="I2731" s="2">
        <v>15.22</v>
      </c>
      <c r="J2731" s="3">
        <v>2</v>
      </c>
      <c r="K2731" s="2">
        <v>-38.82</v>
      </c>
    </row>
    <row r="2732" spans="1:11" x14ac:dyDescent="0.35">
      <c r="A2732" s="1">
        <v>42826</v>
      </c>
      <c r="B2732" s="3">
        <f t="shared" si="84"/>
        <v>2017</v>
      </c>
      <c r="C2732" s="3">
        <f t="shared" si="85"/>
        <v>4</v>
      </c>
      <c r="D2732" t="s">
        <v>1505</v>
      </c>
      <c r="E2732" t="s">
        <v>190</v>
      </c>
      <c r="F2732" t="s">
        <v>28</v>
      </c>
      <c r="G2732" t="s">
        <v>38</v>
      </c>
      <c r="H2732" t="s">
        <v>1296</v>
      </c>
      <c r="I2732" s="2">
        <v>94.2</v>
      </c>
      <c r="J2732" s="3">
        <v>6</v>
      </c>
      <c r="K2732" s="2">
        <v>23.55</v>
      </c>
    </row>
    <row r="2733" spans="1:11" x14ac:dyDescent="0.35">
      <c r="A2733" s="1">
        <v>42826</v>
      </c>
      <c r="B2733" s="3">
        <f t="shared" si="84"/>
        <v>2017</v>
      </c>
      <c r="C2733" s="3">
        <f t="shared" si="85"/>
        <v>4</v>
      </c>
      <c r="D2733" t="s">
        <v>1505</v>
      </c>
      <c r="E2733" t="s">
        <v>190</v>
      </c>
      <c r="F2733" t="s">
        <v>28</v>
      </c>
      <c r="G2733" t="s">
        <v>158</v>
      </c>
      <c r="H2733" t="s">
        <v>159</v>
      </c>
      <c r="I2733" s="2">
        <v>28.4</v>
      </c>
      <c r="J2733" s="3">
        <v>5</v>
      </c>
      <c r="K2733" s="2">
        <v>13.35</v>
      </c>
    </row>
    <row r="2734" spans="1:11" x14ac:dyDescent="0.35">
      <c r="A2734" s="1">
        <v>42826</v>
      </c>
      <c r="B2734" s="3">
        <f t="shared" si="84"/>
        <v>2017</v>
      </c>
      <c r="C2734" s="3">
        <f t="shared" si="85"/>
        <v>4</v>
      </c>
      <c r="D2734" t="s">
        <v>653</v>
      </c>
      <c r="E2734" t="s">
        <v>45</v>
      </c>
      <c r="F2734" t="s">
        <v>28</v>
      </c>
      <c r="G2734" t="s">
        <v>46</v>
      </c>
      <c r="H2734" t="s">
        <v>2100</v>
      </c>
      <c r="I2734" s="2">
        <v>5.78</v>
      </c>
      <c r="J2734" s="3">
        <v>2</v>
      </c>
      <c r="K2734" s="2">
        <v>2.72</v>
      </c>
    </row>
    <row r="2735" spans="1:11" x14ac:dyDescent="0.35">
      <c r="A2735" s="1">
        <v>42826</v>
      </c>
      <c r="B2735" s="3">
        <f t="shared" si="84"/>
        <v>2017</v>
      </c>
      <c r="C2735" s="3">
        <f t="shared" si="85"/>
        <v>4</v>
      </c>
      <c r="D2735" t="s">
        <v>653</v>
      </c>
      <c r="E2735" t="s">
        <v>45</v>
      </c>
      <c r="F2735" t="s">
        <v>28</v>
      </c>
      <c r="G2735" t="s">
        <v>48</v>
      </c>
      <c r="H2735" t="s">
        <v>368</v>
      </c>
      <c r="I2735" s="2">
        <v>121.68</v>
      </c>
      <c r="J2735" s="3">
        <v>13</v>
      </c>
      <c r="K2735" s="2">
        <v>38.03</v>
      </c>
    </row>
    <row r="2736" spans="1:11" x14ac:dyDescent="0.35">
      <c r="A2736" s="1">
        <v>42826</v>
      </c>
      <c r="B2736" s="3">
        <f t="shared" si="84"/>
        <v>2017</v>
      </c>
      <c r="C2736" s="3">
        <f t="shared" si="85"/>
        <v>4</v>
      </c>
      <c r="D2736" t="s">
        <v>2101</v>
      </c>
      <c r="E2736" t="s">
        <v>45</v>
      </c>
      <c r="F2736" t="s">
        <v>18</v>
      </c>
      <c r="G2736" t="s">
        <v>237</v>
      </c>
      <c r="H2736" t="s">
        <v>1750</v>
      </c>
      <c r="I2736" s="2">
        <v>482.66</v>
      </c>
      <c r="J2736" s="3">
        <v>8</v>
      </c>
      <c r="K2736" s="2">
        <v>85.18</v>
      </c>
    </row>
    <row r="2737" spans="1:11" x14ac:dyDescent="0.35">
      <c r="A2737" s="1">
        <v>42826</v>
      </c>
      <c r="B2737" s="3">
        <f t="shared" si="84"/>
        <v>2017</v>
      </c>
      <c r="C2737" s="3">
        <f t="shared" si="85"/>
        <v>4</v>
      </c>
      <c r="D2737" t="s">
        <v>2101</v>
      </c>
      <c r="E2737" t="s">
        <v>45</v>
      </c>
      <c r="F2737" t="s">
        <v>13</v>
      </c>
      <c r="G2737" t="s">
        <v>204</v>
      </c>
      <c r="H2737" t="s">
        <v>2102</v>
      </c>
      <c r="I2737" s="2">
        <v>4799.9799999999996</v>
      </c>
      <c r="J2737" s="3">
        <v>2</v>
      </c>
      <c r="K2737" s="2">
        <v>360</v>
      </c>
    </row>
    <row r="2738" spans="1:11" x14ac:dyDescent="0.35">
      <c r="A2738" s="1">
        <v>42826</v>
      </c>
      <c r="B2738" s="3">
        <f t="shared" si="84"/>
        <v>2017</v>
      </c>
      <c r="C2738" s="3">
        <f t="shared" si="85"/>
        <v>4</v>
      </c>
      <c r="D2738" t="s">
        <v>2103</v>
      </c>
      <c r="E2738" t="s">
        <v>22</v>
      </c>
      <c r="F2738" t="s">
        <v>28</v>
      </c>
      <c r="G2738" t="s">
        <v>29</v>
      </c>
      <c r="H2738" t="s">
        <v>1412</v>
      </c>
      <c r="I2738" s="2">
        <v>42.93</v>
      </c>
      <c r="J2738" s="3">
        <v>9</v>
      </c>
      <c r="K2738" s="2">
        <v>19.32</v>
      </c>
    </row>
    <row r="2739" spans="1:11" x14ac:dyDescent="0.35">
      <c r="A2739" s="1">
        <v>42826</v>
      </c>
      <c r="B2739" s="3">
        <f t="shared" si="84"/>
        <v>2017</v>
      </c>
      <c r="C2739" s="3">
        <f t="shared" si="85"/>
        <v>4</v>
      </c>
      <c r="D2739" t="s">
        <v>1697</v>
      </c>
      <c r="E2739" t="s">
        <v>77</v>
      </c>
      <c r="F2739" t="s">
        <v>13</v>
      </c>
      <c r="G2739" t="s">
        <v>23</v>
      </c>
      <c r="H2739" t="s">
        <v>2001</v>
      </c>
      <c r="I2739" s="2">
        <v>23.98</v>
      </c>
      <c r="J2739" s="3">
        <v>3</v>
      </c>
      <c r="K2739" s="2">
        <v>-5.69</v>
      </c>
    </row>
    <row r="2740" spans="1:11" x14ac:dyDescent="0.35">
      <c r="A2740" s="1">
        <v>42826</v>
      </c>
      <c r="B2740" s="3">
        <f t="shared" si="84"/>
        <v>2017</v>
      </c>
      <c r="C2740" s="3">
        <f t="shared" si="85"/>
        <v>4</v>
      </c>
      <c r="D2740" t="s">
        <v>1697</v>
      </c>
      <c r="E2740" t="s">
        <v>77</v>
      </c>
      <c r="F2740" t="s">
        <v>28</v>
      </c>
      <c r="G2740" t="s">
        <v>46</v>
      </c>
      <c r="H2740" t="s">
        <v>783</v>
      </c>
      <c r="I2740" s="2">
        <v>6.26</v>
      </c>
      <c r="J2740" s="3">
        <v>3</v>
      </c>
      <c r="K2740" s="2">
        <v>2.04</v>
      </c>
    </row>
    <row r="2741" spans="1:11" x14ac:dyDescent="0.35">
      <c r="A2741" s="1">
        <v>42826</v>
      </c>
      <c r="B2741" s="3">
        <f t="shared" si="84"/>
        <v>2017</v>
      </c>
      <c r="C2741" s="3">
        <f t="shared" si="85"/>
        <v>4</v>
      </c>
      <c r="D2741" t="s">
        <v>1697</v>
      </c>
      <c r="E2741" t="s">
        <v>77</v>
      </c>
      <c r="F2741" t="s">
        <v>28</v>
      </c>
      <c r="G2741" t="s">
        <v>58</v>
      </c>
      <c r="H2741" t="s">
        <v>247</v>
      </c>
      <c r="I2741" s="2">
        <v>20.81</v>
      </c>
      <c r="J2741" s="3">
        <v>3</v>
      </c>
      <c r="K2741" s="2">
        <v>1.82</v>
      </c>
    </row>
    <row r="2742" spans="1:11" x14ac:dyDescent="0.35">
      <c r="A2742" s="1">
        <v>42826</v>
      </c>
      <c r="B2742" s="3">
        <f t="shared" si="84"/>
        <v>2017</v>
      </c>
      <c r="C2742" s="3">
        <f t="shared" si="85"/>
        <v>4</v>
      </c>
      <c r="D2742" t="s">
        <v>1697</v>
      </c>
      <c r="E2742" t="s">
        <v>77</v>
      </c>
      <c r="F2742" t="s">
        <v>18</v>
      </c>
      <c r="G2742" t="s">
        <v>19</v>
      </c>
      <c r="H2742" t="s">
        <v>1115</v>
      </c>
      <c r="I2742" s="2">
        <v>218.35</v>
      </c>
      <c r="J2742" s="3">
        <v>3</v>
      </c>
      <c r="K2742" s="2">
        <v>-19.11</v>
      </c>
    </row>
    <row r="2743" spans="1:11" x14ac:dyDescent="0.35">
      <c r="A2743" s="1">
        <v>42826</v>
      </c>
      <c r="B2743" s="3">
        <f t="shared" si="84"/>
        <v>2017</v>
      </c>
      <c r="C2743" s="3">
        <f t="shared" si="85"/>
        <v>4</v>
      </c>
      <c r="D2743" t="s">
        <v>1292</v>
      </c>
      <c r="E2743" t="s">
        <v>351</v>
      </c>
      <c r="F2743" t="s">
        <v>18</v>
      </c>
      <c r="G2743" t="s">
        <v>36</v>
      </c>
      <c r="H2743" t="s">
        <v>932</v>
      </c>
      <c r="I2743" s="2">
        <v>127.95</v>
      </c>
      <c r="J2743" s="3">
        <v>3</v>
      </c>
      <c r="K2743" s="2">
        <v>21.75</v>
      </c>
    </row>
    <row r="2744" spans="1:11" x14ac:dyDescent="0.35">
      <c r="A2744" s="1">
        <v>42856</v>
      </c>
      <c r="B2744" s="3">
        <f t="shared" si="84"/>
        <v>2017</v>
      </c>
      <c r="C2744" s="3">
        <f t="shared" si="85"/>
        <v>5</v>
      </c>
      <c r="D2744" t="s">
        <v>1940</v>
      </c>
      <c r="E2744" t="s">
        <v>67</v>
      </c>
      <c r="F2744" t="s">
        <v>13</v>
      </c>
      <c r="G2744" t="s">
        <v>14</v>
      </c>
      <c r="H2744" t="s">
        <v>730</v>
      </c>
      <c r="I2744" s="2">
        <v>48.9</v>
      </c>
      <c r="J2744" s="3">
        <v>5</v>
      </c>
      <c r="K2744" s="2">
        <v>18.09</v>
      </c>
    </row>
    <row r="2745" spans="1:11" x14ac:dyDescent="0.35">
      <c r="A2745" s="1">
        <v>42856</v>
      </c>
      <c r="B2745" s="3">
        <f t="shared" si="84"/>
        <v>2017</v>
      </c>
      <c r="C2745" s="3">
        <f t="shared" si="85"/>
        <v>5</v>
      </c>
      <c r="D2745" t="s">
        <v>1772</v>
      </c>
      <c r="E2745" t="s">
        <v>77</v>
      </c>
      <c r="F2745" t="s">
        <v>28</v>
      </c>
      <c r="G2745" t="s">
        <v>215</v>
      </c>
      <c r="H2745" t="s">
        <v>2104</v>
      </c>
      <c r="I2745" s="2">
        <v>3.33</v>
      </c>
      <c r="J2745" s="3">
        <v>2</v>
      </c>
      <c r="K2745" s="2">
        <v>0.42</v>
      </c>
    </row>
    <row r="2746" spans="1:11" x14ac:dyDescent="0.35">
      <c r="A2746" s="1">
        <v>42856</v>
      </c>
      <c r="B2746" s="3">
        <f t="shared" si="84"/>
        <v>2017</v>
      </c>
      <c r="C2746" s="3">
        <f t="shared" si="85"/>
        <v>5</v>
      </c>
      <c r="D2746" t="s">
        <v>1772</v>
      </c>
      <c r="E2746" t="s">
        <v>77</v>
      </c>
      <c r="F2746" t="s">
        <v>18</v>
      </c>
      <c r="G2746" t="s">
        <v>42</v>
      </c>
      <c r="H2746" t="s">
        <v>1516</v>
      </c>
      <c r="I2746" s="2">
        <v>933.26</v>
      </c>
      <c r="J2746" s="3">
        <v>4</v>
      </c>
      <c r="K2746" s="2">
        <v>-458.15</v>
      </c>
    </row>
    <row r="2747" spans="1:11" x14ac:dyDescent="0.35">
      <c r="A2747" s="1">
        <v>42856</v>
      </c>
      <c r="B2747" s="3">
        <f t="shared" si="84"/>
        <v>2017</v>
      </c>
      <c r="C2747" s="3">
        <f t="shared" si="85"/>
        <v>5</v>
      </c>
      <c r="D2747" t="s">
        <v>1772</v>
      </c>
      <c r="E2747" t="s">
        <v>77</v>
      </c>
      <c r="F2747" t="s">
        <v>18</v>
      </c>
      <c r="G2747" t="s">
        <v>19</v>
      </c>
      <c r="H2747" t="s">
        <v>1013</v>
      </c>
      <c r="I2747" s="2">
        <v>2803.92</v>
      </c>
      <c r="J2747" s="3">
        <v>5</v>
      </c>
      <c r="K2747" s="2">
        <v>0</v>
      </c>
    </row>
    <row r="2748" spans="1:11" x14ac:dyDescent="0.35">
      <c r="A2748" s="1">
        <v>42856</v>
      </c>
      <c r="B2748" s="3">
        <f t="shared" si="84"/>
        <v>2017</v>
      </c>
      <c r="C2748" s="3">
        <f t="shared" si="85"/>
        <v>5</v>
      </c>
      <c r="D2748" t="s">
        <v>1283</v>
      </c>
      <c r="E2748" t="s">
        <v>77</v>
      </c>
      <c r="F2748" t="s">
        <v>18</v>
      </c>
      <c r="G2748" t="s">
        <v>237</v>
      </c>
      <c r="H2748" t="s">
        <v>1975</v>
      </c>
      <c r="I2748" s="2">
        <v>314.35000000000002</v>
      </c>
      <c r="J2748" s="3">
        <v>3</v>
      </c>
      <c r="K2748" s="2">
        <v>-15.72</v>
      </c>
    </row>
    <row r="2749" spans="1:11" x14ac:dyDescent="0.35">
      <c r="A2749" s="1">
        <v>42856</v>
      </c>
      <c r="B2749" s="3">
        <f t="shared" si="84"/>
        <v>2017</v>
      </c>
      <c r="C2749" s="3">
        <f t="shared" si="85"/>
        <v>5</v>
      </c>
      <c r="D2749" t="s">
        <v>1283</v>
      </c>
      <c r="E2749" t="s">
        <v>77</v>
      </c>
      <c r="F2749" t="s">
        <v>28</v>
      </c>
      <c r="G2749" t="s">
        <v>46</v>
      </c>
      <c r="H2749" t="s">
        <v>741</v>
      </c>
      <c r="I2749" s="2">
        <v>4.6100000000000003</v>
      </c>
      <c r="J2749" s="3">
        <v>2</v>
      </c>
      <c r="K2749" s="2">
        <v>1.5</v>
      </c>
    </row>
    <row r="2750" spans="1:11" x14ac:dyDescent="0.35">
      <c r="A2750" s="1">
        <v>42887</v>
      </c>
      <c r="B2750" s="3">
        <f t="shared" si="84"/>
        <v>2017</v>
      </c>
      <c r="C2750" s="3">
        <f t="shared" si="85"/>
        <v>6</v>
      </c>
      <c r="D2750" t="s">
        <v>1150</v>
      </c>
      <c r="E2750" t="s">
        <v>131</v>
      </c>
      <c r="F2750" t="s">
        <v>28</v>
      </c>
      <c r="G2750" t="s">
        <v>58</v>
      </c>
      <c r="H2750" t="s">
        <v>2105</v>
      </c>
      <c r="I2750" s="2">
        <v>17.48</v>
      </c>
      <c r="J2750" s="3">
        <v>5</v>
      </c>
      <c r="K2750" s="2">
        <v>1.31</v>
      </c>
    </row>
    <row r="2751" spans="1:11" x14ac:dyDescent="0.35">
      <c r="A2751" s="1">
        <v>42887</v>
      </c>
      <c r="B2751" s="3">
        <f t="shared" si="84"/>
        <v>2017</v>
      </c>
      <c r="C2751" s="3">
        <f t="shared" si="85"/>
        <v>6</v>
      </c>
      <c r="D2751" t="s">
        <v>2106</v>
      </c>
      <c r="E2751" t="s">
        <v>131</v>
      </c>
      <c r="F2751" t="s">
        <v>28</v>
      </c>
      <c r="G2751" t="s">
        <v>48</v>
      </c>
      <c r="H2751" t="s">
        <v>266</v>
      </c>
      <c r="I2751" s="2">
        <v>3.8</v>
      </c>
      <c r="J2751" s="3">
        <v>2</v>
      </c>
      <c r="K2751" s="2">
        <v>-2.66</v>
      </c>
    </row>
    <row r="2752" spans="1:11" x14ac:dyDescent="0.35">
      <c r="A2752" s="1">
        <v>42887</v>
      </c>
      <c r="B2752" s="3">
        <f t="shared" si="84"/>
        <v>2017</v>
      </c>
      <c r="C2752" s="3">
        <f t="shared" si="85"/>
        <v>6</v>
      </c>
      <c r="D2752" t="s">
        <v>2106</v>
      </c>
      <c r="E2752" t="s">
        <v>131</v>
      </c>
      <c r="F2752" t="s">
        <v>28</v>
      </c>
      <c r="G2752" t="s">
        <v>29</v>
      </c>
      <c r="H2752" t="s">
        <v>2032</v>
      </c>
      <c r="I2752" s="2">
        <v>27.74</v>
      </c>
      <c r="J2752" s="3">
        <v>6</v>
      </c>
      <c r="K2752" s="2">
        <v>10.06</v>
      </c>
    </row>
    <row r="2753" spans="1:11" x14ac:dyDescent="0.35">
      <c r="A2753" s="1">
        <v>42887</v>
      </c>
      <c r="B2753" s="3">
        <f t="shared" si="84"/>
        <v>2017</v>
      </c>
      <c r="C2753" s="3">
        <f t="shared" si="85"/>
        <v>6</v>
      </c>
      <c r="D2753" t="s">
        <v>2106</v>
      </c>
      <c r="E2753" t="s">
        <v>131</v>
      </c>
      <c r="F2753" t="s">
        <v>13</v>
      </c>
      <c r="G2753" t="s">
        <v>23</v>
      </c>
      <c r="H2753" t="s">
        <v>1212</v>
      </c>
      <c r="I2753" s="2">
        <v>158.38</v>
      </c>
      <c r="J2753" s="3">
        <v>4</v>
      </c>
      <c r="K2753" s="2">
        <v>-34.31</v>
      </c>
    </row>
    <row r="2754" spans="1:11" x14ac:dyDescent="0.35">
      <c r="A2754" s="1">
        <v>42887</v>
      </c>
      <c r="B2754" s="3">
        <f t="shared" ref="B2754:B2817" si="86">YEAR(A2754)</f>
        <v>2017</v>
      </c>
      <c r="C2754" s="3">
        <f t="shared" ref="C2754:C2817" si="87">MONTH(A2754)</f>
        <v>6</v>
      </c>
      <c r="D2754" t="s">
        <v>1664</v>
      </c>
      <c r="E2754" t="s">
        <v>334</v>
      </c>
      <c r="F2754" t="s">
        <v>28</v>
      </c>
      <c r="G2754" t="s">
        <v>48</v>
      </c>
      <c r="H2754" t="s">
        <v>350</v>
      </c>
      <c r="I2754" s="2">
        <v>53.9</v>
      </c>
      <c r="J2754" s="3">
        <v>5</v>
      </c>
      <c r="K2754" s="2">
        <v>25.87</v>
      </c>
    </row>
    <row r="2755" spans="1:11" x14ac:dyDescent="0.35">
      <c r="A2755" s="1">
        <v>42887</v>
      </c>
      <c r="B2755" s="3">
        <f t="shared" si="86"/>
        <v>2017</v>
      </c>
      <c r="C2755" s="3">
        <f t="shared" si="87"/>
        <v>6</v>
      </c>
      <c r="D2755" t="s">
        <v>1575</v>
      </c>
      <c r="E2755" t="s">
        <v>89</v>
      </c>
      <c r="F2755" t="s">
        <v>28</v>
      </c>
      <c r="G2755" t="s">
        <v>38</v>
      </c>
      <c r="H2755" t="s">
        <v>2067</v>
      </c>
      <c r="I2755" s="2">
        <v>324.74</v>
      </c>
      <c r="J2755" s="3">
        <v>3</v>
      </c>
      <c r="K2755" s="2">
        <v>-77.13</v>
      </c>
    </row>
    <row r="2756" spans="1:11" x14ac:dyDescent="0.35">
      <c r="A2756" s="1">
        <v>42887</v>
      </c>
      <c r="B2756" s="3">
        <f t="shared" si="86"/>
        <v>2017</v>
      </c>
      <c r="C2756" s="3">
        <f t="shared" si="87"/>
        <v>6</v>
      </c>
      <c r="D2756" t="s">
        <v>2107</v>
      </c>
      <c r="E2756" t="s">
        <v>575</v>
      </c>
      <c r="F2756" t="s">
        <v>18</v>
      </c>
      <c r="G2756" t="s">
        <v>19</v>
      </c>
      <c r="H2756" t="s">
        <v>149</v>
      </c>
      <c r="I2756" s="2">
        <v>1925.88</v>
      </c>
      <c r="J2756" s="3">
        <v>6</v>
      </c>
      <c r="K2756" s="2">
        <v>539.25</v>
      </c>
    </row>
    <row r="2757" spans="1:11" x14ac:dyDescent="0.35">
      <c r="A2757" s="1">
        <v>42887</v>
      </c>
      <c r="B2757" s="3">
        <f t="shared" si="86"/>
        <v>2017</v>
      </c>
      <c r="C2757" s="3">
        <f t="shared" si="87"/>
        <v>6</v>
      </c>
      <c r="D2757" t="s">
        <v>2107</v>
      </c>
      <c r="E2757" t="s">
        <v>575</v>
      </c>
      <c r="F2757" t="s">
        <v>28</v>
      </c>
      <c r="G2757" t="s">
        <v>58</v>
      </c>
      <c r="H2757" t="s">
        <v>59</v>
      </c>
      <c r="I2757" s="2">
        <v>2405.1999999999998</v>
      </c>
      <c r="J2757" s="3">
        <v>8</v>
      </c>
      <c r="K2757" s="2">
        <v>793.72</v>
      </c>
    </row>
    <row r="2758" spans="1:11" x14ac:dyDescent="0.35">
      <c r="A2758" s="1">
        <v>42887</v>
      </c>
      <c r="B2758" s="3">
        <f t="shared" si="86"/>
        <v>2017</v>
      </c>
      <c r="C2758" s="3">
        <f t="shared" si="87"/>
        <v>6</v>
      </c>
      <c r="D2758" t="s">
        <v>2107</v>
      </c>
      <c r="E2758" t="s">
        <v>575</v>
      </c>
      <c r="F2758" t="s">
        <v>13</v>
      </c>
      <c r="G2758" t="s">
        <v>14</v>
      </c>
      <c r="H2758" t="s">
        <v>2108</v>
      </c>
      <c r="I2758" s="2">
        <v>83.97</v>
      </c>
      <c r="J2758" s="3">
        <v>3</v>
      </c>
      <c r="K2758" s="2">
        <v>15.95</v>
      </c>
    </row>
    <row r="2759" spans="1:11" x14ac:dyDescent="0.35">
      <c r="A2759" s="1">
        <v>42887</v>
      </c>
      <c r="B2759" s="3">
        <f t="shared" si="86"/>
        <v>2017</v>
      </c>
      <c r="C2759" s="3">
        <f t="shared" si="87"/>
        <v>6</v>
      </c>
      <c r="D2759" t="s">
        <v>2107</v>
      </c>
      <c r="E2759" t="s">
        <v>575</v>
      </c>
      <c r="F2759" t="s">
        <v>13</v>
      </c>
      <c r="G2759" t="s">
        <v>14</v>
      </c>
      <c r="H2759" t="s">
        <v>1707</v>
      </c>
      <c r="I2759" s="2">
        <v>39.89</v>
      </c>
      <c r="J2759" s="3">
        <v>1</v>
      </c>
      <c r="K2759" s="2">
        <v>14.76</v>
      </c>
    </row>
    <row r="2760" spans="1:11" x14ac:dyDescent="0.35">
      <c r="A2760" s="1">
        <v>42887</v>
      </c>
      <c r="B2760" s="3">
        <f t="shared" si="86"/>
        <v>2017</v>
      </c>
      <c r="C2760" s="3">
        <f t="shared" si="87"/>
        <v>6</v>
      </c>
      <c r="D2760" t="s">
        <v>2107</v>
      </c>
      <c r="E2760" t="s">
        <v>575</v>
      </c>
      <c r="F2760" t="s">
        <v>28</v>
      </c>
      <c r="G2760" t="s">
        <v>48</v>
      </c>
      <c r="H2760" t="s">
        <v>1269</v>
      </c>
      <c r="I2760" s="2">
        <v>17.38</v>
      </c>
      <c r="J2760" s="3">
        <v>2</v>
      </c>
      <c r="K2760" s="2">
        <v>8.69</v>
      </c>
    </row>
    <row r="2761" spans="1:11" x14ac:dyDescent="0.35">
      <c r="A2761" s="1">
        <v>42917</v>
      </c>
      <c r="B2761" s="3">
        <f t="shared" si="86"/>
        <v>2017</v>
      </c>
      <c r="C2761" s="3">
        <f t="shared" si="87"/>
        <v>7</v>
      </c>
      <c r="D2761" t="s">
        <v>2010</v>
      </c>
      <c r="E2761" t="s">
        <v>575</v>
      </c>
      <c r="F2761" t="s">
        <v>28</v>
      </c>
      <c r="G2761" t="s">
        <v>38</v>
      </c>
      <c r="H2761" t="s">
        <v>108</v>
      </c>
      <c r="I2761" s="2">
        <v>443.92</v>
      </c>
      <c r="J2761" s="3">
        <v>4</v>
      </c>
      <c r="K2761" s="2">
        <v>13.32</v>
      </c>
    </row>
    <row r="2762" spans="1:11" x14ac:dyDescent="0.35">
      <c r="A2762" s="1">
        <v>42917</v>
      </c>
      <c r="B2762" s="3">
        <f t="shared" si="86"/>
        <v>2017</v>
      </c>
      <c r="C2762" s="3">
        <f t="shared" si="87"/>
        <v>7</v>
      </c>
      <c r="D2762" t="s">
        <v>2010</v>
      </c>
      <c r="E2762" t="s">
        <v>575</v>
      </c>
      <c r="F2762" t="s">
        <v>28</v>
      </c>
      <c r="G2762" t="s">
        <v>48</v>
      </c>
      <c r="H2762" t="s">
        <v>1867</v>
      </c>
      <c r="I2762" s="2">
        <v>169.99</v>
      </c>
      <c r="J2762" s="3">
        <v>1</v>
      </c>
      <c r="K2762" s="2">
        <v>78.2</v>
      </c>
    </row>
    <row r="2763" spans="1:11" x14ac:dyDescent="0.35">
      <c r="A2763" s="1">
        <v>42917</v>
      </c>
      <c r="B2763" s="3">
        <f t="shared" si="86"/>
        <v>2017</v>
      </c>
      <c r="C2763" s="3">
        <f t="shared" si="87"/>
        <v>7</v>
      </c>
      <c r="D2763" t="s">
        <v>2010</v>
      </c>
      <c r="E2763" t="s">
        <v>575</v>
      </c>
      <c r="F2763" t="s">
        <v>28</v>
      </c>
      <c r="G2763" t="s">
        <v>29</v>
      </c>
      <c r="H2763" t="s">
        <v>612</v>
      </c>
      <c r="I2763" s="2">
        <v>25.92</v>
      </c>
      <c r="J2763" s="3">
        <v>4</v>
      </c>
      <c r="K2763" s="2">
        <v>12.44</v>
      </c>
    </row>
    <row r="2764" spans="1:11" x14ac:dyDescent="0.35">
      <c r="A2764" s="1">
        <v>42948</v>
      </c>
      <c r="B2764" s="3">
        <f t="shared" si="86"/>
        <v>2017</v>
      </c>
      <c r="C2764" s="3">
        <f t="shared" si="87"/>
        <v>8</v>
      </c>
      <c r="D2764" t="s">
        <v>325</v>
      </c>
      <c r="E2764" t="s">
        <v>26</v>
      </c>
      <c r="F2764" t="s">
        <v>13</v>
      </c>
      <c r="G2764" t="s">
        <v>23</v>
      </c>
      <c r="H2764" t="s">
        <v>704</v>
      </c>
      <c r="I2764" s="2">
        <v>95.98</v>
      </c>
      <c r="J2764" s="3">
        <v>2</v>
      </c>
      <c r="K2764" s="2">
        <v>6</v>
      </c>
    </row>
    <row r="2765" spans="1:11" x14ac:dyDescent="0.35">
      <c r="A2765" s="1">
        <v>42948</v>
      </c>
      <c r="B2765" s="3">
        <f t="shared" si="86"/>
        <v>2017</v>
      </c>
      <c r="C2765" s="3">
        <f t="shared" si="87"/>
        <v>8</v>
      </c>
      <c r="D2765" t="s">
        <v>2109</v>
      </c>
      <c r="E2765" t="s">
        <v>81</v>
      </c>
      <c r="F2765" t="s">
        <v>13</v>
      </c>
      <c r="G2765" t="s">
        <v>23</v>
      </c>
      <c r="H2765" t="s">
        <v>1847</v>
      </c>
      <c r="I2765" s="2">
        <v>271.95999999999998</v>
      </c>
      <c r="J2765" s="3">
        <v>5</v>
      </c>
      <c r="K2765" s="2">
        <v>17</v>
      </c>
    </row>
    <row r="2766" spans="1:11" x14ac:dyDescent="0.35">
      <c r="A2766" s="1">
        <v>42948</v>
      </c>
      <c r="B2766" s="3">
        <f t="shared" si="86"/>
        <v>2017</v>
      </c>
      <c r="C2766" s="3">
        <f t="shared" si="87"/>
        <v>8</v>
      </c>
      <c r="D2766" t="s">
        <v>2110</v>
      </c>
      <c r="E2766" t="s">
        <v>32</v>
      </c>
      <c r="F2766" t="s">
        <v>13</v>
      </c>
      <c r="G2766" t="s">
        <v>204</v>
      </c>
      <c r="H2766" t="s">
        <v>1916</v>
      </c>
      <c r="I2766" s="2">
        <v>1439.98</v>
      </c>
      <c r="J2766" s="3">
        <v>3</v>
      </c>
      <c r="K2766" s="2">
        <v>-264</v>
      </c>
    </row>
    <row r="2767" spans="1:11" x14ac:dyDescent="0.35">
      <c r="A2767" s="1">
        <v>42948</v>
      </c>
      <c r="B2767" s="3">
        <f t="shared" si="86"/>
        <v>2017</v>
      </c>
      <c r="C2767" s="3">
        <f t="shared" si="87"/>
        <v>8</v>
      </c>
      <c r="D2767" t="s">
        <v>2110</v>
      </c>
      <c r="E2767" t="s">
        <v>32</v>
      </c>
      <c r="F2767" t="s">
        <v>28</v>
      </c>
      <c r="G2767" t="s">
        <v>29</v>
      </c>
      <c r="H2767" t="s">
        <v>2111</v>
      </c>
      <c r="I2767" s="2">
        <v>36.29</v>
      </c>
      <c r="J2767" s="3">
        <v>7</v>
      </c>
      <c r="K2767" s="2">
        <v>12.7</v>
      </c>
    </row>
    <row r="2768" spans="1:11" x14ac:dyDescent="0.35">
      <c r="A2768" s="1">
        <v>42948</v>
      </c>
      <c r="B2768" s="3">
        <f t="shared" si="86"/>
        <v>2017</v>
      </c>
      <c r="C2768" s="3">
        <f t="shared" si="87"/>
        <v>8</v>
      </c>
      <c r="D2768" t="s">
        <v>839</v>
      </c>
      <c r="E2768" t="s">
        <v>45</v>
      </c>
      <c r="F2768" t="s">
        <v>28</v>
      </c>
      <c r="G2768" t="s">
        <v>48</v>
      </c>
      <c r="H2768" t="s">
        <v>1217</v>
      </c>
      <c r="I2768" s="2">
        <v>54.9</v>
      </c>
      <c r="J2768" s="3">
        <v>2</v>
      </c>
      <c r="K2768" s="2">
        <v>18.53</v>
      </c>
    </row>
    <row r="2769" spans="1:11" x14ac:dyDescent="0.35">
      <c r="A2769" s="1">
        <v>42948</v>
      </c>
      <c r="B2769" s="3">
        <f t="shared" si="86"/>
        <v>2017</v>
      </c>
      <c r="C2769" s="3">
        <f t="shared" si="87"/>
        <v>8</v>
      </c>
      <c r="D2769" t="s">
        <v>1066</v>
      </c>
      <c r="E2769" t="s">
        <v>45</v>
      </c>
      <c r="F2769" t="s">
        <v>28</v>
      </c>
      <c r="G2769" t="s">
        <v>38</v>
      </c>
      <c r="H2769" t="s">
        <v>1830</v>
      </c>
      <c r="I2769" s="2">
        <v>186.54</v>
      </c>
      <c r="J2769" s="3">
        <v>3</v>
      </c>
      <c r="K2769" s="2">
        <v>50.37</v>
      </c>
    </row>
    <row r="2770" spans="1:11" x14ac:dyDescent="0.35">
      <c r="A2770" s="1">
        <v>42979</v>
      </c>
      <c r="B2770" s="3">
        <f t="shared" si="86"/>
        <v>2017</v>
      </c>
      <c r="C2770" s="3">
        <f t="shared" si="87"/>
        <v>9</v>
      </c>
      <c r="D2770" t="s">
        <v>2112</v>
      </c>
      <c r="E2770" t="s">
        <v>22</v>
      </c>
      <c r="F2770" t="s">
        <v>18</v>
      </c>
      <c r="G2770" t="s">
        <v>36</v>
      </c>
      <c r="H2770" t="s">
        <v>2113</v>
      </c>
      <c r="I2770" s="2">
        <v>114.9</v>
      </c>
      <c r="J2770" s="3">
        <v>5</v>
      </c>
      <c r="K2770" s="2">
        <v>39.07</v>
      </c>
    </row>
    <row r="2771" spans="1:11" x14ac:dyDescent="0.35">
      <c r="A2771" s="1">
        <v>42979</v>
      </c>
      <c r="B2771" s="3">
        <f t="shared" si="86"/>
        <v>2017</v>
      </c>
      <c r="C2771" s="3">
        <f t="shared" si="87"/>
        <v>9</v>
      </c>
      <c r="D2771" t="s">
        <v>2114</v>
      </c>
      <c r="E2771" t="s">
        <v>17</v>
      </c>
      <c r="F2771" t="s">
        <v>13</v>
      </c>
      <c r="G2771" t="s">
        <v>14</v>
      </c>
      <c r="H2771" t="s">
        <v>1581</v>
      </c>
      <c r="I2771" s="2">
        <v>19.989999999999998</v>
      </c>
      <c r="J2771" s="3">
        <v>1</v>
      </c>
      <c r="K2771" s="2">
        <v>6.8</v>
      </c>
    </row>
    <row r="2772" spans="1:11" x14ac:dyDescent="0.35">
      <c r="A2772" s="1">
        <v>42979</v>
      </c>
      <c r="B2772" s="3">
        <f t="shared" si="86"/>
        <v>2017</v>
      </c>
      <c r="C2772" s="3">
        <f t="shared" si="87"/>
        <v>9</v>
      </c>
      <c r="D2772" t="s">
        <v>2114</v>
      </c>
      <c r="E2772" t="s">
        <v>17</v>
      </c>
      <c r="F2772" t="s">
        <v>28</v>
      </c>
      <c r="G2772" t="s">
        <v>48</v>
      </c>
      <c r="H2772" t="s">
        <v>2115</v>
      </c>
      <c r="I2772" s="2">
        <v>22.92</v>
      </c>
      <c r="J2772" s="3">
        <v>5</v>
      </c>
      <c r="K2772" s="2">
        <v>8.02</v>
      </c>
    </row>
    <row r="2773" spans="1:11" x14ac:dyDescent="0.35">
      <c r="A2773" s="1">
        <v>42979</v>
      </c>
      <c r="B2773" s="3">
        <f t="shared" si="86"/>
        <v>2017</v>
      </c>
      <c r="C2773" s="3">
        <f t="shared" si="87"/>
        <v>9</v>
      </c>
      <c r="D2773" t="s">
        <v>179</v>
      </c>
      <c r="E2773" t="s">
        <v>17</v>
      </c>
      <c r="F2773" t="s">
        <v>28</v>
      </c>
      <c r="G2773" t="s">
        <v>64</v>
      </c>
      <c r="H2773" t="s">
        <v>1542</v>
      </c>
      <c r="I2773" s="2">
        <v>7.58</v>
      </c>
      <c r="J2773" s="3">
        <v>1</v>
      </c>
      <c r="K2773" s="2">
        <v>2.96</v>
      </c>
    </row>
    <row r="2774" spans="1:11" x14ac:dyDescent="0.35">
      <c r="A2774" s="1">
        <v>42979</v>
      </c>
      <c r="B2774" s="3">
        <f t="shared" si="86"/>
        <v>2017</v>
      </c>
      <c r="C2774" s="3">
        <f t="shared" si="87"/>
        <v>9</v>
      </c>
      <c r="D2774" t="s">
        <v>1598</v>
      </c>
      <c r="E2774" t="s">
        <v>71</v>
      </c>
      <c r="F2774" t="s">
        <v>18</v>
      </c>
      <c r="G2774" t="s">
        <v>19</v>
      </c>
      <c r="H2774" t="s">
        <v>1865</v>
      </c>
      <c r="I2774" s="2">
        <v>498.26</v>
      </c>
      <c r="J2774" s="3">
        <v>7</v>
      </c>
      <c r="K2774" s="2">
        <v>134.53</v>
      </c>
    </row>
    <row r="2775" spans="1:11" x14ac:dyDescent="0.35">
      <c r="A2775" s="1">
        <v>42979</v>
      </c>
      <c r="B2775" s="3">
        <f t="shared" si="86"/>
        <v>2017</v>
      </c>
      <c r="C2775" s="3">
        <f t="shared" si="87"/>
        <v>9</v>
      </c>
      <c r="D2775" t="s">
        <v>1161</v>
      </c>
      <c r="E2775" t="s">
        <v>17</v>
      </c>
      <c r="F2775" t="s">
        <v>28</v>
      </c>
      <c r="G2775" t="s">
        <v>58</v>
      </c>
      <c r="H2775" t="s">
        <v>84</v>
      </c>
      <c r="I2775" s="2">
        <v>314.60000000000002</v>
      </c>
      <c r="J2775" s="3">
        <v>4</v>
      </c>
      <c r="K2775" s="2">
        <v>103.82</v>
      </c>
    </row>
    <row r="2776" spans="1:11" x14ac:dyDescent="0.35">
      <c r="A2776" s="1">
        <v>42979</v>
      </c>
      <c r="B2776" s="3">
        <f t="shared" si="86"/>
        <v>2017</v>
      </c>
      <c r="C2776" s="3">
        <f t="shared" si="87"/>
        <v>9</v>
      </c>
      <c r="D2776" t="s">
        <v>1161</v>
      </c>
      <c r="E2776" t="s">
        <v>17</v>
      </c>
      <c r="F2776" t="s">
        <v>18</v>
      </c>
      <c r="G2776" t="s">
        <v>42</v>
      </c>
      <c r="H2776" t="s">
        <v>1489</v>
      </c>
      <c r="I2776" s="2">
        <v>283.56</v>
      </c>
      <c r="J2776" s="3">
        <v>4</v>
      </c>
      <c r="K2776" s="2">
        <v>45.37</v>
      </c>
    </row>
    <row r="2777" spans="1:11" x14ac:dyDescent="0.35">
      <c r="A2777" s="1">
        <v>43009</v>
      </c>
      <c r="B2777" s="3">
        <f t="shared" si="86"/>
        <v>2017</v>
      </c>
      <c r="C2777" s="3">
        <f t="shared" si="87"/>
        <v>10</v>
      </c>
      <c r="D2777" t="s">
        <v>110</v>
      </c>
      <c r="E2777" t="s">
        <v>32</v>
      </c>
      <c r="F2777" t="s">
        <v>28</v>
      </c>
      <c r="G2777" t="s">
        <v>64</v>
      </c>
      <c r="H2777" t="s">
        <v>2116</v>
      </c>
      <c r="I2777" s="2">
        <v>6.67</v>
      </c>
      <c r="J2777" s="3">
        <v>6</v>
      </c>
      <c r="K2777" s="2">
        <v>0.5</v>
      </c>
    </row>
    <row r="2778" spans="1:11" x14ac:dyDescent="0.35">
      <c r="A2778" s="1">
        <v>43009</v>
      </c>
      <c r="B2778" s="3">
        <f t="shared" si="86"/>
        <v>2017</v>
      </c>
      <c r="C2778" s="3">
        <f t="shared" si="87"/>
        <v>10</v>
      </c>
      <c r="D2778" t="s">
        <v>1818</v>
      </c>
      <c r="E2778" t="s">
        <v>17</v>
      </c>
      <c r="F2778" t="s">
        <v>28</v>
      </c>
      <c r="G2778" t="s">
        <v>29</v>
      </c>
      <c r="H2778" t="s">
        <v>2117</v>
      </c>
      <c r="I2778" s="2">
        <v>91.84</v>
      </c>
      <c r="J2778" s="3">
        <v>8</v>
      </c>
      <c r="K2778" s="2">
        <v>45</v>
      </c>
    </row>
    <row r="2779" spans="1:11" x14ac:dyDescent="0.35">
      <c r="A2779" s="1">
        <v>43009</v>
      </c>
      <c r="B2779" s="3">
        <f t="shared" si="86"/>
        <v>2017</v>
      </c>
      <c r="C2779" s="3">
        <f t="shared" si="87"/>
        <v>10</v>
      </c>
      <c r="D2779" t="s">
        <v>1818</v>
      </c>
      <c r="E2779" t="s">
        <v>17</v>
      </c>
      <c r="F2779" t="s">
        <v>28</v>
      </c>
      <c r="G2779" t="s">
        <v>48</v>
      </c>
      <c r="H2779" t="s">
        <v>1302</v>
      </c>
      <c r="I2779" s="2">
        <v>81.09</v>
      </c>
      <c r="J2779" s="3">
        <v>7</v>
      </c>
      <c r="K2779" s="2">
        <v>27.37</v>
      </c>
    </row>
    <row r="2780" spans="1:11" x14ac:dyDescent="0.35">
      <c r="A2780" s="1">
        <v>43009</v>
      </c>
      <c r="B2780" s="3">
        <f t="shared" si="86"/>
        <v>2017</v>
      </c>
      <c r="C2780" s="3">
        <f t="shared" si="87"/>
        <v>10</v>
      </c>
      <c r="D2780" t="s">
        <v>1818</v>
      </c>
      <c r="E2780" t="s">
        <v>17</v>
      </c>
      <c r="F2780" t="s">
        <v>28</v>
      </c>
      <c r="G2780" t="s">
        <v>29</v>
      </c>
      <c r="H2780" t="s">
        <v>1561</v>
      </c>
      <c r="I2780" s="2">
        <v>19.440000000000001</v>
      </c>
      <c r="J2780" s="3">
        <v>3</v>
      </c>
      <c r="K2780" s="2">
        <v>9.33</v>
      </c>
    </row>
    <row r="2781" spans="1:11" x14ac:dyDescent="0.35">
      <c r="A2781" s="1">
        <v>43009</v>
      </c>
      <c r="B2781" s="3">
        <f t="shared" si="86"/>
        <v>2017</v>
      </c>
      <c r="C2781" s="3">
        <f t="shared" si="87"/>
        <v>10</v>
      </c>
      <c r="D2781" t="s">
        <v>1818</v>
      </c>
      <c r="E2781" t="s">
        <v>17</v>
      </c>
      <c r="F2781" t="s">
        <v>18</v>
      </c>
      <c r="G2781" t="s">
        <v>19</v>
      </c>
      <c r="H2781" t="s">
        <v>866</v>
      </c>
      <c r="I2781" s="2">
        <v>451.15</v>
      </c>
      <c r="J2781" s="3">
        <v>3</v>
      </c>
      <c r="K2781" s="2">
        <v>0</v>
      </c>
    </row>
    <row r="2782" spans="1:11" x14ac:dyDescent="0.35">
      <c r="A2782" s="1">
        <v>43009</v>
      </c>
      <c r="B2782" s="3">
        <f t="shared" si="86"/>
        <v>2017</v>
      </c>
      <c r="C2782" s="3">
        <f t="shared" si="87"/>
        <v>10</v>
      </c>
      <c r="D2782" t="s">
        <v>2118</v>
      </c>
      <c r="E2782" t="s">
        <v>45</v>
      </c>
      <c r="F2782" t="s">
        <v>28</v>
      </c>
      <c r="G2782" t="s">
        <v>48</v>
      </c>
      <c r="H2782" t="s">
        <v>2098</v>
      </c>
      <c r="I2782" s="2">
        <v>1.44</v>
      </c>
      <c r="J2782" s="3">
        <v>1</v>
      </c>
      <c r="K2782" s="2">
        <v>0.5</v>
      </c>
    </row>
    <row r="2783" spans="1:11" x14ac:dyDescent="0.35">
      <c r="A2783" s="1">
        <v>43009</v>
      </c>
      <c r="B2783" s="3">
        <f t="shared" si="86"/>
        <v>2017</v>
      </c>
      <c r="C2783" s="3">
        <f t="shared" si="87"/>
        <v>10</v>
      </c>
      <c r="D2783" t="s">
        <v>2118</v>
      </c>
      <c r="E2783" t="s">
        <v>45</v>
      </c>
      <c r="F2783" t="s">
        <v>28</v>
      </c>
      <c r="G2783" t="s">
        <v>48</v>
      </c>
      <c r="H2783" t="s">
        <v>454</v>
      </c>
      <c r="I2783" s="2">
        <v>61.78</v>
      </c>
      <c r="J2783" s="3">
        <v>13</v>
      </c>
      <c r="K2783" s="2">
        <v>20.85</v>
      </c>
    </row>
    <row r="2784" spans="1:11" x14ac:dyDescent="0.35">
      <c r="A2784" s="1">
        <v>43009</v>
      </c>
      <c r="B2784" s="3">
        <f t="shared" si="86"/>
        <v>2017</v>
      </c>
      <c r="C2784" s="3">
        <f t="shared" si="87"/>
        <v>10</v>
      </c>
      <c r="D2784" t="s">
        <v>2118</v>
      </c>
      <c r="E2784" t="s">
        <v>45</v>
      </c>
      <c r="F2784" t="s">
        <v>28</v>
      </c>
      <c r="G2784" t="s">
        <v>58</v>
      </c>
      <c r="H2784" t="s">
        <v>1293</v>
      </c>
      <c r="I2784" s="2">
        <v>241.96</v>
      </c>
      <c r="J2784" s="3">
        <v>2</v>
      </c>
      <c r="K2784" s="2">
        <v>60.49</v>
      </c>
    </row>
    <row r="2785" spans="1:11" x14ac:dyDescent="0.35">
      <c r="A2785" s="1">
        <v>43009</v>
      </c>
      <c r="B2785" s="3">
        <f t="shared" si="86"/>
        <v>2017</v>
      </c>
      <c r="C2785" s="3">
        <f t="shared" si="87"/>
        <v>10</v>
      </c>
      <c r="D2785" t="s">
        <v>2118</v>
      </c>
      <c r="E2785" t="s">
        <v>45</v>
      </c>
      <c r="F2785" t="s">
        <v>18</v>
      </c>
      <c r="G2785" t="s">
        <v>19</v>
      </c>
      <c r="H2785" t="s">
        <v>1380</v>
      </c>
      <c r="I2785" s="2">
        <v>108.61</v>
      </c>
      <c r="J2785" s="3">
        <v>4</v>
      </c>
      <c r="K2785" s="2">
        <v>9.5</v>
      </c>
    </row>
    <row r="2786" spans="1:11" x14ac:dyDescent="0.35">
      <c r="A2786" s="1">
        <v>43009</v>
      </c>
      <c r="B2786" s="3">
        <f t="shared" si="86"/>
        <v>2017</v>
      </c>
      <c r="C2786" s="3">
        <f t="shared" si="87"/>
        <v>10</v>
      </c>
      <c r="D2786" t="s">
        <v>1196</v>
      </c>
      <c r="E2786" t="s">
        <v>22</v>
      </c>
      <c r="F2786" t="s">
        <v>13</v>
      </c>
      <c r="G2786" t="s">
        <v>204</v>
      </c>
      <c r="H2786" t="s">
        <v>1480</v>
      </c>
      <c r="I2786" s="2">
        <v>1704.89</v>
      </c>
      <c r="J2786" s="3">
        <v>11</v>
      </c>
      <c r="K2786" s="2">
        <v>767.2</v>
      </c>
    </row>
    <row r="2787" spans="1:11" x14ac:dyDescent="0.35">
      <c r="A2787" s="1">
        <v>43009</v>
      </c>
      <c r="B2787" s="3">
        <f t="shared" si="86"/>
        <v>2017</v>
      </c>
      <c r="C2787" s="3">
        <f t="shared" si="87"/>
        <v>10</v>
      </c>
      <c r="D2787" t="s">
        <v>1101</v>
      </c>
      <c r="E2787" t="s">
        <v>334</v>
      </c>
      <c r="F2787" t="s">
        <v>28</v>
      </c>
      <c r="G2787" t="s">
        <v>29</v>
      </c>
      <c r="H2787" t="s">
        <v>1822</v>
      </c>
      <c r="I2787" s="2">
        <v>104.85</v>
      </c>
      <c r="J2787" s="3">
        <v>1</v>
      </c>
      <c r="K2787" s="2">
        <v>50.33</v>
      </c>
    </row>
    <row r="2788" spans="1:11" x14ac:dyDescent="0.35">
      <c r="A2788" s="1">
        <v>43009</v>
      </c>
      <c r="B2788" s="3">
        <f t="shared" si="86"/>
        <v>2017</v>
      </c>
      <c r="C2788" s="3">
        <f t="shared" si="87"/>
        <v>10</v>
      </c>
      <c r="D2788" t="s">
        <v>848</v>
      </c>
      <c r="E2788" t="s">
        <v>45</v>
      </c>
      <c r="F2788" t="s">
        <v>13</v>
      </c>
      <c r="G2788" t="s">
        <v>14</v>
      </c>
      <c r="H2788" t="s">
        <v>2119</v>
      </c>
      <c r="I2788" s="2">
        <v>104.75</v>
      </c>
      <c r="J2788" s="3">
        <v>5</v>
      </c>
      <c r="K2788" s="2">
        <v>22</v>
      </c>
    </row>
    <row r="2789" spans="1:11" x14ac:dyDescent="0.35">
      <c r="A2789" s="1">
        <v>43040</v>
      </c>
      <c r="B2789" s="3">
        <f t="shared" si="86"/>
        <v>2017</v>
      </c>
      <c r="C2789" s="3">
        <f t="shared" si="87"/>
        <v>11</v>
      </c>
      <c r="D2789" t="s">
        <v>1260</v>
      </c>
      <c r="E2789" t="s">
        <v>17</v>
      </c>
      <c r="F2789" t="s">
        <v>28</v>
      </c>
      <c r="G2789" t="s">
        <v>48</v>
      </c>
      <c r="H2789" t="s">
        <v>1565</v>
      </c>
      <c r="I2789" s="2">
        <v>25.12</v>
      </c>
      <c r="J2789" s="3">
        <v>5</v>
      </c>
      <c r="K2789" s="2">
        <v>7.85</v>
      </c>
    </row>
    <row r="2790" spans="1:11" x14ac:dyDescent="0.35">
      <c r="A2790" s="1">
        <v>43040</v>
      </c>
      <c r="B2790" s="3">
        <f t="shared" si="86"/>
        <v>2017</v>
      </c>
      <c r="C2790" s="3">
        <f t="shared" si="87"/>
        <v>11</v>
      </c>
      <c r="D2790" t="s">
        <v>1260</v>
      </c>
      <c r="E2790" t="s">
        <v>17</v>
      </c>
      <c r="F2790" t="s">
        <v>18</v>
      </c>
      <c r="G2790" t="s">
        <v>42</v>
      </c>
      <c r="H2790" t="s">
        <v>1979</v>
      </c>
      <c r="I2790" s="2">
        <v>2665.62</v>
      </c>
      <c r="J2790" s="3">
        <v>9</v>
      </c>
      <c r="K2790" s="2">
        <v>239.91</v>
      </c>
    </row>
    <row r="2791" spans="1:11" x14ac:dyDescent="0.35">
      <c r="A2791" s="1">
        <v>43040</v>
      </c>
      <c r="B2791" s="3">
        <f t="shared" si="86"/>
        <v>2017</v>
      </c>
      <c r="C2791" s="3">
        <f t="shared" si="87"/>
        <v>11</v>
      </c>
      <c r="D2791" t="s">
        <v>845</v>
      </c>
      <c r="E2791" t="s">
        <v>51</v>
      </c>
      <c r="F2791" t="s">
        <v>28</v>
      </c>
      <c r="G2791" t="s">
        <v>29</v>
      </c>
      <c r="H2791" t="s">
        <v>1913</v>
      </c>
      <c r="I2791" s="2">
        <v>189.7</v>
      </c>
      <c r="J2791" s="3">
        <v>10</v>
      </c>
      <c r="K2791" s="2">
        <v>91.06</v>
      </c>
    </row>
    <row r="2792" spans="1:11" x14ac:dyDescent="0.35">
      <c r="A2792" s="1">
        <v>43040</v>
      </c>
      <c r="B2792" s="3">
        <f t="shared" si="86"/>
        <v>2017</v>
      </c>
      <c r="C2792" s="3">
        <f t="shared" si="87"/>
        <v>11</v>
      </c>
      <c r="D2792" t="s">
        <v>845</v>
      </c>
      <c r="E2792" t="s">
        <v>51</v>
      </c>
      <c r="F2792" t="s">
        <v>28</v>
      </c>
      <c r="G2792" t="s">
        <v>29</v>
      </c>
      <c r="H2792" t="s">
        <v>512</v>
      </c>
      <c r="I2792" s="2">
        <v>40.99</v>
      </c>
      <c r="J2792" s="3">
        <v>1</v>
      </c>
      <c r="K2792" s="2">
        <v>20.09</v>
      </c>
    </row>
    <row r="2793" spans="1:11" x14ac:dyDescent="0.35">
      <c r="A2793" s="1">
        <v>43070</v>
      </c>
      <c r="B2793" s="3">
        <f t="shared" si="86"/>
        <v>2017</v>
      </c>
      <c r="C2793" s="3">
        <f t="shared" si="87"/>
        <v>12</v>
      </c>
      <c r="D2793" t="s">
        <v>787</v>
      </c>
      <c r="E2793" t="s">
        <v>71</v>
      </c>
      <c r="F2793" t="s">
        <v>28</v>
      </c>
      <c r="G2793" t="s">
        <v>38</v>
      </c>
      <c r="H2793" t="s">
        <v>574</v>
      </c>
      <c r="I2793" s="2">
        <v>83.92</v>
      </c>
      <c r="J2793" s="3">
        <v>4</v>
      </c>
      <c r="K2793" s="2">
        <v>5.87</v>
      </c>
    </row>
    <row r="2794" spans="1:11" x14ac:dyDescent="0.35">
      <c r="A2794" s="1">
        <v>43070</v>
      </c>
      <c r="B2794" s="3">
        <f t="shared" si="86"/>
        <v>2017</v>
      </c>
      <c r="C2794" s="3">
        <f t="shared" si="87"/>
        <v>12</v>
      </c>
      <c r="D2794" t="s">
        <v>787</v>
      </c>
      <c r="E2794" t="s">
        <v>71</v>
      </c>
      <c r="F2794" t="s">
        <v>13</v>
      </c>
      <c r="G2794" t="s">
        <v>23</v>
      </c>
      <c r="H2794" t="s">
        <v>1212</v>
      </c>
      <c r="I2794" s="2">
        <v>131.97999999999999</v>
      </c>
      <c r="J2794" s="3">
        <v>2</v>
      </c>
      <c r="K2794" s="2">
        <v>35.630000000000003</v>
      </c>
    </row>
    <row r="2795" spans="1:11" x14ac:dyDescent="0.35">
      <c r="A2795" s="1">
        <v>43070</v>
      </c>
      <c r="B2795" s="3">
        <f t="shared" si="86"/>
        <v>2017</v>
      </c>
      <c r="C2795" s="3">
        <f t="shared" si="87"/>
        <v>12</v>
      </c>
      <c r="D2795" t="s">
        <v>787</v>
      </c>
      <c r="E2795" t="s">
        <v>71</v>
      </c>
      <c r="F2795" t="s">
        <v>28</v>
      </c>
      <c r="G2795" t="s">
        <v>48</v>
      </c>
      <c r="H2795" t="s">
        <v>1189</v>
      </c>
      <c r="I2795" s="2">
        <v>15.92</v>
      </c>
      <c r="J2795" s="3">
        <v>4</v>
      </c>
      <c r="K2795" s="2">
        <v>7.48</v>
      </c>
    </row>
    <row r="2796" spans="1:11" x14ac:dyDescent="0.35">
      <c r="A2796" s="1">
        <v>43070</v>
      </c>
      <c r="B2796" s="3">
        <f t="shared" si="86"/>
        <v>2017</v>
      </c>
      <c r="C2796" s="3">
        <f t="shared" si="87"/>
        <v>12</v>
      </c>
      <c r="D2796" t="s">
        <v>787</v>
      </c>
      <c r="E2796" t="s">
        <v>71</v>
      </c>
      <c r="F2796" t="s">
        <v>28</v>
      </c>
      <c r="G2796" t="s">
        <v>33</v>
      </c>
      <c r="H2796" t="s">
        <v>1413</v>
      </c>
      <c r="I2796" s="2">
        <v>52.29</v>
      </c>
      <c r="J2796" s="3">
        <v>9</v>
      </c>
      <c r="K2796" s="2">
        <v>16.21</v>
      </c>
    </row>
    <row r="2797" spans="1:11" x14ac:dyDescent="0.35">
      <c r="A2797" s="1">
        <v>43070</v>
      </c>
      <c r="B2797" s="3">
        <f t="shared" si="86"/>
        <v>2017</v>
      </c>
      <c r="C2797" s="3">
        <f t="shared" si="87"/>
        <v>12</v>
      </c>
      <c r="D2797" t="s">
        <v>787</v>
      </c>
      <c r="E2797" t="s">
        <v>71</v>
      </c>
      <c r="F2797" t="s">
        <v>28</v>
      </c>
      <c r="G2797" t="s">
        <v>38</v>
      </c>
      <c r="H2797" t="s">
        <v>461</v>
      </c>
      <c r="I2797" s="2">
        <v>91.99</v>
      </c>
      <c r="J2797" s="3">
        <v>1</v>
      </c>
      <c r="K2797" s="2">
        <v>3.68</v>
      </c>
    </row>
    <row r="2798" spans="1:11" x14ac:dyDescent="0.35">
      <c r="A2798" s="1">
        <v>43070</v>
      </c>
      <c r="B2798" s="3">
        <f t="shared" si="86"/>
        <v>2017</v>
      </c>
      <c r="C2798" s="3">
        <f t="shared" si="87"/>
        <v>12</v>
      </c>
      <c r="D2798" t="s">
        <v>1623</v>
      </c>
      <c r="E2798" t="s">
        <v>22</v>
      </c>
      <c r="F2798" t="s">
        <v>13</v>
      </c>
      <c r="G2798" t="s">
        <v>14</v>
      </c>
      <c r="H2798" t="s">
        <v>1662</v>
      </c>
      <c r="I2798" s="2">
        <v>20.37</v>
      </c>
      <c r="J2798" s="3">
        <v>3</v>
      </c>
      <c r="K2798" s="2">
        <v>6.93</v>
      </c>
    </row>
    <row r="2799" spans="1:11" x14ac:dyDescent="0.35">
      <c r="A2799" s="1">
        <v>43070</v>
      </c>
      <c r="B2799" s="3">
        <f t="shared" si="86"/>
        <v>2017</v>
      </c>
      <c r="C2799" s="3">
        <f t="shared" si="87"/>
        <v>12</v>
      </c>
      <c r="D2799" t="s">
        <v>1623</v>
      </c>
      <c r="E2799" t="s">
        <v>22</v>
      </c>
      <c r="F2799" t="s">
        <v>28</v>
      </c>
      <c r="G2799" t="s">
        <v>38</v>
      </c>
      <c r="H2799" t="s">
        <v>2120</v>
      </c>
      <c r="I2799" s="2">
        <v>221.55</v>
      </c>
      <c r="J2799" s="3">
        <v>3</v>
      </c>
      <c r="K2799" s="2">
        <v>6.65</v>
      </c>
    </row>
    <row r="2800" spans="1:11" x14ac:dyDescent="0.35">
      <c r="A2800" s="1">
        <v>43070</v>
      </c>
      <c r="B2800" s="3">
        <f t="shared" si="86"/>
        <v>2017</v>
      </c>
      <c r="C2800" s="3">
        <f t="shared" si="87"/>
        <v>12</v>
      </c>
      <c r="D2800" t="s">
        <v>1623</v>
      </c>
      <c r="E2800" t="s">
        <v>22</v>
      </c>
      <c r="F2800" t="s">
        <v>28</v>
      </c>
      <c r="G2800" t="s">
        <v>48</v>
      </c>
      <c r="H2800" t="s">
        <v>2121</v>
      </c>
      <c r="I2800" s="2">
        <v>17.52</v>
      </c>
      <c r="J2800" s="3">
        <v>5</v>
      </c>
      <c r="K2800" s="2">
        <v>6.13</v>
      </c>
    </row>
    <row r="2801" spans="1:11" x14ac:dyDescent="0.35">
      <c r="A2801" s="1">
        <v>43070</v>
      </c>
      <c r="B2801" s="3">
        <f t="shared" si="86"/>
        <v>2017</v>
      </c>
      <c r="C2801" s="3">
        <f t="shared" si="87"/>
        <v>12</v>
      </c>
      <c r="D2801" t="s">
        <v>1509</v>
      </c>
      <c r="E2801" t="s">
        <v>103</v>
      </c>
      <c r="F2801" t="s">
        <v>13</v>
      </c>
      <c r="G2801" t="s">
        <v>23</v>
      </c>
      <c r="H2801" t="s">
        <v>527</v>
      </c>
      <c r="I2801" s="2">
        <v>470.38</v>
      </c>
      <c r="J2801" s="3">
        <v>3</v>
      </c>
      <c r="K2801" s="2">
        <v>52.92</v>
      </c>
    </row>
    <row r="2802" spans="1:11" x14ac:dyDescent="0.35">
      <c r="A2802" s="1">
        <v>43070</v>
      </c>
      <c r="B2802" s="3">
        <f t="shared" si="86"/>
        <v>2017</v>
      </c>
      <c r="C2802" s="3">
        <f t="shared" si="87"/>
        <v>12</v>
      </c>
      <c r="D2802" t="s">
        <v>1509</v>
      </c>
      <c r="E2802" t="s">
        <v>103</v>
      </c>
      <c r="F2802" t="s">
        <v>13</v>
      </c>
      <c r="G2802" t="s">
        <v>23</v>
      </c>
      <c r="H2802" t="s">
        <v>903</v>
      </c>
      <c r="I2802" s="2">
        <v>105.58</v>
      </c>
      <c r="J2802" s="3">
        <v>2</v>
      </c>
      <c r="K2802" s="2">
        <v>9.24</v>
      </c>
    </row>
    <row r="2803" spans="1:11" x14ac:dyDescent="0.35">
      <c r="A2803" s="1">
        <v>43070</v>
      </c>
      <c r="B2803" s="3">
        <f t="shared" si="86"/>
        <v>2017</v>
      </c>
      <c r="C2803" s="3">
        <f t="shared" si="87"/>
        <v>12</v>
      </c>
      <c r="D2803" t="s">
        <v>1509</v>
      </c>
      <c r="E2803" t="s">
        <v>103</v>
      </c>
      <c r="F2803" t="s">
        <v>28</v>
      </c>
      <c r="G2803" t="s">
        <v>58</v>
      </c>
      <c r="H2803" t="s">
        <v>1892</v>
      </c>
      <c r="I2803" s="2">
        <v>31.15</v>
      </c>
      <c r="J2803" s="3">
        <v>3</v>
      </c>
      <c r="K2803" s="2">
        <v>3.5</v>
      </c>
    </row>
    <row r="2804" spans="1:11" x14ac:dyDescent="0.35">
      <c r="A2804" s="1">
        <v>43070</v>
      </c>
      <c r="B2804" s="3">
        <f t="shared" si="86"/>
        <v>2017</v>
      </c>
      <c r="C2804" s="3">
        <f t="shared" si="87"/>
        <v>12</v>
      </c>
      <c r="D2804" t="s">
        <v>1509</v>
      </c>
      <c r="E2804" t="s">
        <v>103</v>
      </c>
      <c r="F2804" t="s">
        <v>28</v>
      </c>
      <c r="G2804" t="s">
        <v>48</v>
      </c>
      <c r="H2804" t="s">
        <v>972</v>
      </c>
      <c r="I2804" s="2">
        <v>6.78</v>
      </c>
      <c r="J2804" s="3">
        <v>7</v>
      </c>
      <c r="K2804" s="2">
        <v>-4.75</v>
      </c>
    </row>
    <row r="2805" spans="1:11" x14ac:dyDescent="0.35">
      <c r="A2805" s="1">
        <v>43070</v>
      </c>
      <c r="B2805" s="3">
        <f t="shared" si="86"/>
        <v>2017</v>
      </c>
      <c r="C2805" s="3">
        <f t="shared" si="87"/>
        <v>12</v>
      </c>
      <c r="D2805" t="s">
        <v>1509</v>
      </c>
      <c r="E2805" t="s">
        <v>103</v>
      </c>
      <c r="F2805" t="s">
        <v>13</v>
      </c>
      <c r="G2805" t="s">
        <v>23</v>
      </c>
      <c r="H2805" t="s">
        <v>2122</v>
      </c>
      <c r="I2805" s="2">
        <v>406.37</v>
      </c>
      <c r="J2805" s="3">
        <v>4</v>
      </c>
      <c r="K2805" s="2">
        <v>30.48</v>
      </c>
    </row>
    <row r="2806" spans="1:11" x14ac:dyDescent="0.35">
      <c r="A2806" s="1">
        <v>43070</v>
      </c>
      <c r="B2806" s="3">
        <f t="shared" si="86"/>
        <v>2017</v>
      </c>
      <c r="C2806" s="3">
        <f t="shared" si="87"/>
        <v>12</v>
      </c>
      <c r="D2806" t="s">
        <v>664</v>
      </c>
      <c r="E2806" t="s">
        <v>89</v>
      </c>
      <c r="F2806" t="s">
        <v>28</v>
      </c>
      <c r="G2806" t="s">
        <v>158</v>
      </c>
      <c r="H2806" t="s">
        <v>2123</v>
      </c>
      <c r="I2806" s="2">
        <v>104.68</v>
      </c>
      <c r="J2806" s="3">
        <v>5</v>
      </c>
      <c r="K2806" s="2">
        <v>35.33</v>
      </c>
    </row>
    <row r="2807" spans="1:11" x14ac:dyDescent="0.35">
      <c r="A2807" s="1">
        <v>43070</v>
      </c>
      <c r="B2807" s="3">
        <f t="shared" si="86"/>
        <v>2017</v>
      </c>
      <c r="C2807" s="3">
        <f t="shared" si="87"/>
        <v>12</v>
      </c>
      <c r="D2807" t="s">
        <v>664</v>
      </c>
      <c r="E2807" t="s">
        <v>89</v>
      </c>
      <c r="F2807" t="s">
        <v>13</v>
      </c>
      <c r="G2807" t="s">
        <v>23</v>
      </c>
      <c r="H2807" t="s">
        <v>1966</v>
      </c>
      <c r="I2807" s="2">
        <v>62.96</v>
      </c>
      <c r="J2807" s="3">
        <v>7</v>
      </c>
      <c r="K2807" s="2">
        <v>9.44</v>
      </c>
    </row>
    <row r="2808" spans="1:11" x14ac:dyDescent="0.35">
      <c r="A2808" s="1">
        <v>43070</v>
      </c>
      <c r="B2808" s="3">
        <f t="shared" si="86"/>
        <v>2017</v>
      </c>
      <c r="C2808" s="3">
        <f t="shared" si="87"/>
        <v>12</v>
      </c>
      <c r="D2808" t="s">
        <v>1320</v>
      </c>
      <c r="E2808" t="s">
        <v>32</v>
      </c>
      <c r="F2808" t="s">
        <v>13</v>
      </c>
      <c r="G2808" t="s">
        <v>23</v>
      </c>
      <c r="H2808" t="s">
        <v>925</v>
      </c>
      <c r="I2808" s="2">
        <v>219.8</v>
      </c>
      <c r="J2808" s="3">
        <v>5</v>
      </c>
      <c r="K2808" s="2">
        <v>24.73</v>
      </c>
    </row>
    <row r="2809" spans="1:11" x14ac:dyDescent="0.35">
      <c r="A2809" s="1">
        <v>43070</v>
      </c>
      <c r="B2809" s="3">
        <f t="shared" si="86"/>
        <v>2017</v>
      </c>
      <c r="C2809" s="3">
        <f t="shared" si="87"/>
        <v>12</v>
      </c>
      <c r="D2809" t="s">
        <v>1320</v>
      </c>
      <c r="E2809" t="s">
        <v>32</v>
      </c>
      <c r="F2809" t="s">
        <v>18</v>
      </c>
      <c r="G2809" t="s">
        <v>19</v>
      </c>
      <c r="H2809" t="s">
        <v>404</v>
      </c>
      <c r="I2809" s="2">
        <v>317.06</v>
      </c>
      <c r="J2809" s="3">
        <v>3</v>
      </c>
      <c r="K2809" s="2">
        <v>-18.12</v>
      </c>
    </row>
    <row r="2810" spans="1:11" x14ac:dyDescent="0.35">
      <c r="A2810" s="1">
        <v>43070</v>
      </c>
      <c r="B2810" s="3">
        <f t="shared" si="86"/>
        <v>2017</v>
      </c>
      <c r="C2810" s="3">
        <f t="shared" si="87"/>
        <v>12</v>
      </c>
      <c r="D2810" t="s">
        <v>2124</v>
      </c>
      <c r="E2810" t="s">
        <v>45</v>
      </c>
      <c r="F2810" t="s">
        <v>28</v>
      </c>
      <c r="G2810" t="s">
        <v>29</v>
      </c>
      <c r="H2810" t="s">
        <v>2125</v>
      </c>
      <c r="I2810" s="2">
        <v>45.36</v>
      </c>
      <c r="J2810" s="3">
        <v>7</v>
      </c>
      <c r="K2810" s="2">
        <v>21.77</v>
      </c>
    </row>
    <row r="2811" spans="1:11" x14ac:dyDescent="0.35">
      <c r="A2811" s="1">
        <v>43070</v>
      </c>
      <c r="B2811" s="3">
        <f t="shared" si="86"/>
        <v>2017</v>
      </c>
      <c r="C2811" s="3">
        <f t="shared" si="87"/>
        <v>12</v>
      </c>
      <c r="D2811" t="s">
        <v>2124</v>
      </c>
      <c r="E2811" t="s">
        <v>45</v>
      </c>
      <c r="F2811" t="s">
        <v>28</v>
      </c>
      <c r="G2811" t="s">
        <v>48</v>
      </c>
      <c r="H2811" t="s">
        <v>266</v>
      </c>
      <c r="I2811" s="2">
        <v>10.130000000000001</v>
      </c>
      <c r="J2811" s="3">
        <v>2</v>
      </c>
      <c r="K2811" s="2">
        <v>3.67</v>
      </c>
    </row>
    <row r="2812" spans="1:11" x14ac:dyDescent="0.35">
      <c r="A2812" s="1">
        <v>43070</v>
      </c>
      <c r="B2812" s="3">
        <f t="shared" si="86"/>
        <v>2017</v>
      </c>
      <c r="C2812" s="3">
        <f t="shared" si="87"/>
        <v>12</v>
      </c>
      <c r="D2812" t="s">
        <v>1794</v>
      </c>
      <c r="E2812" t="s">
        <v>89</v>
      </c>
      <c r="F2812" t="s">
        <v>28</v>
      </c>
      <c r="G2812" t="s">
        <v>38</v>
      </c>
      <c r="H2812" t="s">
        <v>2126</v>
      </c>
      <c r="I2812" s="2">
        <v>37.39</v>
      </c>
      <c r="J2812" s="3">
        <v>3</v>
      </c>
      <c r="K2812" s="2">
        <v>2.34</v>
      </c>
    </row>
    <row r="2813" spans="1:11" x14ac:dyDescent="0.35">
      <c r="A2813" s="1">
        <v>43070</v>
      </c>
      <c r="B2813" s="3">
        <f t="shared" si="86"/>
        <v>2017</v>
      </c>
      <c r="C2813" s="3">
        <f t="shared" si="87"/>
        <v>12</v>
      </c>
      <c r="D2813" t="s">
        <v>1794</v>
      </c>
      <c r="E2813" t="s">
        <v>89</v>
      </c>
      <c r="F2813" t="s">
        <v>18</v>
      </c>
      <c r="G2813" t="s">
        <v>36</v>
      </c>
      <c r="H2813" t="s">
        <v>2127</v>
      </c>
      <c r="I2813" s="2">
        <v>79.12</v>
      </c>
      <c r="J2813" s="3">
        <v>5</v>
      </c>
      <c r="K2813" s="2">
        <v>13.85</v>
      </c>
    </row>
    <row r="2814" spans="1:11" x14ac:dyDescent="0.35">
      <c r="A2814" s="1">
        <v>43070</v>
      </c>
      <c r="B2814" s="3">
        <f t="shared" si="86"/>
        <v>2017</v>
      </c>
      <c r="C2814" s="3">
        <f t="shared" si="87"/>
        <v>12</v>
      </c>
      <c r="D2814" t="s">
        <v>1232</v>
      </c>
      <c r="E2814" t="s">
        <v>323</v>
      </c>
      <c r="F2814" t="s">
        <v>28</v>
      </c>
      <c r="G2814" t="s">
        <v>29</v>
      </c>
      <c r="H2814" t="s">
        <v>146</v>
      </c>
      <c r="I2814" s="2">
        <v>19.440000000000001</v>
      </c>
      <c r="J2814" s="3">
        <v>3</v>
      </c>
      <c r="K2814" s="2">
        <v>9.33</v>
      </c>
    </row>
    <row r="2815" spans="1:11" x14ac:dyDescent="0.35">
      <c r="A2815" s="1">
        <v>43070</v>
      </c>
      <c r="B2815" s="3">
        <f t="shared" si="86"/>
        <v>2017</v>
      </c>
      <c r="C2815" s="3">
        <f t="shared" si="87"/>
        <v>12</v>
      </c>
      <c r="D2815" t="s">
        <v>1232</v>
      </c>
      <c r="E2815" t="s">
        <v>323</v>
      </c>
      <c r="F2815" t="s">
        <v>18</v>
      </c>
      <c r="G2815" t="s">
        <v>19</v>
      </c>
      <c r="H2815" t="s">
        <v>565</v>
      </c>
      <c r="I2815" s="2">
        <v>897.15</v>
      </c>
      <c r="J2815" s="3">
        <v>3</v>
      </c>
      <c r="K2815" s="2">
        <v>251.2</v>
      </c>
    </row>
    <row r="2816" spans="1:11" x14ac:dyDescent="0.35">
      <c r="A2816" s="1">
        <v>43070</v>
      </c>
      <c r="B2816" s="3">
        <f t="shared" si="86"/>
        <v>2017</v>
      </c>
      <c r="C2816" s="3">
        <f t="shared" si="87"/>
        <v>12</v>
      </c>
      <c r="D2816" t="s">
        <v>784</v>
      </c>
      <c r="E2816" t="s">
        <v>131</v>
      </c>
      <c r="F2816" t="s">
        <v>18</v>
      </c>
      <c r="G2816" t="s">
        <v>36</v>
      </c>
      <c r="H2816" t="s">
        <v>1760</v>
      </c>
      <c r="I2816" s="2">
        <v>7.71</v>
      </c>
      <c r="J2816" s="3">
        <v>2</v>
      </c>
      <c r="K2816" s="2">
        <v>1.74</v>
      </c>
    </row>
    <row r="2817" spans="1:11" x14ac:dyDescent="0.35">
      <c r="A2817" s="1">
        <v>43070</v>
      </c>
      <c r="B2817" s="3">
        <f t="shared" si="86"/>
        <v>2017</v>
      </c>
      <c r="C2817" s="3">
        <f t="shared" si="87"/>
        <v>12</v>
      </c>
      <c r="D2817" t="s">
        <v>2128</v>
      </c>
      <c r="E2817" t="s">
        <v>32</v>
      </c>
      <c r="F2817" t="s">
        <v>28</v>
      </c>
      <c r="G2817" t="s">
        <v>29</v>
      </c>
      <c r="H2817" t="s">
        <v>1543</v>
      </c>
      <c r="I2817" s="2">
        <v>10.37</v>
      </c>
      <c r="J2817" s="3">
        <v>2</v>
      </c>
      <c r="K2817" s="2">
        <v>3.63</v>
      </c>
    </row>
    <row r="2818" spans="1:11" x14ac:dyDescent="0.35">
      <c r="A2818" s="1">
        <v>43070</v>
      </c>
      <c r="B2818" s="3">
        <f t="shared" ref="B2818:B2881" si="88">YEAR(A2818)</f>
        <v>2017</v>
      </c>
      <c r="C2818" s="3">
        <f t="shared" ref="C2818:C2881" si="89">MONTH(A2818)</f>
        <v>12</v>
      </c>
      <c r="D2818" t="s">
        <v>1247</v>
      </c>
      <c r="E2818" t="s">
        <v>17</v>
      </c>
      <c r="F2818" t="s">
        <v>28</v>
      </c>
      <c r="G2818" t="s">
        <v>29</v>
      </c>
      <c r="H2818" t="s">
        <v>171</v>
      </c>
      <c r="I2818" s="2">
        <v>41.86</v>
      </c>
      <c r="J2818" s="3">
        <v>7</v>
      </c>
      <c r="K2818" s="2">
        <v>18.84</v>
      </c>
    </row>
    <row r="2819" spans="1:11" x14ac:dyDescent="0.35">
      <c r="A2819" s="1">
        <v>43070</v>
      </c>
      <c r="B2819" s="3">
        <f t="shared" si="88"/>
        <v>2017</v>
      </c>
      <c r="C2819" s="3">
        <f t="shared" si="89"/>
        <v>12</v>
      </c>
      <c r="D2819" t="s">
        <v>1247</v>
      </c>
      <c r="E2819" t="s">
        <v>17</v>
      </c>
      <c r="F2819" t="s">
        <v>18</v>
      </c>
      <c r="G2819" t="s">
        <v>237</v>
      </c>
      <c r="H2819" t="s">
        <v>1308</v>
      </c>
      <c r="I2819" s="2">
        <v>141.96</v>
      </c>
      <c r="J2819" s="3">
        <v>2</v>
      </c>
      <c r="K2819" s="2">
        <v>41.17</v>
      </c>
    </row>
    <row r="2820" spans="1:11" x14ac:dyDescent="0.35">
      <c r="A2820" s="1">
        <v>43070</v>
      </c>
      <c r="B2820" s="3">
        <f t="shared" si="88"/>
        <v>2017</v>
      </c>
      <c r="C2820" s="3">
        <f t="shared" si="89"/>
        <v>12</v>
      </c>
      <c r="D2820" t="s">
        <v>870</v>
      </c>
      <c r="E2820" t="s">
        <v>17</v>
      </c>
      <c r="F2820" t="s">
        <v>28</v>
      </c>
      <c r="G2820" t="s">
        <v>48</v>
      </c>
      <c r="H2820" t="s">
        <v>1122</v>
      </c>
      <c r="I2820" s="2">
        <v>15.92</v>
      </c>
      <c r="J2820" s="3">
        <v>5</v>
      </c>
      <c r="K2820" s="2">
        <v>5.37</v>
      </c>
    </row>
    <row r="2821" spans="1:11" x14ac:dyDescent="0.35">
      <c r="A2821" s="1">
        <v>43070</v>
      </c>
      <c r="B2821" s="3">
        <f t="shared" si="88"/>
        <v>2017</v>
      </c>
      <c r="C2821" s="3">
        <f t="shared" si="89"/>
        <v>12</v>
      </c>
      <c r="D2821" t="s">
        <v>870</v>
      </c>
      <c r="E2821" t="s">
        <v>17</v>
      </c>
      <c r="F2821" t="s">
        <v>18</v>
      </c>
      <c r="G2821" t="s">
        <v>36</v>
      </c>
      <c r="H2821" t="s">
        <v>886</v>
      </c>
      <c r="I2821" s="2">
        <v>70.680000000000007</v>
      </c>
      <c r="J2821" s="3">
        <v>12</v>
      </c>
      <c r="K2821" s="2">
        <v>31.1</v>
      </c>
    </row>
    <row r="2822" spans="1:11" x14ac:dyDescent="0.35">
      <c r="A2822" s="1">
        <v>43070</v>
      </c>
      <c r="B2822" s="3">
        <f t="shared" si="88"/>
        <v>2017</v>
      </c>
      <c r="C2822" s="3">
        <f t="shared" si="89"/>
        <v>12</v>
      </c>
      <c r="D2822" t="s">
        <v>870</v>
      </c>
      <c r="E2822" t="s">
        <v>17</v>
      </c>
      <c r="F2822" t="s">
        <v>28</v>
      </c>
      <c r="G2822" t="s">
        <v>38</v>
      </c>
      <c r="H2822" t="s">
        <v>2067</v>
      </c>
      <c r="I2822" s="2">
        <v>541.24</v>
      </c>
      <c r="J2822" s="3">
        <v>4</v>
      </c>
      <c r="K2822" s="2">
        <v>5.41</v>
      </c>
    </row>
    <row r="2823" spans="1:11" x14ac:dyDescent="0.35">
      <c r="A2823" s="1">
        <v>43070</v>
      </c>
      <c r="B2823" s="3">
        <f t="shared" si="88"/>
        <v>2017</v>
      </c>
      <c r="C2823" s="3">
        <f t="shared" si="89"/>
        <v>12</v>
      </c>
      <c r="D2823" t="s">
        <v>1792</v>
      </c>
      <c r="E2823" t="s">
        <v>45</v>
      </c>
      <c r="F2823" t="s">
        <v>18</v>
      </c>
      <c r="G2823" t="s">
        <v>36</v>
      </c>
      <c r="H2823" t="s">
        <v>1747</v>
      </c>
      <c r="I2823" s="2">
        <v>629.64</v>
      </c>
      <c r="J2823" s="3">
        <v>9</v>
      </c>
      <c r="K2823" s="2">
        <v>107.04</v>
      </c>
    </row>
    <row r="2824" spans="1:11" x14ac:dyDescent="0.35">
      <c r="A2824" s="1">
        <v>43070</v>
      </c>
      <c r="B2824" s="3">
        <f t="shared" si="88"/>
        <v>2017</v>
      </c>
      <c r="C2824" s="3">
        <f t="shared" si="89"/>
        <v>12</v>
      </c>
      <c r="D2824" t="s">
        <v>2129</v>
      </c>
      <c r="E2824" t="s">
        <v>89</v>
      </c>
      <c r="F2824" t="s">
        <v>28</v>
      </c>
      <c r="G2824" t="s">
        <v>46</v>
      </c>
      <c r="H2824" t="s">
        <v>880</v>
      </c>
      <c r="I2824" s="2">
        <v>15.94</v>
      </c>
      <c r="J2824" s="3">
        <v>4</v>
      </c>
      <c r="K2824" s="2">
        <v>5.18</v>
      </c>
    </row>
    <row r="2825" spans="1:11" x14ac:dyDescent="0.35">
      <c r="A2825" s="1">
        <v>43070</v>
      </c>
      <c r="B2825" s="3">
        <f t="shared" si="88"/>
        <v>2017</v>
      </c>
      <c r="C2825" s="3">
        <f t="shared" si="89"/>
        <v>12</v>
      </c>
      <c r="D2825" t="s">
        <v>2129</v>
      </c>
      <c r="E2825" t="s">
        <v>89</v>
      </c>
      <c r="F2825" t="s">
        <v>28</v>
      </c>
      <c r="G2825" t="s">
        <v>48</v>
      </c>
      <c r="H2825" t="s">
        <v>2130</v>
      </c>
      <c r="I2825" s="2">
        <v>8</v>
      </c>
      <c r="J2825" s="3">
        <v>7</v>
      </c>
      <c r="K2825" s="2">
        <v>-5.6</v>
      </c>
    </row>
    <row r="2826" spans="1:11" x14ac:dyDescent="0.35">
      <c r="A2826" s="1">
        <v>43070</v>
      </c>
      <c r="B2826" s="3">
        <f t="shared" si="88"/>
        <v>2017</v>
      </c>
      <c r="C2826" s="3">
        <f t="shared" si="89"/>
        <v>12</v>
      </c>
      <c r="D2826" t="s">
        <v>2129</v>
      </c>
      <c r="E2826" t="s">
        <v>89</v>
      </c>
      <c r="F2826" t="s">
        <v>18</v>
      </c>
      <c r="G2826" t="s">
        <v>19</v>
      </c>
      <c r="H2826" t="s">
        <v>917</v>
      </c>
      <c r="I2826" s="2">
        <v>398.97</v>
      </c>
      <c r="J2826" s="3">
        <v>2</v>
      </c>
      <c r="K2826" s="2">
        <v>-28.5</v>
      </c>
    </row>
    <row r="2827" spans="1:11" x14ac:dyDescent="0.35">
      <c r="A2827" s="1">
        <v>42737</v>
      </c>
      <c r="B2827" s="3">
        <f t="shared" si="88"/>
        <v>2017</v>
      </c>
      <c r="C2827" s="3">
        <f t="shared" si="89"/>
        <v>1</v>
      </c>
      <c r="D2827" t="s">
        <v>2110</v>
      </c>
      <c r="E2827" t="s">
        <v>81</v>
      </c>
      <c r="F2827" t="s">
        <v>13</v>
      </c>
      <c r="G2827" t="s">
        <v>204</v>
      </c>
      <c r="H2827" t="s">
        <v>1995</v>
      </c>
      <c r="I2827" s="2">
        <v>695.7</v>
      </c>
      <c r="J2827" s="3">
        <v>2</v>
      </c>
      <c r="K2827" s="2">
        <v>-27.83</v>
      </c>
    </row>
    <row r="2828" spans="1:11" x14ac:dyDescent="0.35">
      <c r="A2828" s="1">
        <v>42737</v>
      </c>
      <c r="B2828" s="3">
        <f t="shared" si="88"/>
        <v>2017</v>
      </c>
      <c r="C2828" s="3">
        <f t="shared" si="89"/>
        <v>1</v>
      </c>
      <c r="D2828" t="s">
        <v>2110</v>
      </c>
      <c r="E2828" t="s">
        <v>81</v>
      </c>
      <c r="F2828" t="s">
        <v>28</v>
      </c>
      <c r="G2828" t="s">
        <v>48</v>
      </c>
      <c r="H2828" t="s">
        <v>2131</v>
      </c>
      <c r="I2828" s="2">
        <v>15.66</v>
      </c>
      <c r="J2828" s="3">
        <v>5</v>
      </c>
      <c r="K2828" s="2">
        <v>-12.53</v>
      </c>
    </row>
    <row r="2829" spans="1:11" x14ac:dyDescent="0.35">
      <c r="A2829" s="1">
        <v>42737</v>
      </c>
      <c r="B2829" s="3">
        <f t="shared" si="88"/>
        <v>2017</v>
      </c>
      <c r="C2829" s="3">
        <f t="shared" si="89"/>
        <v>1</v>
      </c>
      <c r="D2829" t="s">
        <v>2110</v>
      </c>
      <c r="E2829" t="s">
        <v>81</v>
      </c>
      <c r="F2829" t="s">
        <v>28</v>
      </c>
      <c r="G2829" t="s">
        <v>48</v>
      </c>
      <c r="H2829" t="s">
        <v>637</v>
      </c>
      <c r="I2829" s="2">
        <v>28.85</v>
      </c>
      <c r="J2829" s="3">
        <v>6</v>
      </c>
      <c r="K2829" s="2">
        <v>-21.16</v>
      </c>
    </row>
    <row r="2830" spans="1:11" x14ac:dyDescent="0.35">
      <c r="A2830" s="1">
        <v>42737</v>
      </c>
      <c r="B2830" s="3">
        <f t="shared" si="88"/>
        <v>2017</v>
      </c>
      <c r="C2830" s="3">
        <f t="shared" si="89"/>
        <v>1</v>
      </c>
      <c r="D2830" t="s">
        <v>1310</v>
      </c>
      <c r="E2830" t="s">
        <v>32</v>
      </c>
      <c r="F2830" t="s">
        <v>28</v>
      </c>
      <c r="G2830" t="s">
        <v>64</v>
      </c>
      <c r="H2830" t="s">
        <v>358</v>
      </c>
      <c r="I2830" s="2">
        <v>31.74</v>
      </c>
      <c r="J2830" s="3">
        <v>2</v>
      </c>
      <c r="K2830" s="2">
        <v>3.97</v>
      </c>
    </row>
    <row r="2831" spans="1:11" x14ac:dyDescent="0.35">
      <c r="A2831" s="1">
        <v>42737</v>
      </c>
      <c r="B2831" s="3">
        <f t="shared" si="88"/>
        <v>2017</v>
      </c>
      <c r="C2831" s="3">
        <f t="shared" si="89"/>
        <v>1</v>
      </c>
      <c r="D2831" t="s">
        <v>1310</v>
      </c>
      <c r="E2831" t="s">
        <v>32</v>
      </c>
      <c r="F2831" t="s">
        <v>28</v>
      </c>
      <c r="G2831" t="s">
        <v>58</v>
      </c>
      <c r="H2831" t="s">
        <v>2132</v>
      </c>
      <c r="I2831" s="2">
        <v>5.43</v>
      </c>
      <c r="J2831" s="3">
        <v>2</v>
      </c>
      <c r="K2831" s="2">
        <v>-13.58</v>
      </c>
    </row>
    <row r="2832" spans="1:11" x14ac:dyDescent="0.35">
      <c r="A2832" s="1">
        <v>42737</v>
      </c>
      <c r="B2832" s="3">
        <f t="shared" si="88"/>
        <v>2017</v>
      </c>
      <c r="C2832" s="3">
        <f t="shared" si="89"/>
        <v>1</v>
      </c>
      <c r="D2832" t="s">
        <v>1310</v>
      </c>
      <c r="E2832" t="s">
        <v>32</v>
      </c>
      <c r="F2832" t="s">
        <v>18</v>
      </c>
      <c r="G2832" t="s">
        <v>42</v>
      </c>
      <c r="H2832" t="s">
        <v>273</v>
      </c>
      <c r="I2832" s="2">
        <v>913.43</v>
      </c>
      <c r="J2832" s="3">
        <v>5</v>
      </c>
      <c r="K2832" s="2">
        <v>-169.64</v>
      </c>
    </row>
    <row r="2833" spans="1:11" x14ac:dyDescent="0.35">
      <c r="A2833" s="1">
        <v>42737</v>
      </c>
      <c r="B2833" s="3">
        <f t="shared" si="88"/>
        <v>2017</v>
      </c>
      <c r="C2833" s="3">
        <f t="shared" si="89"/>
        <v>1</v>
      </c>
      <c r="D2833" t="s">
        <v>1310</v>
      </c>
      <c r="E2833" t="s">
        <v>32</v>
      </c>
      <c r="F2833" t="s">
        <v>28</v>
      </c>
      <c r="G2833" t="s">
        <v>38</v>
      </c>
      <c r="H2833" t="s">
        <v>1600</v>
      </c>
      <c r="I2833" s="2">
        <v>372.14</v>
      </c>
      <c r="J2833" s="3">
        <v>3</v>
      </c>
      <c r="K2833" s="2">
        <v>27.91</v>
      </c>
    </row>
    <row r="2834" spans="1:11" x14ac:dyDescent="0.35">
      <c r="A2834" s="1">
        <v>42737</v>
      </c>
      <c r="B2834" s="3">
        <f t="shared" si="88"/>
        <v>2017</v>
      </c>
      <c r="C2834" s="3">
        <f t="shared" si="89"/>
        <v>1</v>
      </c>
      <c r="D2834" t="s">
        <v>1856</v>
      </c>
      <c r="E2834" t="s">
        <v>45</v>
      </c>
      <c r="F2834" t="s">
        <v>13</v>
      </c>
      <c r="G2834" t="s">
        <v>14</v>
      </c>
      <c r="H2834" t="s">
        <v>1758</v>
      </c>
      <c r="I2834" s="2">
        <v>16.59</v>
      </c>
      <c r="J2834" s="3">
        <v>1</v>
      </c>
      <c r="K2834" s="2">
        <v>5.81</v>
      </c>
    </row>
    <row r="2835" spans="1:11" x14ac:dyDescent="0.35">
      <c r="A2835" s="1">
        <v>42768</v>
      </c>
      <c r="B2835" s="3">
        <f t="shared" si="88"/>
        <v>2017</v>
      </c>
      <c r="C2835" s="3">
        <f t="shared" si="89"/>
        <v>2</v>
      </c>
      <c r="D2835" t="s">
        <v>1922</v>
      </c>
      <c r="E2835" t="s">
        <v>131</v>
      </c>
      <c r="F2835" t="s">
        <v>13</v>
      </c>
      <c r="G2835" t="s">
        <v>23</v>
      </c>
      <c r="H2835" t="s">
        <v>1666</v>
      </c>
      <c r="I2835" s="2">
        <v>59.97</v>
      </c>
      <c r="J2835" s="3">
        <v>5</v>
      </c>
      <c r="K2835" s="2">
        <v>-11.99</v>
      </c>
    </row>
    <row r="2836" spans="1:11" x14ac:dyDescent="0.35">
      <c r="A2836" s="1">
        <v>42768</v>
      </c>
      <c r="B2836" s="3">
        <f t="shared" si="88"/>
        <v>2017</v>
      </c>
      <c r="C2836" s="3">
        <f t="shared" si="89"/>
        <v>2</v>
      </c>
      <c r="D2836" t="s">
        <v>1922</v>
      </c>
      <c r="E2836" t="s">
        <v>131</v>
      </c>
      <c r="F2836" t="s">
        <v>28</v>
      </c>
      <c r="G2836" t="s">
        <v>29</v>
      </c>
      <c r="H2836" t="s">
        <v>85</v>
      </c>
      <c r="I2836" s="2">
        <v>78.3</v>
      </c>
      <c r="J2836" s="3">
        <v>2</v>
      </c>
      <c r="K2836" s="2">
        <v>29.36</v>
      </c>
    </row>
    <row r="2837" spans="1:11" x14ac:dyDescent="0.35">
      <c r="A2837" s="1">
        <v>42768</v>
      </c>
      <c r="B2837" s="3">
        <f t="shared" si="88"/>
        <v>2017</v>
      </c>
      <c r="C2837" s="3">
        <f t="shared" si="89"/>
        <v>2</v>
      </c>
      <c r="D2837" t="s">
        <v>1922</v>
      </c>
      <c r="E2837" t="s">
        <v>131</v>
      </c>
      <c r="F2837" t="s">
        <v>28</v>
      </c>
      <c r="G2837" t="s">
        <v>33</v>
      </c>
      <c r="H2837" t="s">
        <v>111</v>
      </c>
      <c r="I2837" s="2">
        <v>21.46</v>
      </c>
      <c r="J2837" s="3">
        <v>9</v>
      </c>
      <c r="K2837" s="2">
        <v>6.97</v>
      </c>
    </row>
    <row r="2838" spans="1:11" x14ac:dyDescent="0.35">
      <c r="A2838" s="1">
        <v>42768</v>
      </c>
      <c r="B2838" s="3">
        <f t="shared" si="88"/>
        <v>2017</v>
      </c>
      <c r="C2838" s="3">
        <f t="shared" si="89"/>
        <v>2</v>
      </c>
      <c r="D2838" t="s">
        <v>621</v>
      </c>
      <c r="E2838" t="s">
        <v>45</v>
      </c>
      <c r="F2838" t="s">
        <v>18</v>
      </c>
      <c r="G2838" t="s">
        <v>36</v>
      </c>
      <c r="H2838" t="s">
        <v>622</v>
      </c>
      <c r="I2838" s="2">
        <v>86.26</v>
      </c>
      <c r="J2838" s="3">
        <v>2</v>
      </c>
      <c r="K2838" s="2">
        <v>29.33</v>
      </c>
    </row>
    <row r="2839" spans="1:11" x14ac:dyDescent="0.35">
      <c r="A2839" s="1">
        <v>42768</v>
      </c>
      <c r="B2839" s="3">
        <f t="shared" si="88"/>
        <v>2017</v>
      </c>
      <c r="C2839" s="3">
        <f t="shared" si="89"/>
        <v>2</v>
      </c>
      <c r="D2839" t="s">
        <v>621</v>
      </c>
      <c r="E2839" t="s">
        <v>45</v>
      </c>
      <c r="F2839" t="s">
        <v>28</v>
      </c>
      <c r="G2839" t="s">
        <v>38</v>
      </c>
      <c r="H2839" t="s">
        <v>119</v>
      </c>
      <c r="I2839" s="2">
        <v>139.04</v>
      </c>
      <c r="J2839" s="3">
        <v>4</v>
      </c>
      <c r="K2839" s="2">
        <v>38.93</v>
      </c>
    </row>
    <row r="2840" spans="1:11" x14ac:dyDescent="0.35">
      <c r="A2840" s="1">
        <v>42768</v>
      </c>
      <c r="B2840" s="3">
        <f t="shared" si="88"/>
        <v>2017</v>
      </c>
      <c r="C2840" s="3">
        <f t="shared" si="89"/>
        <v>2</v>
      </c>
      <c r="D2840" t="s">
        <v>621</v>
      </c>
      <c r="E2840" t="s">
        <v>45</v>
      </c>
      <c r="F2840" t="s">
        <v>28</v>
      </c>
      <c r="G2840" t="s">
        <v>58</v>
      </c>
      <c r="H2840" t="s">
        <v>2039</v>
      </c>
      <c r="I2840" s="2">
        <v>46.8</v>
      </c>
      <c r="J2840" s="3">
        <v>4</v>
      </c>
      <c r="K2840" s="2">
        <v>16.38</v>
      </c>
    </row>
    <row r="2841" spans="1:11" x14ac:dyDescent="0.35">
      <c r="A2841" s="1">
        <v>42768</v>
      </c>
      <c r="B2841" s="3">
        <f t="shared" si="88"/>
        <v>2017</v>
      </c>
      <c r="C2841" s="3">
        <f t="shared" si="89"/>
        <v>2</v>
      </c>
      <c r="D2841" t="s">
        <v>1725</v>
      </c>
      <c r="E2841" t="s">
        <v>45</v>
      </c>
      <c r="F2841" t="s">
        <v>18</v>
      </c>
      <c r="G2841" t="s">
        <v>36</v>
      </c>
      <c r="H2841" t="s">
        <v>1177</v>
      </c>
      <c r="I2841" s="2">
        <v>210.58</v>
      </c>
      <c r="J2841" s="3">
        <v>2</v>
      </c>
      <c r="K2841" s="2">
        <v>12.63</v>
      </c>
    </row>
    <row r="2842" spans="1:11" x14ac:dyDescent="0.35">
      <c r="A2842" s="1">
        <v>42768</v>
      </c>
      <c r="B2842" s="3">
        <f t="shared" si="88"/>
        <v>2017</v>
      </c>
      <c r="C2842" s="3">
        <f t="shared" si="89"/>
        <v>2</v>
      </c>
      <c r="D2842" t="s">
        <v>1725</v>
      </c>
      <c r="E2842" t="s">
        <v>45</v>
      </c>
      <c r="F2842" t="s">
        <v>28</v>
      </c>
      <c r="G2842" t="s">
        <v>48</v>
      </c>
      <c r="H2842" t="s">
        <v>2133</v>
      </c>
      <c r="I2842" s="2">
        <v>30.96</v>
      </c>
      <c r="J2842" s="3">
        <v>2</v>
      </c>
      <c r="K2842" s="2">
        <v>10.06</v>
      </c>
    </row>
    <row r="2843" spans="1:11" x14ac:dyDescent="0.35">
      <c r="A2843" s="1">
        <v>42768</v>
      </c>
      <c r="B2843" s="3">
        <f t="shared" si="88"/>
        <v>2017</v>
      </c>
      <c r="C2843" s="3">
        <f t="shared" si="89"/>
        <v>2</v>
      </c>
      <c r="D2843" t="s">
        <v>1725</v>
      </c>
      <c r="E2843" t="s">
        <v>45</v>
      </c>
      <c r="F2843" t="s">
        <v>13</v>
      </c>
      <c r="G2843" t="s">
        <v>204</v>
      </c>
      <c r="H2843" t="s">
        <v>2134</v>
      </c>
      <c r="I2843" s="2">
        <v>239.98</v>
      </c>
      <c r="J2843" s="3">
        <v>2</v>
      </c>
      <c r="K2843" s="2">
        <v>39</v>
      </c>
    </row>
    <row r="2844" spans="1:11" x14ac:dyDescent="0.35">
      <c r="A2844" s="1">
        <v>42796</v>
      </c>
      <c r="B2844" s="3">
        <f t="shared" si="88"/>
        <v>2017</v>
      </c>
      <c r="C2844" s="3">
        <f t="shared" si="89"/>
        <v>3</v>
      </c>
      <c r="D2844" t="s">
        <v>2077</v>
      </c>
      <c r="E2844" t="s">
        <v>32</v>
      </c>
      <c r="F2844" t="s">
        <v>28</v>
      </c>
      <c r="G2844" t="s">
        <v>215</v>
      </c>
      <c r="H2844" t="s">
        <v>765</v>
      </c>
      <c r="I2844" s="2">
        <v>6.98</v>
      </c>
      <c r="J2844" s="3">
        <v>4</v>
      </c>
      <c r="K2844" s="2">
        <v>-1.4</v>
      </c>
    </row>
    <row r="2845" spans="1:11" x14ac:dyDescent="0.35">
      <c r="A2845" s="1">
        <v>42796</v>
      </c>
      <c r="B2845" s="3">
        <f t="shared" si="88"/>
        <v>2017</v>
      </c>
      <c r="C2845" s="3">
        <f t="shared" si="89"/>
        <v>3</v>
      </c>
      <c r="D2845" t="s">
        <v>2077</v>
      </c>
      <c r="E2845" t="s">
        <v>32</v>
      </c>
      <c r="F2845" t="s">
        <v>28</v>
      </c>
      <c r="G2845" t="s">
        <v>48</v>
      </c>
      <c r="H2845" t="s">
        <v>775</v>
      </c>
      <c r="I2845" s="2">
        <v>12.22</v>
      </c>
      <c r="J2845" s="3">
        <v>7</v>
      </c>
      <c r="K2845" s="2">
        <v>-20.170000000000002</v>
      </c>
    </row>
    <row r="2846" spans="1:11" x14ac:dyDescent="0.35">
      <c r="A2846" s="1">
        <v>42796</v>
      </c>
      <c r="B2846" s="3">
        <f t="shared" si="88"/>
        <v>2017</v>
      </c>
      <c r="C2846" s="3">
        <f t="shared" si="89"/>
        <v>3</v>
      </c>
      <c r="D2846" t="s">
        <v>2128</v>
      </c>
      <c r="E2846" t="s">
        <v>45</v>
      </c>
      <c r="F2846" t="s">
        <v>13</v>
      </c>
      <c r="G2846" t="s">
        <v>23</v>
      </c>
      <c r="H2846" t="s">
        <v>632</v>
      </c>
      <c r="I2846" s="2">
        <v>196.78</v>
      </c>
      <c r="J2846" s="3">
        <v>3</v>
      </c>
      <c r="K2846" s="2">
        <v>14.76</v>
      </c>
    </row>
    <row r="2847" spans="1:11" x14ac:dyDescent="0.35">
      <c r="A2847" s="1">
        <v>42796</v>
      </c>
      <c r="B2847" s="3">
        <f t="shared" si="88"/>
        <v>2017</v>
      </c>
      <c r="C2847" s="3">
        <f t="shared" si="89"/>
        <v>3</v>
      </c>
      <c r="D2847" t="s">
        <v>2128</v>
      </c>
      <c r="E2847" t="s">
        <v>45</v>
      </c>
      <c r="F2847" t="s">
        <v>13</v>
      </c>
      <c r="G2847" t="s">
        <v>14</v>
      </c>
      <c r="H2847" t="s">
        <v>2135</v>
      </c>
      <c r="I2847" s="2">
        <v>479.94</v>
      </c>
      <c r="J2847" s="3">
        <v>6</v>
      </c>
      <c r="K2847" s="2">
        <v>52.79</v>
      </c>
    </row>
    <row r="2848" spans="1:11" x14ac:dyDescent="0.35">
      <c r="A2848" s="1">
        <v>42796</v>
      </c>
      <c r="B2848" s="3">
        <f t="shared" si="88"/>
        <v>2017</v>
      </c>
      <c r="C2848" s="3">
        <f t="shared" si="89"/>
        <v>3</v>
      </c>
      <c r="D2848" t="s">
        <v>942</v>
      </c>
      <c r="E2848" t="s">
        <v>876</v>
      </c>
      <c r="F2848" t="s">
        <v>28</v>
      </c>
      <c r="G2848" t="s">
        <v>64</v>
      </c>
      <c r="H2848" t="s">
        <v>1257</v>
      </c>
      <c r="I2848" s="2">
        <v>59.52</v>
      </c>
      <c r="J2848" s="3">
        <v>3</v>
      </c>
      <c r="K2848" s="2">
        <v>15.48</v>
      </c>
    </row>
    <row r="2849" spans="1:11" x14ac:dyDescent="0.35">
      <c r="A2849" s="1">
        <v>42796</v>
      </c>
      <c r="B2849" s="3">
        <f t="shared" si="88"/>
        <v>2017</v>
      </c>
      <c r="C2849" s="3">
        <f t="shared" si="89"/>
        <v>3</v>
      </c>
      <c r="D2849" t="s">
        <v>942</v>
      </c>
      <c r="E2849" t="s">
        <v>876</v>
      </c>
      <c r="F2849" t="s">
        <v>28</v>
      </c>
      <c r="G2849" t="s">
        <v>158</v>
      </c>
      <c r="H2849" t="s">
        <v>159</v>
      </c>
      <c r="I2849" s="2">
        <v>57.96</v>
      </c>
      <c r="J2849" s="3">
        <v>7</v>
      </c>
      <c r="K2849" s="2">
        <v>27.24</v>
      </c>
    </row>
    <row r="2850" spans="1:11" x14ac:dyDescent="0.35">
      <c r="A2850" s="1">
        <v>42796</v>
      </c>
      <c r="B2850" s="3">
        <f t="shared" si="88"/>
        <v>2017</v>
      </c>
      <c r="C2850" s="3">
        <f t="shared" si="89"/>
        <v>3</v>
      </c>
      <c r="D2850" t="s">
        <v>942</v>
      </c>
      <c r="E2850" t="s">
        <v>876</v>
      </c>
      <c r="F2850" t="s">
        <v>18</v>
      </c>
      <c r="G2850" t="s">
        <v>237</v>
      </c>
      <c r="H2850" t="s">
        <v>1291</v>
      </c>
      <c r="I2850" s="2">
        <v>441.96</v>
      </c>
      <c r="J2850" s="3">
        <v>2</v>
      </c>
      <c r="K2850" s="2">
        <v>101.65</v>
      </c>
    </row>
    <row r="2851" spans="1:11" x14ac:dyDescent="0.35">
      <c r="A2851" s="1">
        <v>42796</v>
      </c>
      <c r="B2851" s="3">
        <f t="shared" si="88"/>
        <v>2017</v>
      </c>
      <c r="C2851" s="3">
        <f t="shared" si="89"/>
        <v>3</v>
      </c>
      <c r="D2851" t="s">
        <v>942</v>
      </c>
      <c r="E2851" t="s">
        <v>876</v>
      </c>
      <c r="F2851" t="s">
        <v>28</v>
      </c>
      <c r="G2851" t="s">
        <v>29</v>
      </c>
      <c r="H2851" t="s">
        <v>123</v>
      </c>
      <c r="I2851" s="2">
        <v>68.040000000000006</v>
      </c>
      <c r="J2851" s="3">
        <v>6</v>
      </c>
      <c r="K2851" s="2">
        <v>33.340000000000003</v>
      </c>
    </row>
    <row r="2852" spans="1:11" x14ac:dyDescent="0.35">
      <c r="A2852" s="1">
        <v>42796</v>
      </c>
      <c r="B2852" s="3">
        <f t="shared" si="88"/>
        <v>2017</v>
      </c>
      <c r="C2852" s="3">
        <f t="shared" si="89"/>
        <v>3</v>
      </c>
      <c r="D2852" t="s">
        <v>1020</v>
      </c>
      <c r="E2852" t="s">
        <v>131</v>
      </c>
      <c r="F2852" t="s">
        <v>28</v>
      </c>
      <c r="G2852" t="s">
        <v>48</v>
      </c>
      <c r="H2852" t="s">
        <v>1717</v>
      </c>
      <c r="I2852" s="2">
        <v>18.53</v>
      </c>
      <c r="J2852" s="3">
        <v>4</v>
      </c>
      <c r="K2852" s="2">
        <v>-12.35</v>
      </c>
    </row>
    <row r="2853" spans="1:11" x14ac:dyDescent="0.35">
      <c r="A2853" s="1">
        <v>42796</v>
      </c>
      <c r="B2853" s="3">
        <f t="shared" si="88"/>
        <v>2017</v>
      </c>
      <c r="C2853" s="3">
        <f t="shared" si="89"/>
        <v>3</v>
      </c>
      <c r="D2853" t="s">
        <v>2136</v>
      </c>
      <c r="E2853" t="s">
        <v>45</v>
      </c>
      <c r="F2853" t="s">
        <v>28</v>
      </c>
      <c r="G2853" t="s">
        <v>48</v>
      </c>
      <c r="H2853" t="s">
        <v>600</v>
      </c>
      <c r="I2853" s="2">
        <v>107.65</v>
      </c>
      <c r="J2853" s="3">
        <v>2</v>
      </c>
      <c r="K2853" s="2">
        <v>33.64</v>
      </c>
    </row>
    <row r="2854" spans="1:11" x14ac:dyDescent="0.35">
      <c r="A2854" s="1">
        <v>42796</v>
      </c>
      <c r="B2854" s="3">
        <f t="shared" si="88"/>
        <v>2017</v>
      </c>
      <c r="C2854" s="3">
        <f t="shared" si="89"/>
        <v>3</v>
      </c>
      <c r="D2854" t="s">
        <v>586</v>
      </c>
      <c r="E2854" t="s">
        <v>32</v>
      </c>
      <c r="F2854" t="s">
        <v>28</v>
      </c>
      <c r="G2854" t="s">
        <v>48</v>
      </c>
      <c r="H2854" t="s">
        <v>1517</v>
      </c>
      <c r="I2854" s="2">
        <v>0.56000000000000005</v>
      </c>
      <c r="J2854" s="3">
        <v>1</v>
      </c>
      <c r="K2854" s="2">
        <v>-0.95</v>
      </c>
    </row>
    <row r="2855" spans="1:11" x14ac:dyDescent="0.35">
      <c r="A2855" s="1">
        <v>42827</v>
      </c>
      <c r="B2855" s="3">
        <f t="shared" si="88"/>
        <v>2017</v>
      </c>
      <c r="C2855" s="3">
        <f t="shared" si="89"/>
        <v>4</v>
      </c>
      <c r="D2855" t="s">
        <v>1720</v>
      </c>
      <c r="E2855" t="s">
        <v>45</v>
      </c>
      <c r="F2855" t="s">
        <v>18</v>
      </c>
      <c r="G2855" t="s">
        <v>36</v>
      </c>
      <c r="H2855" t="s">
        <v>850</v>
      </c>
      <c r="I2855" s="2">
        <v>25.11</v>
      </c>
      <c r="J2855" s="3">
        <v>3</v>
      </c>
      <c r="K2855" s="2">
        <v>6.53</v>
      </c>
    </row>
    <row r="2856" spans="1:11" x14ac:dyDescent="0.35">
      <c r="A2856" s="1">
        <v>42827</v>
      </c>
      <c r="B2856" s="3">
        <f t="shared" si="88"/>
        <v>2017</v>
      </c>
      <c r="C2856" s="3">
        <f t="shared" si="89"/>
        <v>4</v>
      </c>
      <c r="D2856" t="s">
        <v>1871</v>
      </c>
      <c r="E2856" t="s">
        <v>165</v>
      </c>
      <c r="F2856" t="s">
        <v>18</v>
      </c>
      <c r="G2856" t="s">
        <v>42</v>
      </c>
      <c r="H2856" t="s">
        <v>768</v>
      </c>
      <c r="I2856" s="2">
        <v>411.8</v>
      </c>
      <c r="J2856" s="3">
        <v>2</v>
      </c>
      <c r="K2856" s="2">
        <v>70.010000000000005</v>
      </c>
    </row>
    <row r="2857" spans="1:11" x14ac:dyDescent="0.35">
      <c r="A2857" s="1">
        <v>42827</v>
      </c>
      <c r="B2857" s="3">
        <f t="shared" si="88"/>
        <v>2017</v>
      </c>
      <c r="C2857" s="3">
        <f t="shared" si="89"/>
        <v>4</v>
      </c>
      <c r="D2857" t="s">
        <v>1871</v>
      </c>
      <c r="E2857" t="s">
        <v>165</v>
      </c>
      <c r="F2857" t="s">
        <v>13</v>
      </c>
      <c r="G2857" t="s">
        <v>14</v>
      </c>
      <c r="H2857" t="s">
        <v>407</v>
      </c>
      <c r="I2857" s="2">
        <v>360</v>
      </c>
      <c r="J2857" s="3">
        <v>4</v>
      </c>
      <c r="K2857" s="2">
        <v>129.6</v>
      </c>
    </row>
    <row r="2858" spans="1:11" x14ac:dyDescent="0.35">
      <c r="A2858" s="1">
        <v>42827</v>
      </c>
      <c r="B2858" s="3">
        <f t="shared" si="88"/>
        <v>2017</v>
      </c>
      <c r="C2858" s="3">
        <f t="shared" si="89"/>
        <v>4</v>
      </c>
      <c r="D2858" t="s">
        <v>1330</v>
      </c>
      <c r="E2858" t="s">
        <v>323</v>
      </c>
      <c r="F2858" t="s">
        <v>28</v>
      </c>
      <c r="G2858" t="s">
        <v>64</v>
      </c>
      <c r="H2858" t="s">
        <v>2005</v>
      </c>
      <c r="I2858" s="2">
        <v>11.12</v>
      </c>
      <c r="J2858" s="3">
        <v>4</v>
      </c>
      <c r="K2858" s="2">
        <v>2.89</v>
      </c>
    </row>
    <row r="2859" spans="1:11" x14ac:dyDescent="0.35">
      <c r="A2859" s="1">
        <v>42827</v>
      </c>
      <c r="B2859" s="3">
        <f t="shared" si="88"/>
        <v>2017</v>
      </c>
      <c r="C2859" s="3">
        <f t="shared" si="89"/>
        <v>4</v>
      </c>
      <c r="D2859" t="s">
        <v>1155</v>
      </c>
      <c r="E2859" t="s">
        <v>607</v>
      </c>
      <c r="F2859" t="s">
        <v>28</v>
      </c>
      <c r="G2859" t="s">
        <v>46</v>
      </c>
      <c r="H2859" t="s">
        <v>220</v>
      </c>
      <c r="I2859" s="2">
        <v>14.94</v>
      </c>
      <c r="J2859" s="3">
        <v>3</v>
      </c>
      <c r="K2859" s="2">
        <v>6.87</v>
      </c>
    </row>
    <row r="2860" spans="1:11" x14ac:dyDescent="0.35">
      <c r="A2860" s="1">
        <v>42857</v>
      </c>
      <c r="B2860" s="3">
        <f t="shared" si="88"/>
        <v>2017</v>
      </c>
      <c r="C2860" s="3">
        <f t="shared" si="89"/>
        <v>5</v>
      </c>
      <c r="D2860" t="s">
        <v>1922</v>
      </c>
      <c r="E2860" t="s">
        <v>62</v>
      </c>
      <c r="F2860" t="s">
        <v>18</v>
      </c>
      <c r="G2860" t="s">
        <v>36</v>
      </c>
      <c r="H2860" t="s">
        <v>1030</v>
      </c>
      <c r="I2860" s="2">
        <v>129.93</v>
      </c>
      <c r="J2860" s="3">
        <v>3</v>
      </c>
      <c r="K2860" s="2">
        <v>12.99</v>
      </c>
    </row>
    <row r="2861" spans="1:11" x14ac:dyDescent="0.35">
      <c r="A2861" s="1">
        <v>42857</v>
      </c>
      <c r="B2861" s="3">
        <f t="shared" si="88"/>
        <v>2017</v>
      </c>
      <c r="C2861" s="3">
        <f t="shared" si="89"/>
        <v>5</v>
      </c>
      <c r="D2861" t="s">
        <v>254</v>
      </c>
      <c r="E2861" t="s">
        <v>45</v>
      </c>
      <c r="F2861" t="s">
        <v>13</v>
      </c>
      <c r="G2861" t="s">
        <v>14</v>
      </c>
      <c r="H2861" t="s">
        <v>1707</v>
      </c>
      <c r="I2861" s="2">
        <v>159.56</v>
      </c>
      <c r="J2861" s="3">
        <v>4</v>
      </c>
      <c r="K2861" s="2">
        <v>59.04</v>
      </c>
    </row>
    <row r="2862" spans="1:11" x14ac:dyDescent="0.35">
      <c r="A2862" s="1">
        <v>42857</v>
      </c>
      <c r="B2862" s="3">
        <f t="shared" si="88"/>
        <v>2017</v>
      </c>
      <c r="C2862" s="3">
        <f t="shared" si="89"/>
        <v>5</v>
      </c>
      <c r="D2862" t="s">
        <v>2137</v>
      </c>
      <c r="E2862" t="s">
        <v>45</v>
      </c>
      <c r="F2862" t="s">
        <v>28</v>
      </c>
      <c r="G2862" t="s">
        <v>29</v>
      </c>
      <c r="H2862" t="s">
        <v>447</v>
      </c>
      <c r="I2862" s="2">
        <v>15.7</v>
      </c>
      <c r="J2862" s="3">
        <v>5</v>
      </c>
      <c r="K2862" s="2">
        <v>7.07</v>
      </c>
    </row>
    <row r="2863" spans="1:11" x14ac:dyDescent="0.35">
      <c r="A2863" s="1">
        <v>42857</v>
      </c>
      <c r="B2863" s="3">
        <f t="shared" si="88"/>
        <v>2017</v>
      </c>
      <c r="C2863" s="3">
        <f t="shared" si="89"/>
        <v>5</v>
      </c>
      <c r="D2863" t="s">
        <v>2137</v>
      </c>
      <c r="E2863" t="s">
        <v>45</v>
      </c>
      <c r="F2863" t="s">
        <v>28</v>
      </c>
      <c r="G2863" t="s">
        <v>64</v>
      </c>
      <c r="H2863" t="s">
        <v>1257</v>
      </c>
      <c r="I2863" s="2">
        <v>59.52</v>
      </c>
      <c r="J2863" s="3">
        <v>3</v>
      </c>
      <c r="K2863" s="2">
        <v>15.48</v>
      </c>
    </row>
    <row r="2864" spans="1:11" x14ac:dyDescent="0.35">
      <c r="A2864" s="1">
        <v>42857</v>
      </c>
      <c r="B2864" s="3">
        <f t="shared" si="88"/>
        <v>2017</v>
      </c>
      <c r="C2864" s="3">
        <f t="shared" si="89"/>
        <v>5</v>
      </c>
      <c r="D2864" t="s">
        <v>2137</v>
      </c>
      <c r="E2864" t="s">
        <v>45</v>
      </c>
      <c r="F2864" t="s">
        <v>28</v>
      </c>
      <c r="G2864" t="s">
        <v>29</v>
      </c>
      <c r="H2864" t="s">
        <v>1546</v>
      </c>
      <c r="I2864" s="2">
        <v>34.4</v>
      </c>
      <c r="J2864" s="3">
        <v>5</v>
      </c>
      <c r="K2864" s="2">
        <v>15.82</v>
      </c>
    </row>
    <row r="2865" spans="1:11" x14ac:dyDescent="0.35">
      <c r="A2865" s="1">
        <v>42888</v>
      </c>
      <c r="B2865" s="3">
        <f t="shared" si="88"/>
        <v>2017</v>
      </c>
      <c r="C2865" s="3">
        <f t="shared" si="89"/>
        <v>6</v>
      </c>
      <c r="D2865" t="s">
        <v>1205</v>
      </c>
      <c r="E2865" t="s">
        <v>131</v>
      </c>
      <c r="F2865" t="s">
        <v>13</v>
      </c>
      <c r="G2865" t="s">
        <v>23</v>
      </c>
      <c r="H2865" t="s">
        <v>1071</v>
      </c>
      <c r="I2865" s="2">
        <v>2.97</v>
      </c>
      <c r="J2865" s="3">
        <v>1</v>
      </c>
      <c r="K2865" s="2">
        <v>-0.64</v>
      </c>
    </row>
    <row r="2866" spans="1:11" x14ac:dyDescent="0.35">
      <c r="A2866" s="1">
        <v>42888</v>
      </c>
      <c r="B2866" s="3">
        <f t="shared" si="88"/>
        <v>2017</v>
      </c>
      <c r="C2866" s="3">
        <f t="shared" si="89"/>
        <v>6</v>
      </c>
      <c r="D2866" t="s">
        <v>1205</v>
      </c>
      <c r="E2866" t="s">
        <v>131</v>
      </c>
      <c r="F2866" t="s">
        <v>28</v>
      </c>
      <c r="G2866" t="s">
        <v>38</v>
      </c>
      <c r="H2866" t="s">
        <v>1116</v>
      </c>
      <c r="I2866" s="2">
        <v>27.44</v>
      </c>
      <c r="J2866" s="3">
        <v>2</v>
      </c>
      <c r="K2866" s="2">
        <v>2.4</v>
      </c>
    </row>
    <row r="2867" spans="1:11" x14ac:dyDescent="0.35">
      <c r="A2867" s="1">
        <v>42888</v>
      </c>
      <c r="B2867" s="3">
        <f t="shared" si="88"/>
        <v>2017</v>
      </c>
      <c r="C2867" s="3">
        <f t="shared" si="89"/>
        <v>6</v>
      </c>
      <c r="D2867" t="s">
        <v>309</v>
      </c>
      <c r="E2867" t="s">
        <v>211</v>
      </c>
      <c r="F2867" t="s">
        <v>28</v>
      </c>
      <c r="G2867" t="s">
        <v>29</v>
      </c>
      <c r="H2867" t="s">
        <v>865</v>
      </c>
      <c r="I2867" s="2">
        <v>25.34</v>
      </c>
      <c r="J2867" s="3">
        <v>6</v>
      </c>
      <c r="K2867" s="2">
        <v>7.92</v>
      </c>
    </row>
    <row r="2868" spans="1:11" x14ac:dyDescent="0.35">
      <c r="A2868" s="1">
        <v>42888</v>
      </c>
      <c r="B2868" s="3">
        <f t="shared" si="88"/>
        <v>2017</v>
      </c>
      <c r="C2868" s="3">
        <f t="shared" si="89"/>
        <v>6</v>
      </c>
      <c r="D2868" t="s">
        <v>309</v>
      </c>
      <c r="E2868" t="s">
        <v>211</v>
      </c>
      <c r="F2868" t="s">
        <v>28</v>
      </c>
      <c r="G2868" t="s">
        <v>158</v>
      </c>
      <c r="H2868" t="s">
        <v>2073</v>
      </c>
      <c r="I2868" s="2">
        <v>43.92</v>
      </c>
      <c r="J2868" s="3">
        <v>5</v>
      </c>
      <c r="K2868" s="2">
        <v>15.92</v>
      </c>
    </row>
    <row r="2869" spans="1:11" x14ac:dyDescent="0.35">
      <c r="A2869" s="1">
        <v>42888</v>
      </c>
      <c r="B2869" s="3">
        <f t="shared" si="88"/>
        <v>2017</v>
      </c>
      <c r="C2869" s="3">
        <f t="shared" si="89"/>
        <v>6</v>
      </c>
      <c r="D2869" t="s">
        <v>177</v>
      </c>
      <c r="E2869" t="s">
        <v>81</v>
      </c>
      <c r="F2869" t="s">
        <v>28</v>
      </c>
      <c r="G2869" t="s">
        <v>29</v>
      </c>
      <c r="H2869" t="s">
        <v>668</v>
      </c>
      <c r="I2869" s="2">
        <v>25.34</v>
      </c>
      <c r="J2869" s="3">
        <v>4</v>
      </c>
      <c r="K2869" s="2">
        <v>9.19</v>
      </c>
    </row>
    <row r="2870" spans="1:11" x14ac:dyDescent="0.35">
      <c r="A2870" s="1">
        <v>42888</v>
      </c>
      <c r="B2870" s="3">
        <f t="shared" si="88"/>
        <v>2017</v>
      </c>
      <c r="C2870" s="3">
        <f t="shared" si="89"/>
        <v>6</v>
      </c>
      <c r="D2870" t="s">
        <v>1109</v>
      </c>
      <c r="E2870" t="s">
        <v>32</v>
      </c>
      <c r="F2870" t="s">
        <v>28</v>
      </c>
      <c r="G2870" t="s">
        <v>29</v>
      </c>
      <c r="H2870" t="s">
        <v>1907</v>
      </c>
      <c r="I2870" s="2">
        <v>10.69</v>
      </c>
      <c r="J2870" s="3">
        <v>2</v>
      </c>
      <c r="K2870" s="2">
        <v>3.74</v>
      </c>
    </row>
    <row r="2871" spans="1:11" x14ac:dyDescent="0.35">
      <c r="A2871" s="1">
        <v>42918</v>
      </c>
      <c r="B2871" s="3">
        <f t="shared" si="88"/>
        <v>2017</v>
      </c>
      <c r="C2871" s="3">
        <f t="shared" si="89"/>
        <v>7</v>
      </c>
      <c r="D2871" t="s">
        <v>2138</v>
      </c>
      <c r="E2871" t="s">
        <v>32</v>
      </c>
      <c r="F2871" t="s">
        <v>28</v>
      </c>
      <c r="G2871" t="s">
        <v>29</v>
      </c>
      <c r="H2871" t="s">
        <v>1828</v>
      </c>
      <c r="I2871" s="2">
        <v>163.96</v>
      </c>
      <c r="J2871" s="3">
        <v>5</v>
      </c>
      <c r="K2871" s="2">
        <v>59.44</v>
      </c>
    </row>
    <row r="2872" spans="1:11" x14ac:dyDescent="0.35">
      <c r="A2872" s="1">
        <v>42918</v>
      </c>
      <c r="B2872" s="3">
        <f t="shared" si="88"/>
        <v>2017</v>
      </c>
      <c r="C2872" s="3">
        <f t="shared" si="89"/>
        <v>7</v>
      </c>
      <c r="D2872" t="s">
        <v>2138</v>
      </c>
      <c r="E2872" t="s">
        <v>32</v>
      </c>
      <c r="F2872" t="s">
        <v>28</v>
      </c>
      <c r="G2872" t="s">
        <v>48</v>
      </c>
      <c r="H2872" t="s">
        <v>469</v>
      </c>
      <c r="I2872" s="2">
        <v>5.23</v>
      </c>
      <c r="J2872" s="3">
        <v>4</v>
      </c>
      <c r="K2872" s="2">
        <v>-8.11</v>
      </c>
    </row>
    <row r="2873" spans="1:11" x14ac:dyDescent="0.35">
      <c r="A2873" s="1">
        <v>42980</v>
      </c>
      <c r="B2873" s="3">
        <f t="shared" si="88"/>
        <v>2017</v>
      </c>
      <c r="C2873" s="3">
        <f t="shared" si="89"/>
        <v>9</v>
      </c>
      <c r="D2873" t="s">
        <v>74</v>
      </c>
      <c r="E2873" t="s">
        <v>131</v>
      </c>
      <c r="F2873" t="s">
        <v>18</v>
      </c>
      <c r="G2873" t="s">
        <v>36</v>
      </c>
      <c r="H2873" t="s">
        <v>2139</v>
      </c>
      <c r="I2873" s="2">
        <v>15.07</v>
      </c>
      <c r="J2873" s="3">
        <v>3</v>
      </c>
      <c r="K2873" s="2">
        <v>4.1399999999999997</v>
      </c>
    </row>
    <row r="2874" spans="1:11" x14ac:dyDescent="0.35">
      <c r="A2874" s="1">
        <v>42980</v>
      </c>
      <c r="B2874" s="3">
        <f t="shared" si="88"/>
        <v>2017</v>
      </c>
      <c r="C2874" s="3">
        <f t="shared" si="89"/>
        <v>9</v>
      </c>
      <c r="D2874" t="s">
        <v>2140</v>
      </c>
      <c r="E2874" t="s">
        <v>71</v>
      </c>
      <c r="F2874" t="s">
        <v>13</v>
      </c>
      <c r="G2874" t="s">
        <v>23</v>
      </c>
      <c r="H2874" t="s">
        <v>2141</v>
      </c>
      <c r="I2874" s="2">
        <v>1199.8</v>
      </c>
      <c r="J2874" s="3">
        <v>4</v>
      </c>
      <c r="K2874" s="2">
        <v>323.95</v>
      </c>
    </row>
    <row r="2875" spans="1:11" x14ac:dyDescent="0.35">
      <c r="A2875" s="1">
        <v>42980</v>
      </c>
      <c r="B2875" s="3">
        <f t="shared" si="88"/>
        <v>2017</v>
      </c>
      <c r="C2875" s="3">
        <f t="shared" si="89"/>
        <v>9</v>
      </c>
      <c r="D2875" t="s">
        <v>2140</v>
      </c>
      <c r="E2875" t="s">
        <v>71</v>
      </c>
      <c r="F2875" t="s">
        <v>13</v>
      </c>
      <c r="G2875" t="s">
        <v>14</v>
      </c>
      <c r="H2875" t="s">
        <v>2142</v>
      </c>
      <c r="I2875" s="2">
        <v>1928.78</v>
      </c>
      <c r="J2875" s="3">
        <v>7</v>
      </c>
      <c r="K2875" s="2">
        <v>829.38</v>
      </c>
    </row>
    <row r="2876" spans="1:11" x14ac:dyDescent="0.35">
      <c r="A2876" s="1">
        <v>42980</v>
      </c>
      <c r="B2876" s="3">
        <f t="shared" si="88"/>
        <v>2017</v>
      </c>
      <c r="C2876" s="3">
        <f t="shared" si="89"/>
        <v>9</v>
      </c>
      <c r="D2876" t="s">
        <v>2140</v>
      </c>
      <c r="E2876" t="s">
        <v>71</v>
      </c>
      <c r="F2876" t="s">
        <v>28</v>
      </c>
      <c r="G2876" t="s">
        <v>38</v>
      </c>
      <c r="H2876" t="s">
        <v>934</v>
      </c>
      <c r="I2876" s="2">
        <v>352.38</v>
      </c>
      <c r="J2876" s="3">
        <v>2</v>
      </c>
      <c r="K2876" s="2">
        <v>81.05</v>
      </c>
    </row>
    <row r="2877" spans="1:11" x14ac:dyDescent="0.35">
      <c r="A2877" s="1">
        <v>42980</v>
      </c>
      <c r="B2877" s="3">
        <f t="shared" si="88"/>
        <v>2017</v>
      </c>
      <c r="C2877" s="3">
        <f t="shared" si="89"/>
        <v>9</v>
      </c>
      <c r="D2877" t="s">
        <v>1626</v>
      </c>
      <c r="E2877" t="s">
        <v>89</v>
      </c>
      <c r="F2877" t="s">
        <v>28</v>
      </c>
      <c r="G2877" t="s">
        <v>29</v>
      </c>
      <c r="H2877" t="s">
        <v>256</v>
      </c>
      <c r="I2877" s="2">
        <v>12.19</v>
      </c>
      <c r="J2877" s="3">
        <v>3</v>
      </c>
      <c r="K2877" s="2">
        <v>4.1100000000000003</v>
      </c>
    </row>
    <row r="2878" spans="1:11" x14ac:dyDescent="0.35">
      <c r="A2878" s="1">
        <v>42980</v>
      </c>
      <c r="B2878" s="3">
        <f t="shared" si="88"/>
        <v>2017</v>
      </c>
      <c r="C2878" s="3">
        <f t="shared" si="89"/>
        <v>9</v>
      </c>
      <c r="D2878" t="s">
        <v>1756</v>
      </c>
      <c r="E2878" t="s">
        <v>45</v>
      </c>
      <c r="F2878" t="s">
        <v>28</v>
      </c>
      <c r="G2878" t="s">
        <v>64</v>
      </c>
      <c r="H2878" t="s">
        <v>2143</v>
      </c>
      <c r="I2878" s="2">
        <v>6.57</v>
      </c>
      <c r="J2878" s="3">
        <v>3</v>
      </c>
      <c r="K2878" s="2">
        <v>1.77</v>
      </c>
    </row>
    <row r="2879" spans="1:11" x14ac:dyDescent="0.35">
      <c r="A2879" s="1">
        <v>42980</v>
      </c>
      <c r="B2879" s="3">
        <f t="shared" si="88"/>
        <v>2017</v>
      </c>
      <c r="C2879" s="3">
        <f t="shared" si="89"/>
        <v>9</v>
      </c>
      <c r="D2879" t="s">
        <v>2144</v>
      </c>
      <c r="E2879" t="s">
        <v>22</v>
      </c>
      <c r="F2879" t="s">
        <v>28</v>
      </c>
      <c r="G2879" t="s">
        <v>64</v>
      </c>
      <c r="H2879" t="s">
        <v>200</v>
      </c>
      <c r="I2879" s="2">
        <v>23.1</v>
      </c>
      <c r="J2879" s="3">
        <v>2</v>
      </c>
      <c r="K2879" s="2">
        <v>6.47</v>
      </c>
    </row>
    <row r="2880" spans="1:11" x14ac:dyDescent="0.35">
      <c r="A2880" s="1">
        <v>42980</v>
      </c>
      <c r="B2880" s="3">
        <f t="shared" si="88"/>
        <v>2017</v>
      </c>
      <c r="C2880" s="3">
        <f t="shared" si="89"/>
        <v>9</v>
      </c>
      <c r="D2880" t="s">
        <v>2144</v>
      </c>
      <c r="E2880" t="s">
        <v>22</v>
      </c>
      <c r="F2880" t="s">
        <v>18</v>
      </c>
      <c r="G2880" t="s">
        <v>36</v>
      </c>
      <c r="H2880" t="s">
        <v>937</v>
      </c>
      <c r="I2880" s="2">
        <v>11.54</v>
      </c>
      <c r="J2880" s="3">
        <v>2</v>
      </c>
      <c r="K2880" s="2">
        <v>3.46</v>
      </c>
    </row>
    <row r="2881" spans="1:11" x14ac:dyDescent="0.35">
      <c r="A2881" s="1">
        <v>42980</v>
      </c>
      <c r="B2881" s="3">
        <f t="shared" si="88"/>
        <v>2017</v>
      </c>
      <c r="C2881" s="3">
        <f t="shared" si="89"/>
        <v>9</v>
      </c>
      <c r="D2881" t="s">
        <v>2144</v>
      </c>
      <c r="E2881" t="s">
        <v>22</v>
      </c>
      <c r="F2881" t="s">
        <v>18</v>
      </c>
      <c r="G2881" t="s">
        <v>42</v>
      </c>
      <c r="H2881" t="s">
        <v>1516</v>
      </c>
      <c r="I2881" s="2">
        <v>254.53</v>
      </c>
      <c r="J2881" s="3">
        <v>1</v>
      </c>
      <c r="K2881" s="2">
        <v>-93.33</v>
      </c>
    </row>
    <row r="2882" spans="1:11" x14ac:dyDescent="0.35">
      <c r="A2882" s="1">
        <v>42980</v>
      </c>
      <c r="B2882" s="3">
        <f t="shared" ref="B2882:B2945" si="90">YEAR(A2882)</f>
        <v>2017</v>
      </c>
      <c r="C2882" s="3">
        <f t="shared" ref="C2882:C2945" si="91">MONTH(A2882)</f>
        <v>9</v>
      </c>
      <c r="D2882" t="s">
        <v>2144</v>
      </c>
      <c r="E2882" t="s">
        <v>22</v>
      </c>
      <c r="F2882" t="s">
        <v>28</v>
      </c>
      <c r="G2882" t="s">
        <v>58</v>
      </c>
      <c r="H2882" t="s">
        <v>1892</v>
      </c>
      <c r="I2882" s="2">
        <v>12.98</v>
      </c>
      <c r="J2882" s="3">
        <v>1</v>
      </c>
      <c r="K2882" s="2">
        <v>3.76</v>
      </c>
    </row>
    <row r="2883" spans="1:11" x14ac:dyDescent="0.35">
      <c r="A2883" s="1">
        <v>42980</v>
      </c>
      <c r="B2883" s="3">
        <f t="shared" si="90"/>
        <v>2017</v>
      </c>
      <c r="C2883" s="3">
        <f t="shared" si="91"/>
        <v>9</v>
      </c>
      <c r="D2883" t="s">
        <v>2144</v>
      </c>
      <c r="E2883" t="s">
        <v>22</v>
      </c>
      <c r="F2883" t="s">
        <v>28</v>
      </c>
      <c r="G2883" t="s">
        <v>48</v>
      </c>
      <c r="H2883" t="s">
        <v>657</v>
      </c>
      <c r="I2883" s="2">
        <v>26.43</v>
      </c>
      <c r="J2883" s="3">
        <v>8</v>
      </c>
      <c r="K2883" s="2">
        <v>8.92</v>
      </c>
    </row>
    <row r="2884" spans="1:11" x14ac:dyDescent="0.35">
      <c r="A2884" s="1">
        <v>42980</v>
      </c>
      <c r="B2884" s="3">
        <f t="shared" si="90"/>
        <v>2017</v>
      </c>
      <c r="C2884" s="3">
        <f t="shared" si="91"/>
        <v>9</v>
      </c>
      <c r="D2884" t="s">
        <v>2144</v>
      </c>
      <c r="E2884" t="s">
        <v>22</v>
      </c>
      <c r="F2884" t="s">
        <v>13</v>
      </c>
      <c r="G2884" t="s">
        <v>23</v>
      </c>
      <c r="H2884" t="s">
        <v>916</v>
      </c>
      <c r="I2884" s="2">
        <v>197.97</v>
      </c>
      <c r="J2884" s="3">
        <v>3</v>
      </c>
      <c r="K2884" s="2">
        <v>57.41</v>
      </c>
    </row>
    <row r="2885" spans="1:11" x14ac:dyDescent="0.35">
      <c r="A2885" s="1">
        <v>42980</v>
      </c>
      <c r="B2885" s="3">
        <f t="shared" si="90"/>
        <v>2017</v>
      </c>
      <c r="C2885" s="3">
        <f t="shared" si="91"/>
        <v>9</v>
      </c>
      <c r="D2885" t="s">
        <v>2144</v>
      </c>
      <c r="E2885" t="s">
        <v>22</v>
      </c>
      <c r="F2885" t="s">
        <v>28</v>
      </c>
      <c r="G2885" t="s">
        <v>46</v>
      </c>
      <c r="H2885" t="s">
        <v>355</v>
      </c>
      <c r="I2885" s="2">
        <v>18.899999999999999</v>
      </c>
      <c r="J2885" s="3">
        <v>6</v>
      </c>
      <c r="K2885" s="2">
        <v>9.07</v>
      </c>
    </row>
    <row r="2886" spans="1:11" x14ac:dyDescent="0.35">
      <c r="A2886" s="1">
        <v>42980</v>
      </c>
      <c r="B2886" s="3">
        <f t="shared" si="90"/>
        <v>2017</v>
      </c>
      <c r="C2886" s="3">
        <f t="shared" si="91"/>
        <v>9</v>
      </c>
      <c r="D2886" t="s">
        <v>2144</v>
      </c>
      <c r="E2886" t="s">
        <v>22</v>
      </c>
      <c r="F2886" t="s">
        <v>18</v>
      </c>
      <c r="G2886" t="s">
        <v>19</v>
      </c>
      <c r="H2886" t="s">
        <v>917</v>
      </c>
      <c r="I2886" s="2">
        <v>1282.4100000000001</v>
      </c>
      <c r="J2886" s="3">
        <v>5</v>
      </c>
      <c r="K2886" s="2">
        <v>213.74</v>
      </c>
    </row>
    <row r="2887" spans="1:11" x14ac:dyDescent="0.35">
      <c r="A2887" s="1">
        <v>42980</v>
      </c>
      <c r="B2887" s="3">
        <f t="shared" si="90"/>
        <v>2017</v>
      </c>
      <c r="C2887" s="3">
        <f t="shared" si="91"/>
        <v>9</v>
      </c>
      <c r="D2887" t="s">
        <v>2144</v>
      </c>
      <c r="E2887" t="s">
        <v>22</v>
      </c>
      <c r="F2887" t="s">
        <v>28</v>
      </c>
      <c r="G2887" t="s">
        <v>64</v>
      </c>
      <c r="H2887" t="s">
        <v>2145</v>
      </c>
      <c r="I2887" s="2">
        <v>4.92</v>
      </c>
      <c r="J2887" s="3">
        <v>3</v>
      </c>
      <c r="K2887" s="2">
        <v>2.21</v>
      </c>
    </row>
    <row r="2888" spans="1:11" x14ac:dyDescent="0.35">
      <c r="A2888" s="1">
        <v>42980</v>
      </c>
      <c r="B2888" s="3">
        <f t="shared" si="90"/>
        <v>2017</v>
      </c>
      <c r="C2888" s="3">
        <f t="shared" si="91"/>
        <v>9</v>
      </c>
      <c r="D2888" t="s">
        <v>2144</v>
      </c>
      <c r="E2888" t="s">
        <v>22</v>
      </c>
      <c r="F2888" t="s">
        <v>13</v>
      </c>
      <c r="G2888" t="s">
        <v>14</v>
      </c>
      <c r="H2888" t="s">
        <v>98</v>
      </c>
      <c r="I2888" s="2">
        <v>238</v>
      </c>
      <c r="J2888" s="3">
        <v>2</v>
      </c>
      <c r="K2888" s="2">
        <v>38.08</v>
      </c>
    </row>
    <row r="2889" spans="1:11" x14ac:dyDescent="0.35">
      <c r="A2889" s="1">
        <v>42980</v>
      </c>
      <c r="B2889" s="3">
        <f t="shared" si="90"/>
        <v>2017</v>
      </c>
      <c r="C2889" s="3">
        <f t="shared" si="91"/>
        <v>9</v>
      </c>
      <c r="D2889" t="s">
        <v>2144</v>
      </c>
      <c r="E2889" t="s">
        <v>22</v>
      </c>
      <c r="F2889" t="s">
        <v>13</v>
      </c>
      <c r="G2889" t="s">
        <v>14</v>
      </c>
      <c r="H2889" t="s">
        <v>751</v>
      </c>
      <c r="I2889" s="2">
        <v>167.97</v>
      </c>
      <c r="J2889" s="3">
        <v>3</v>
      </c>
      <c r="K2889" s="2">
        <v>40.31</v>
      </c>
    </row>
    <row r="2890" spans="1:11" x14ac:dyDescent="0.35">
      <c r="A2890" s="1">
        <v>42980</v>
      </c>
      <c r="B2890" s="3">
        <f t="shared" si="90"/>
        <v>2017</v>
      </c>
      <c r="C2890" s="3">
        <f t="shared" si="91"/>
        <v>9</v>
      </c>
      <c r="D2890" t="s">
        <v>2144</v>
      </c>
      <c r="E2890" t="s">
        <v>22</v>
      </c>
      <c r="F2890" t="s">
        <v>28</v>
      </c>
      <c r="G2890" t="s">
        <v>29</v>
      </c>
      <c r="H2890" t="s">
        <v>1610</v>
      </c>
      <c r="I2890" s="2">
        <v>17.12</v>
      </c>
      <c r="J2890" s="3">
        <v>4</v>
      </c>
      <c r="K2890" s="2">
        <v>7.7</v>
      </c>
    </row>
    <row r="2891" spans="1:11" x14ac:dyDescent="0.35">
      <c r="A2891" s="1">
        <v>42980</v>
      </c>
      <c r="B2891" s="3">
        <f t="shared" si="90"/>
        <v>2017</v>
      </c>
      <c r="C2891" s="3">
        <f t="shared" si="91"/>
        <v>9</v>
      </c>
      <c r="D2891" t="s">
        <v>2146</v>
      </c>
      <c r="E2891" t="s">
        <v>45</v>
      </c>
      <c r="F2891" t="s">
        <v>28</v>
      </c>
      <c r="G2891" t="s">
        <v>64</v>
      </c>
      <c r="H2891" t="s">
        <v>120</v>
      </c>
      <c r="I2891" s="2">
        <v>9.4</v>
      </c>
      <c r="J2891" s="3">
        <v>5</v>
      </c>
      <c r="K2891" s="2">
        <v>2.73</v>
      </c>
    </row>
    <row r="2892" spans="1:11" x14ac:dyDescent="0.35">
      <c r="A2892" s="1">
        <v>42980</v>
      </c>
      <c r="B2892" s="3">
        <f t="shared" si="90"/>
        <v>2017</v>
      </c>
      <c r="C2892" s="3">
        <f t="shared" si="91"/>
        <v>9</v>
      </c>
      <c r="D2892" t="s">
        <v>2146</v>
      </c>
      <c r="E2892" t="s">
        <v>45</v>
      </c>
      <c r="F2892" t="s">
        <v>28</v>
      </c>
      <c r="G2892" t="s">
        <v>46</v>
      </c>
      <c r="H2892" t="s">
        <v>1093</v>
      </c>
      <c r="I2892" s="2">
        <v>74</v>
      </c>
      <c r="J2892" s="3">
        <v>5</v>
      </c>
      <c r="K2892" s="2">
        <v>37</v>
      </c>
    </row>
    <row r="2893" spans="1:11" x14ac:dyDescent="0.35">
      <c r="A2893" s="1">
        <v>42980</v>
      </c>
      <c r="B2893" s="3">
        <f t="shared" si="90"/>
        <v>2017</v>
      </c>
      <c r="C2893" s="3">
        <f t="shared" si="91"/>
        <v>9</v>
      </c>
      <c r="D2893" t="s">
        <v>2146</v>
      </c>
      <c r="E2893" t="s">
        <v>45</v>
      </c>
      <c r="F2893" t="s">
        <v>13</v>
      </c>
      <c r="G2893" t="s">
        <v>23</v>
      </c>
      <c r="H2893" t="s">
        <v>2147</v>
      </c>
      <c r="I2893" s="2">
        <v>201.58</v>
      </c>
      <c r="J2893" s="3">
        <v>2</v>
      </c>
      <c r="K2893" s="2">
        <v>12.6</v>
      </c>
    </row>
    <row r="2894" spans="1:11" x14ac:dyDescent="0.35">
      <c r="A2894" s="1">
        <v>42980</v>
      </c>
      <c r="B2894" s="3">
        <f t="shared" si="90"/>
        <v>2017</v>
      </c>
      <c r="C2894" s="3">
        <f t="shared" si="91"/>
        <v>9</v>
      </c>
      <c r="D2894" t="s">
        <v>2148</v>
      </c>
      <c r="E2894" t="s">
        <v>323</v>
      </c>
      <c r="F2894" t="s">
        <v>28</v>
      </c>
      <c r="G2894" t="s">
        <v>38</v>
      </c>
      <c r="H2894" t="s">
        <v>1748</v>
      </c>
      <c r="I2894" s="2">
        <v>10.9</v>
      </c>
      <c r="J2894" s="3">
        <v>1</v>
      </c>
      <c r="K2894" s="2">
        <v>2.83</v>
      </c>
    </row>
    <row r="2895" spans="1:11" x14ac:dyDescent="0.35">
      <c r="A2895" s="1">
        <v>42980</v>
      </c>
      <c r="B2895" s="3">
        <f t="shared" si="90"/>
        <v>2017</v>
      </c>
      <c r="C2895" s="3">
        <f t="shared" si="91"/>
        <v>9</v>
      </c>
      <c r="D2895" t="s">
        <v>2148</v>
      </c>
      <c r="E2895" t="s">
        <v>323</v>
      </c>
      <c r="F2895" t="s">
        <v>28</v>
      </c>
      <c r="G2895" t="s">
        <v>29</v>
      </c>
      <c r="H2895" t="s">
        <v>1884</v>
      </c>
      <c r="I2895" s="2">
        <v>79.92</v>
      </c>
      <c r="J2895" s="3">
        <v>4</v>
      </c>
      <c r="K2895" s="2">
        <v>37.56</v>
      </c>
    </row>
    <row r="2896" spans="1:11" x14ac:dyDescent="0.35">
      <c r="A2896" s="1">
        <v>42980</v>
      </c>
      <c r="B2896" s="3">
        <f t="shared" si="90"/>
        <v>2017</v>
      </c>
      <c r="C2896" s="3">
        <f t="shared" si="91"/>
        <v>9</v>
      </c>
      <c r="D2896" t="s">
        <v>2148</v>
      </c>
      <c r="E2896" t="s">
        <v>323</v>
      </c>
      <c r="F2896" t="s">
        <v>28</v>
      </c>
      <c r="G2896" t="s">
        <v>29</v>
      </c>
      <c r="H2896" t="s">
        <v>2149</v>
      </c>
      <c r="I2896" s="2">
        <v>146.82</v>
      </c>
      <c r="J2896" s="3">
        <v>3</v>
      </c>
      <c r="K2896" s="2">
        <v>73.41</v>
      </c>
    </row>
    <row r="2897" spans="1:11" x14ac:dyDescent="0.35">
      <c r="A2897" s="1">
        <v>42980</v>
      </c>
      <c r="B2897" s="3">
        <f t="shared" si="90"/>
        <v>2017</v>
      </c>
      <c r="C2897" s="3">
        <f t="shared" si="91"/>
        <v>9</v>
      </c>
      <c r="D2897" t="s">
        <v>267</v>
      </c>
      <c r="E2897" t="s">
        <v>26</v>
      </c>
      <c r="F2897" t="s">
        <v>28</v>
      </c>
      <c r="G2897" t="s">
        <v>33</v>
      </c>
      <c r="H2897" t="s">
        <v>518</v>
      </c>
      <c r="I2897" s="2">
        <v>16</v>
      </c>
      <c r="J2897" s="3">
        <v>4</v>
      </c>
      <c r="K2897" s="2">
        <v>5.6</v>
      </c>
    </row>
    <row r="2898" spans="1:11" x14ac:dyDescent="0.35">
      <c r="A2898" s="1">
        <v>42980</v>
      </c>
      <c r="B2898" s="3">
        <f t="shared" si="90"/>
        <v>2017</v>
      </c>
      <c r="C2898" s="3">
        <f t="shared" si="91"/>
        <v>9</v>
      </c>
      <c r="D2898" t="s">
        <v>267</v>
      </c>
      <c r="E2898" t="s">
        <v>26</v>
      </c>
      <c r="F2898" t="s">
        <v>28</v>
      </c>
      <c r="G2898" t="s">
        <v>58</v>
      </c>
      <c r="H2898" t="s">
        <v>1914</v>
      </c>
      <c r="I2898" s="2">
        <v>5.59</v>
      </c>
      <c r="J2898" s="3">
        <v>2</v>
      </c>
      <c r="K2898" s="2">
        <v>-15.09</v>
      </c>
    </row>
    <row r="2899" spans="1:11" x14ac:dyDescent="0.35">
      <c r="A2899" s="1">
        <v>42980</v>
      </c>
      <c r="B2899" s="3">
        <f t="shared" si="90"/>
        <v>2017</v>
      </c>
      <c r="C2899" s="3">
        <f t="shared" si="91"/>
        <v>9</v>
      </c>
      <c r="D2899" t="s">
        <v>267</v>
      </c>
      <c r="E2899" t="s">
        <v>26</v>
      </c>
      <c r="F2899" t="s">
        <v>28</v>
      </c>
      <c r="G2899" t="s">
        <v>38</v>
      </c>
      <c r="H2899" t="s">
        <v>1528</v>
      </c>
      <c r="I2899" s="2">
        <v>235.92</v>
      </c>
      <c r="J2899" s="3">
        <v>5</v>
      </c>
      <c r="K2899" s="2">
        <v>-44.24</v>
      </c>
    </row>
    <row r="2900" spans="1:11" x14ac:dyDescent="0.35">
      <c r="A2900" s="1">
        <v>42980</v>
      </c>
      <c r="B2900" s="3">
        <f t="shared" si="90"/>
        <v>2017</v>
      </c>
      <c r="C2900" s="3">
        <f t="shared" si="91"/>
        <v>9</v>
      </c>
      <c r="D2900" t="s">
        <v>1469</v>
      </c>
      <c r="E2900" t="s">
        <v>26</v>
      </c>
      <c r="F2900" t="s">
        <v>13</v>
      </c>
      <c r="G2900" t="s">
        <v>14</v>
      </c>
      <c r="H2900" t="s">
        <v>541</v>
      </c>
      <c r="I2900" s="2">
        <v>40.68</v>
      </c>
      <c r="J2900" s="3">
        <v>3</v>
      </c>
      <c r="K2900" s="2">
        <v>-7.12</v>
      </c>
    </row>
    <row r="2901" spans="1:11" x14ac:dyDescent="0.35">
      <c r="A2901" s="1">
        <v>42980</v>
      </c>
      <c r="B2901" s="3">
        <f t="shared" si="90"/>
        <v>2017</v>
      </c>
      <c r="C2901" s="3">
        <f t="shared" si="91"/>
        <v>9</v>
      </c>
      <c r="D2901" t="s">
        <v>1841</v>
      </c>
      <c r="E2901" t="s">
        <v>45</v>
      </c>
      <c r="F2901" t="s">
        <v>28</v>
      </c>
      <c r="G2901" t="s">
        <v>48</v>
      </c>
      <c r="H2901" t="s">
        <v>1001</v>
      </c>
      <c r="I2901" s="2">
        <v>18.72</v>
      </c>
      <c r="J2901" s="3">
        <v>5</v>
      </c>
      <c r="K2901" s="2">
        <v>6.55</v>
      </c>
    </row>
    <row r="2902" spans="1:11" x14ac:dyDescent="0.35">
      <c r="A2902" s="1">
        <v>42980</v>
      </c>
      <c r="B2902" s="3">
        <f t="shared" si="90"/>
        <v>2017</v>
      </c>
      <c r="C2902" s="3">
        <f t="shared" si="91"/>
        <v>9</v>
      </c>
      <c r="D2902" t="s">
        <v>1841</v>
      </c>
      <c r="E2902" t="s">
        <v>45</v>
      </c>
      <c r="F2902" t="s">
        <v>18</v>
      </c>
      <c r="G2902" t="s">
        <v>42</v>
      </c>
      <c r="H2902" t="s">
        <v>2150</v>
      </c>
      <c r="I2902" s="2">
        <v>236.53</v>
      </c>
      <c r="J2902" s="3">
        <v>2</v>
      </c>
      <c r="K2902" s="2">
        <v>-2.96</v>
      </c>
    </row>
    <row r="2903" spans="1:11" x14ac:dyDescent="0.35">
      <c r="A2903" s="1">
        <v>42980</v>
      </c>
      <c r="B2903" s="3">
        <f t="shared" si="90"/>
        <v>2017</v>
      </c>
      <c r="C2903" s="3">
        <f t="shared" si="91"/>
        <v>9</v>
      </c>
      <c r="D2903" t="s">
        <v>1303</v>
      </c>
      <c r="E2903" t="s">
        <v>17</v>
      </c>
      <c r="F2903" t="s">
        <v>18</v>
      </c>
      <c r="G2903" t="s">
        <v>19</v>
      </c>
      <c r="H2903" t="s">
        <v>1708</v>
      </c>
      <c r="I2903" s="2">
        <v>215.98</v>
      </c>
      <c r="J2903" s="3">
        <v>3</v>
      </c>
      <c r="K2903" s="2">
        <v>-2.7</v>
      </c>
    </row>
    <row r="2904" spans="1:11" x14ac:dyDescent="0.35">
      <c r="A2904" s="1">
        <v>42980</v>
      </c>
      <c r="B2904" s="3">
        <f t="shared" si="90"/>
        <v>2017</v>
      </c>
      <c r="C2904" s="3">
        <f t="shared" si="91"/>
        <v>9</v>
      </c>
      <c r="D2904" t="s">
        <v>1406</v>
      </c>
      <c r="E2904" t="s">
        <v>118</v>
      </c>
      <c r="F2904" t="s">
        <v>28</v>
      </c>
      <c r="G2904" t="s">
        <v>48</v>
      </c>
      <c r="H2904" t="s">
        <v>1032</v>
      </c>
      <c r="I2904" s="2">
        <v>1577.94</v>
      </c>
      <c r="J2904" s="3">
        <v>3</v>
      </c>
      <c r="K2904" s="2">
        <v>757.41</v>
      </c>
    </row>
    <row r="2905" spans="1:11" x14ac:dyDescent="0.35">
      <c r="A2905" s="1">
        <v>42980</v>
      </c>
      <c r="B2905" s="3">
        <f t="shared" si="90"/>
        <v>2017</v>
      </c>
      <c r="C2905" s="3">
        <f t="shared" si="91"/>
        <v>9</v>
      </c>
      <c r="D2905" t="s">
        <v>1012</v>
      </c>
      <c r="E2905" t="s">
        <v>103</v>
      </c>
      <c r="F2905" t="s">
        <v>28</v>
      </c>
      <c r="G2905" t="s">
        <v>46</v>
      </c>
      <c r="H2905" t="s">
        <v>400</v>
      </c>
      <c r="I2905" s="2">
        <v>11.7</v>
      </c>
      <c r="J2905" s="3">
        <v>2</v>
      </c>
      <c r="K2905" s="2">
        <v>3.95</v>
      </c>
    </row>
    <row r="2906" spans="1:11" x14ac:dyDescent="0.35">
      <c r="A2906" s="1">
        <v>42980</v>
      </c>
      <c r="B2906" s="3">
        <f t="shared" si="90"/>
        <v>2017</v>
      </c>
      <c r="C2906" s="3">
        <f t="shared" si="91"/>
        <v>9</v>
      </c>
      <c r="D2906" t="s">
        <v>2151</v>
      </c>
      <c r="E2906" t="s">
        <v>45</v>
      </c>
      <c r="F2906" t="s">
        <v>28</v>
      </c>
      <c r="G2906" t="s">
        <v>58</v>
      </c>
      <c r="H2906" t="s">
        <v>1374</v>
      </c>
      <c r="I2906" s="2">
        <v>43.1</v>
      </c>
      <c r="J2906" s="3">
        <v>5</v>
      </c>
      <c r="K2906" s="2">
        <v>11.21</v>
      </c>
    </row>
    <row r="2907" spans="1:11" x14ac:dyDescent="0.35">
      <c r="A2907" s="1">
        <v>42980</v>
      </c>
      <c r="B2907" s="3">
        <f t="shared" si="90"/>
        <v>2017</v>
      </c>
      <c r="C2907" s="3">
        <f t="shared" si="91"/>
        <v>9</v>
      </c>
      <c r="D2907" t="s">
        <v>2151</v>
      </c>
      <c r="E2907" t="s">
        <v>45</v>
      </c>
      <c r="F2907" t="s">
        <v>18</v>
      </c>
      <c r="G2907" t="s">
        <v>36</v>
      </c>
      <c r="H2907" t="s">
        <v>2152</v>
      </c>
      <c r="I2907" s="2">
        <v>511.5</v>
      </c>
      <c r="J2907" s="3">
        <v>5</v>
      </c>
      <c r="K2907" s="2">
        <v>132.99</v>
      </c>
    </row>
    <row r="2908" spans="1:11" x14ac:dyDescent="0.35">
      <c r="A2908" s="1">
        <v>42980</v>
      </c>
      <c r="B2908" s="3">
        <f t="shared" si="90"/>
        <v>2017</v>
      </c>
      <c r="C2908" s="3">
        <f t="shared" si="91"/>
        <v>9</v>
      </c>
      <c r="D2908" t="s">
        <v>2151</v>
      </c>
      <c r="E2908" t="s">
        <v>45</v>
      </c>
      <c r="F2908" t="s">
        <v>28</v>
      </c>
      <c r="G2908" t="s">
        <v>48</v>
      </c>
      <c r="H2908" t="s">
        <v>1734</v>
      </c>
      <c r="I2908" s="2">
        <v>147.91999999999999</v>
      </c>
      <c r="J2908" s="3">
        <v>5</v>
      </c>
      <c r="K2908" s="2">
        <v>46.23</v>
      </c>
    </row>
    <row r="2909" spans="1:11" x14ac:dyDescent="0.35">
      <c r="A2909" s="1">
        <v>43010</v>
      </c>
      <c r="B2909" s="3">
        <f t="shared" si="90"/>
        <v>2017</v>
      </c>
      <c r="C2909" s="3">
        <f t="shared" si="91"/>
        <v>10</v>
      </c>
      <c r="D2909" t="s">
        <v>566</v>
      </c>
      <c r="E2909" t="s">
        <v>71</v>
      </c>
      <c r="F2909" t="s">
        <v>28</v>
      </c>
      <c r="G2909" t="s">
        <v>48</v>
      </c>
      <c r="H2909" t="s">
        <v>2133</v>
      </c>
      <c r="I2909" s="2">
        <v>58.05</v>
      </c>
      <c r="J2909" s="3">
        <v>3</v>
      </c>
      <c r="K2909" s="2">
        <v>26.7</v>
      </c>
    </row>
    <row r="2910" spans="1:11" x14ac:dyDescent="0.35">
      <c r="A2910" s="1">
        <v>43010</v>
      </c>
      <c r="B2910" s="3">
        <f t="shared" si="90"/>
        <v>2017</v>
      </c>
      <c r="C2910" s="3">
        <f t="shared" si="91"/>
        <v>10</v>
      </c>
      <c r="D2910" t="s">
        <v>566</v>
      </c>
      <c r="E2910" t="s">
        <v>71</v>
      </c>
      <c r="F2910" t="s">
        <v>18</v>
      </c>
      <c r="G2910" t="s">
        <v>36</v>
      </c>
      <c r="H2910" t="s">
        <v>2153</v>
      </c>
      <c r="I2910" s="2">
        <v>157.74</v>
      </c>
      <c r="J2910" s="3">
        <v>11</v>
      </c>
      <c r="K2910" s="2">
        <v>56.79</v>
      </c>
    </row>
    <row r="2911" spans="1:11" x14ac:dyDescent="0.35">
      <c r="A2911" s="1">
        <v>43010</v>
      </c>
      <c r="B2911" s="3">
        <f t="shared" si="90"/>
        <v>2017</v>
      </c>
      <c r="C2911" s="3">
        <f t="shared" si="91"/>
        <v>10</v>
      </c>
      <c r="D2911" t="s">
        <v>566</v>
      </c>
      <c r="E2911" t="s">
        <v>71</v>
      </c>
      <c r="F2911" t="s">
        <v>28</v>
      </c>
      <c r="G2911" t="s">
        <v>64</v>
      </c>
      <c r="H2911" t="s">
        <v>423</v>
      </c>
      <c r="I2911" s="2">
        <v>56.98</v>
      </c>
      <c r="J2911" s="3">
        <v>7</v>
      </c>
      <c r="K2911" s="2">
        <v>22.79</v>
      </c>
    </row>
    <row r="2912" spans="1:11" x14ac:dyDescent="0.35">
      <c r="A2912" s="1">
        <v>43010</v>
      </c>
      <c r="B2912" s="3">
        <f t="shared" si="90"/>
        <v>2017</v>
      </c>
      <c r="C2912" s="3">
        <f t="shared" si="91"/>
        <v>10</v>
      </c>
      <c r="D2912" t="s">
        <v>566</v>
      </c>
      <c r="E2912" t="s">
        <v>71</v>
      </c>
      <c r="F2912" t="s">
        <v>28</v>
      </c>
      <c r="G2912" t="s">
        <v>48</v>
      </c>
      <c r="H2912" t="s">
        <v>79</v>
      </c>
      <c r="I2912" s="2">
        <v>2.88</v>
      </c>
      <c r="J2912" s="3">
        <v>1</v>
      </c>
      <c r="K2912" s="2">
        <v>1.41</v>
      </c>
    </row>
    <row r="2913" spans="1:11" x14ac:dyDescent="0.35">
      <c r="A2913" s="1">
        <v>43010</v>
      </c>
      <c r="B2913" s="3">
        <f t="shared" si="90"/>
        <v>2017</v>
      </c>
      <c r="C2913" s="3">
        <f t="shared" si="91"/>
        <v>10</v>
      </c>
      <c r="D2913" t="s">
        <v>1228</v>
      </c>
      <c r="E2913" t="s">
        <v>22</v>
      </c>
      <c r="F2913" t="s">
        <v>28</v>
      </c>
      <c r="G2913" t="s">
        <v>29</v>
      </c>
      <c r="H2913" t="s">
        <v>2095</v>
      </c>
      <c r="I2913" s="2">
        <v>49.12</v>
      </c>
      <c r="J2913" s="3">
        <v>4</v>
      </c>
      <c r="K2913" s="2">
        <v>23.09</v>
      </c>
    </row>
    <row r="2914" spans="1:11" x14ac:dyDescent="0.35">
      <c r="A2914" s="1">
        <v>43010</v>
      </c>
      <c r="B2914" s="3">
        <f t="shared" si="90"/>
        <v>2017</v>
      </c>
      <c r="C2914" s="3">
        <f t="shared" si="91"/>
        <v>10</v>
      </c>
      <c r="D2914" t="s">
        <v>1831</v>
      </c>
      <c r="E2914" t="s">
        <v>22</v>
      </c>
      <c r="F2914" t="s">
        <v>13</v>
      </c>
      <c r="G2914" t="s">
        <v>23</v>
      </c>
      <c r="H2914" t="s">
        <v>2154</v>
      </c>
      <c r="I2914" s="2">
        <v>65.989999999999995</v>
      </c>
      <c r="J2914" s="3">
        <v>1</v>
      </c>
      <c r="K2914" s="2">
        <v>17.16</v>
      </c>
    </row>
    <row r="2915" spans="1:11" x14ac:dyDescent="0.35">
      <c r="A2915" s="1">
        <v>43010</v>
      </c>
      <c r="B2915" s="3">
        <f t="shared" si="90"/>
        <v>2017</v>
      </c>
      <c r="C2915" s="3">
        <f t="shared" si="91"/>
        <v>10</v>
      </c>
      <c r="D2915" t="s">
        <v>2155</v>
      </c>
      <c r="E2915" t="s">
        <v>17</v>
      </c>
      <c r="F2915" t="s">
        <v>28</v>
      </c>
      <c r="G2915" t="s">
        <v>33</v>
      </c>
      <c r="H2915" t="s">
        <v>111</v>
      </c>
      <c r="I2915" s="2">
        <v>8.94</v>
      </c>
      <c r="J2915" s="3">
        <v>3</v>
      </c>
      <c r="K2915" s="2">
        <v>4.1100000000000003</v>
      </c>
    </row>
    <row r="2916" spans="1:11" x14ac:dyDescent="0.35">
      <c r="A2916" s="1">
        <v>43010</v>
      </c>
      <c r="B2916" s="3">
        <f t="shared" si="90"/>
        <v>2017</v>
      </c>
      <c r="C2916" s="3">
        <f t="shared" si="91"/>
        <v>10</v>
      </c>
      <c r="D2916" t="s">
        <v>2155</v>
      </c>
      <c r="E2916" t="s">
        <v>17</v>
      </c>
      <c r="F2916" t="s">
        <v>13</v>
      </c>
      <c r="G2916" t="s">
        <v>23</v>
      </c>
      <c r="H2916" t="s">
        <v>2156</v>
      </c>
      <c r="I2916" s="2">
        <v>84.78</v>
      </c>
      <c r="J2916" s="3">
        <v>2</v>
      </c>
      <c r="K2916" s="2">
        <v>-20.14</v>
      </c>
    </row>
    <row r="2917" spans="1:11" x14ac:dyDescent="0.35">
      <c r="A2917" s="1">
        <v>43010</v>
      </c>
      <c r="B2917" s="3">
        <f t="shared" si="90"/>
        <v>2017</v>
      </c>
      <c r="C2917" s="3">
        <f t="shared" si="91"/>
        <v>10</v>
      </c>
      <c r="D2917" t="s">
        <v>988</v>
      </c>
      <c r="E2917" t="s">
        <v>45</v>
      </c>
      <c r="F2917" t="s">
        <v>28</v>
      </c>
      <c r="G2917" t="s">
        <v>48</v>
      </c>
      <c r="H2917" t="s">
        <v>992</v>
      </c>
      <c r="I2917" s="2">
        <v>112.12</v>
      </c>
      <c r="J2917" s="3">
        <v>5</v>
      </c>
      <c r="K2917" s="2">
        <v>42.05</v>
      </c>
    </row>
    <row r="2918" spans="1:11" x14ac:dyDescent="0.35">
      <c r="A2918" s="1">
        <v>43010</v>
      </c>
      <c r="B2918" s="3">
        <f t="shared" si="90"/>
        <v>2017</v>
      </c>
      <c r="C2918" s="3">
        <f t="shared" si="91"/>
        <v>10</v>
      </c>
      <c r="D2918" t="s">
        <v>988</v>
      </c>
      <c r="E2918" t="s">
        <v>45</v>
      </c>
      <c r="F2918" t="s">
        <v>28</v>
      </c>
      <c r="G2918" t="s">
        <v>38</v>
      </c>
      <c r="H2918" t="s">
        <v>499</v>
      </c>
      <c r="I2918" s="2">
        <v>1575.14</v>
      </c>
      <c r="J2918" s="3">
        <v>7</v>
      </c>
      <c r="K2918" s="2">
        <v>204.77</v>
      </c>
    </row>
    <row r="2919" spans="1:11" x14ac:dyDescent="0.35">
      <c r="A2919" s="1">
        <v>43010</v>
      </c>
      <c r="B2919" s="3">
        <f t="shared" si="90"/>
        <v>2017</v>
      </c>
      <c r="C2919" s="3">
        <f t="shared" si="91"/>
        <v>10</v>
      </c>
      <c r="D2919" t="s">
        <v>936</v>
      </c>
      <c r="E2919" t="s">
        <v>326</v>
      </c>
      <c r="F2919" t="s">
        <v>18</v>
      </c>
      <c r="G2919" t="s">
        <v>36</v>
      </c>
      <c r="H2919" t="s">
        <v>1282</v>
      </c>
      <c r="I2919" s="2">
        <v>11.81</v>
      </c>
      <c r="J2919" s="3">
        <v>2</v>
      </c>
      <c r="K2919" s="2">
        <v>1.33</v>
      </c>
    </row>
    <row r="2920" spans="1:11" x14ac:dyDescent="0.35">
      <c r="A2920" s="1">
        <v>43010</v>
      </c>
      <c r="B2920" s="3">
        <f t="shared" si="90"/>
        <v>2017</v>
      </c>
      <c r="C2920" s="3">
        <f t="shared" si="91"/>
        <v>10</v>
      </c>
      <c r="D2920" t="s">
        <v>936</v>
      </c>
      <c r="E2920" t="s">
        <v>326</v>
      </c>
      <c r="F2920" t="s">
        <v>18</v>
      </c>
      <c r="G2920" t="s">
        <v>36</v>
      </c>
      <c r="H2920" t="s">
        <v>1660</v>
      </c>
      <c r="I2920" s="2">
        <v>9.66</v>
      </c>
      <c r="J2920" s="3">
        <v>1</v>
      </c>
      <c r="K2920" s="2">
        <v>1.57</v>
      </c>
    </row>
    <row r="2921" spans="1:11" x14ac:dyDescent="0.35">
      <c r="A2921" s="1">
        <v>43010</v>
      </c>
      <c r="B2921" s="3">
        <f t="shared" si="90"/>
        <v>2017</v>
      </c>
      <c r="C2921" s="3">
        <f t="shared" si="91"/>
        <v>10</v>
      </c>
      <c r="D2921" t="s">
        <v>936</v>
      </c>
      <c r="E2921" t="s">
        <v>326</v>
      </c>
      <c r="F2921" t="s">
        <v>28</v>
      </c>
      <c r="G2921" t="s">
        <v>29</v>
      </c>
      <c r="H2921" t="s">
        <v>2030</v>
      </c>
      <c r="I2921" s="2">
        <v>20.74</v>
      </c>
      <c r="J2921" s="3">
        <v>4</v>
      </c>
      <c r="K2921" s="2">
        <v>7.26</v>
      </c>
    </row>
    <row r="2922" spans="1:11" x14ac:dyDescent="0.35">
      <c r="A2922" s="1">
        <v>43010</v>
      </c>
      <c r="B2922" s="3">
        <f t="shared" si="90"/>
        <v>2017</v>
      </c>
      <c r="C2922" s="3">
        <f t="shared" si="91"/>
        <v>10</v>
      </c>
      <c r="D2922" t="s">
        <v>936</v>
      </c>
      <c r="E2922" t="s">
        <v>326</v>
      </c>
      <c r="F2922" t="s">
        <v>28</v>
      </c>
      <c r="G2922" t="s">
        <v>48</v>
      </c>
      <c r="H2922" t="s">
        <v>1803</v>
      </c>
      <c r="I2922" s="2">
        <v>27.36</v>
      </c>
      <c r="J2922" s="3">
        <v>3</v>
      </c>
      <c r="K2922" s="2">
        <v>-21.89</v>
      </c>
    </row>
    <row r="2923" spans="1:11" x14ac:dyDescent="0.35">
      <c r="A2923" s="1">
        <v>43010</v>
      </c>
      <c r="B2923" s="3">
        <f t="shared" si="90"/>
        <v>2017</v>
      </c>
      <c r="C2923" s="3">
        <f t="shared" si="91"/>
        <v>10</v>
      </c>
      <c r="D2923" t="s">
        <v>936</v>
      </c>
      <c r="E2923" t="s">
        <v>326</v>
      </c>
      <c r="F2923" t="s">
        <v>18</v>
      </c>
      <c r="G2923" t="s">
        <v>42</v>
      </c>
      <c r="H2923" t="s">
        <v>2157</v>
      </c>
      <c r="I2923" s="2">
        <v>2314.12</v>
      </c>
      <c r="J2923" s="3">
        <v>7</v>
      </c>
      <c r="K2923" s="2">
        <v>-1002.78</v>
      </c>
    </row>
    <row r="2924" spans="1:11" x14ac:dyDescent="0.35">
      <c r="A2924" s="1">
        <v>43010</v>
      </c>
      <c r="B2924" s="3">
        <f t="shared" si="90"/>
        <v>2017</v>
      </c>
      <c r="C2924" s="3">
        <f t="shared" si="91"/>
        <v>10</v>
      </c>
      <c r="D2924" t="s">
        <v>936</v>
      </c>
      <c r="E2924" t="s">
        <v>326</v>
      </c>
      <c r="F2924" t="s">
        <v>28</v>
      </c>
      <c r="G2924" t="s">
        <v>48</v>
      </c>
      <c r="H2924" t="s">
        <v>2158</v>
      </c>
      <c r="I2924" s="2">
        <v>34.24</v>
      </c>
      <c r="J2924" s="3">
        <v>4</v>
      </c>
      <c r="K2924" s="2">
        <v>-26.25</v>
      </c>
    </row>
    <row r="2925" spans="1:11" x14ac:dyDescent="0.35">
      <c r="A2925" s="1">
        <v>43010</v>
      </c>
      <c r="B2925" s="3">
        <f t="shared" si="90"/>
        <v>2017</v>
      </c>
      <c r="C2925" s="3">
        <f t="shared" si="91"/>
        <v>10</v>
      </c>
      <c r="D2925" t="s">
        <v>936</v>
      </c>
      <c r="E2925" t="s">
        <v>326</v>
      </c>
      <c r="F2925" t="s">
        <v>18</v>
      </c>
      <c r="G2925" t="s">
        <v>36</v>
      </c>
      <c r="H2925" t="s">
        <v>926</v>
      </c>
      <c r="I2925" s="2">
        <v>19.760000000000002</v>
      </c>
      <c r="J2925" s="3">
        <v>2</v>
      </c>
      <c r="K2925" s="2">
        <v>5.93</v>
      </c>
    </row>
    <row r="2926" spans="1:11" x14ac:dyDescent="0.35">
      <c r="A2926" s="1">
        <v>43010</v>
      </c>
      <c r="B2926" s="3">
        <f t="shared" si="90"/>
        <v>2017</v>
      </c>
      <c r="C2926" s="3">
        <f t="shared" si="91"/>
        <v>10</v>
      </c>
      <c r="D2926" t="s">
        <v>2159</v>
      </c>
      <c r="E2926" t="s">
        <v>607</v>
      </c>
      <c r="F2926" t="s">
        <v>18</v>
      </c>
      <c r="G2926" t="s">
        <v>36</v>
      </c>
      <c r="H2926" t="s">
        <v>2160</v>
      </c>
      <c r="I2926" s="2">
        <v>10.16</v>
      </c>
      <c r="J2926" s="3">
        <v>2</v>
      </c>
      <c r="K2926" s="2">
        <v>3.45</v>
      </c>
    </row>
    <row r="2927" spans="1:11" x14ac:dyDescent="0.35">
      <c r="A2927" s="1">
        <v>43010</v>
      </c>
      <c r="B2927" s="3">
        <f t="shared" si="90"/>
        <v>2017</v>
      </c>
      <c r="C2927" s="3">
        <f t="shared" si="91"/>
        <v>10</v>
      </c>
      <c r="D2927" t="s">
        <v>2161</v>
      </c>
      <c r="E2927" t="s">
        <v>107</v>
      </c>
      <c r="F2927" t="s">
        <v>18</v>
      </c>
      <c r="G2927" t="s">
        <v>237</v>
      </c>
      <c r="H2927" t="s">
        <v>269</v>
      </c>
      <c r="I2927" s="2">
        <v>217.76</v>
      </c>
      <c r="J2927" s="3">
        <v>6</v>
      </c>
      <c r="K2927" s="2">
        <v>-384.72</v>
      </c>
    </row>
    <row r="2928" spans="1:11" x14ac:dyDescent="0.35">
      <c r="A2928" s="1">
        <v>43010</v>
      </c>
      <c r="B2928" s="3">
        <f t="shared" si="90"/>
        <v>2017</v>
      </c>
      <c r="C2928" s="3">
        <f t="shared" si="91"/>
        <v>10</v>
      </c>
      <c r="D2928" t="s">
        <v>2161</v>
      </c>
      <c r="E2928" t="s">
        <v>107</v>
      </c>
      <c r="F2928" t="s">
        <v>28</v>
      </c>
      <c r="G2928" t="s">
        <v>215</v>
      </c>
      <c r="H2928" t="s">
        <v>1678</v>
      </c>
      <c r="I2928" s="2">
        <v>39.07</v>
      </c>
      <c r="J2928" s="3">
        <v>6</v>
      </c>
      <c r="K2928" s="2">
        <v>4.4000000000000004</v>
      </c>
    </row>
    <row r="2929" spans="1:11" x14ac:dyDescent="0.35">
      <c r="A2929" s="1">
        <v>43010</v>
      </c>
      <c r="B2929" s="3">
        <f t="shared" si="90"/>
        <v>2017</v>
      </c>
      <c r="C2929" s="3">
        <f t="shared" si="91"/>
        <v>10</v>
      </c>
      <c r="D2929" t="s">
        <v>2161</v>
      </c>
      <c r="E2929" t="s">
        <v>107</v>
      </c>
      <c r="F2929" t="s">
        <v>28</v>
      </c>
      <c r="G2929" t="s">
        <v>48</v>
      </c>
      <c r="H2929" t="s">
        <v>350</v>
      </c>
      <c r="I2929" s="2">
        <v>22.64</v>
      </c>
      <c r="J2929" s="3">
        <v>7</v>
      </c>
      <c r="K2929" s="2">
        <v>-16.600000000000001</v>
      </c>
    </row>
    <row r="2930" spans="1:11" x14ac:dyDescent="0.35">
      <c r="A2930" s="1">
        <v>43010</v>
      </c>
      <c r="B2930" s="3">
        <f t="shared" si="90"/>
        <v>2017</v>
      </c>
      <c r="C2930" s="3">
        <f t="shared" si="91"/>
        <v>10</v>
      </c>
      <c r="D2930" t="s">
        <v>2161</v>
      </c>
      <c r="E2930" t="s">
        <v>107</v>
      </c>
      <c r="F2930" t="s">
        <v>28</v>
      </c>
      <c r="G2930" t="s">
        <v>64</v>
      </c>
      <c r="H2930" t="s">
        <v>1780</v>
      </c>
      <c r="I2930" s="2">
        <v>95.14</v>
      </c>
      <c r="J2930" s="3">
        <v>7</v>
      </c>
      <c r="K2930" s="2">
        <v>10.7</v>
      </c>
    </row>
    <row r="2931" spans="1:11" x14ac:dyDescent="0.35">
      <c r="A2931" s="1">
        <v>43010</v>
      </c>
      <c r="B2931" s="3">
        <f t="shared" si="90"/>
        <v>2017</v>
      </c>
      <c r="C2931" s="3">
        <f t="shared" si="91"/>
        <v>10</v>
      </c>
      <c r="D2931" t="s">
        <v>2162</v>
      </c>
      <c r="E2931" t="s">
        <v>45</v>
      </c>
      <c r="F2931" t="s">
        <v>18</v>
      </c>
      <c r="G2931" t="s">
        <v>36</v>
      </c>
      <c r="H2931" t="s">
        <v>2083</v>
      </c>
      <c r="I2931" s="2">
        <v>17.46</v>
      </c>
      <c r="J2931" s="3">
        <v>2</v>
      </c>
      <c r="K2931" s="2">
        <v>5.94</v>
      </c>
    </row>
    <row r="2932" spans="1:11" x14ac:dyDescent="0.35">
      <c r="A2932" s="1">
        <v>43010</v>
      </c>
      <c r="B2932" s="3">
        <f t="shared" si="90"/>
        <v>2017</v>
      </c>
      <c r="C2932" s="3">
        <f t="shared" si="91"/>
        <v>10</v>
      </c>
      <c r="D2932" t="s">
        <v>2162</v>
      </c>
      <c r="E2932" t="s">
        <v>45</v>
      </c>
      <c r="F2932" t="s">
        <v>13</v>
      </c>
      <c r="G2932" t="s">
        <v>204</v>
      </c>
      <c r="H2932" t="s">
        <v>2163</v>
      </c>
      <c r="I2932" s="2">
        <v>369.16</v>
      </c>
      <c r="J2932" s="3">
        <v>11</v>
      </c>
      <c r="K2932" s="2">
        <v>32.299999999999997</v>
      </c>
    </row>
    <row r="2933" spans="1:11" x14ac:dyDescent="0.35">
      <c r="A2933" s="1">
        <v>43010</v>
      </c>
      <c r="B2933" s="3">
        <f t="shared" si="90"/>
        <v>2017</v>
      </c>
      <c r="C2933" s="3">
        <f t="shared" si="91"/>
        <v>10</v>
      </c>
      <c r="D2933" t="s">
        <v>1537</v>
      </c>
      <c r="E2933" t="s">
        <v>32</v>
      </c>
      <c r="F2933" t="s">
        <v>28</v>
      </c>
      <c r="G2933" t="s">
        <v>58</v>
      </c>
      <c r="H2933" t="s">
        <v>129</v>
      </c>
      <c r="I2933" s="2">
        <v>15.22</v>
      </c>
      <c r="J2933" s="3">
        <v>2</v>
      </c>
      <c r="K2933" s="2">
        <v>-38.82</v>
      </c>
    </row>
    <row r="2934" spans="1:11" x14ac:dyDescent="0.35">
      <c r="A2934" s="1">
        <v>43010</v>
      </c>
      <c r="B2934" s="3">
        <f t="shared" si="90"/>
        <v>2017</v>
      </c>
      <c r="C2934" s="3">
        <f t="shared" si="91"/>
        <v>10</v>
      </c>
      <c r="D2934" t="s">
        <v>1537</v>
      </c>
      <c r="E2934" t="s">
        <v>32</v>
      </c>
      <c r="F2934" t="s">
        <v>28</v>
      </c>
      <c r="G2934" t="s">
        <v>58</v>
      </c>
      <c r="H2934" t="s">
        <v>2164</v>
      </c>
      <c r="I2934" s="2">
        <v>21.98</v>
      </c>
      <c r="J2934" s="3">
        <v>6</v>
      </c>
      <c r="K2934" s="2">
        <v>-56.06</v>
      </c>
    </row>
    <row r="2935" spans="1:11" x14ac:dyDescent="0.35">
      <c r="A2935" s="1">
        <v>43041</v>
      </c>
      <c r="B2935" s="3">
        <f t="shared" si="90"/>
        <v>2017</v>
      </c>
      <c r="C2935" s="3">
        <f t="shared" si="91"/>
        <v>11</v>
      </c>
      <c r="D2935" t="s">
        <v>110</v>
      </c>
      <c r="E2935" t="s">
        <v>17</v>
      </c>
      <c r="F2935" t="s">
        <v>28</v>
      </c>
      <c r="G2935" t="s">
        <v>29</v>
      </c>
      <c r="H2935" t="s">
        <v>1412</v>
      </c>
      <c r="I2935" s="2">
        <v>23.85</v>
      </c>
      <c r="J2935" s="3">
        <v>5</v>
      </c>
      <c r="K2935" s="2">
        <v>10.73</v>
      </c>
    </row>
    <row r="2936" spans="1:11" x14ac:dyDescent="0.35">
      <c r="A2936" s="1">
        <v>43041</v>
      </c>
      <c r="B2936" s="3">
        <f t="shared" si="90"/>
        <v>2017</v>
      </c>
      <c r="C2936" s="3">
        <f t="shared" si="91"/>
        <v>11</v>
      </c>
      <c r="D2936" t="s">
        <v>1317</v>
      </c>
      <c r="E2936" t="s">
        <v>1008</v>
      </c>
      <c r="F2936" t="s">
        <v>28</v>
      </c>
      <c r="G2936" t="s">
        <v>33</v>
      </c>
      <c r="H2936" t="s">
        <v>111</v>
      </c>
      <c r="I2936" s="2">
        <v>18.239999999999998</v>
      </c>
      <c r="J2936" s="3">
        <v>3</v>
      </c>
      <c r="K2936" s="2">
        <v>9.1199999999999992</v>
      </c>
    </row>
    <row r="2937" spans="1:11" x14ac:dyDescent="0.35">
      <c r="A2937" s="1">
        <v>43041</v>
      </c>
      <c r="B2937" s="3">
        <f t="shared" si="90"/>
        <v>2017</v>
      </c>
      <c r="C2937" s="3">
        <f t="shared" si="91"/>
        <v>11</v>
      </c>
      <c r="D2937" t="s">
        <v>1317</v>
      </c>
      <c r="E2937" t="s">
        <v>1008</v>
      </c>
      <c r="F2937" t="s">
        <v>28</v>
      </c>
      <c r="G2937" t="s">
        <v>64</v>
      </c>
      <c r="H2937" t="s">
        <v>443</v>
      </c>
      <c r="I2937" s="2">
        <v>27.78</v>
      </c>
      <c r="J2937" s="3">
        <v>6</v>
      </c>
      <c r="K2937" s="2">
        <v>9.17</v>
      </c>
    </row>
    <row r="2938" spans="1:11" x14ac:dyDescent="0.35">
      <c r="A2938" s="1">
        <v>43041</v>
      </c>
      <c r="B2938" s="3">
        <f t="shared" si="90"/>
        <v>2017</v>
      </c>
      <c r="C2938" s="3">
        <f t="shared" si="91"/>
        <v>11</v>
      </c>
      <c r="D2938" t="s">
        <v>2165</v>
      </c>
      <c r="E2938" t="s">
        <v>45</v>
      </c>
      <c r="F2938" t="s">
        <v>28</v>
      </c>
      <c r="G2938" t="s">
        <v>158</v>
      </c>
      <c r="H2938" t="s">
        <v>1183</v>
      </c>
      <c r="I2938" s="2">
        <v>76.58</v>
      </c>
      <c r="J2938" s="3">
        <v>7</v>
      </c>
      <c r="K2938" s="2">
        <v>38.29</v>
      </c>
    </row>
    <row r="2939" spans="1:11" x14ac:dyDescent="0.35">
      <c r="A2939" s="1">
        <v>43041</v>
      </c>
      <c r="B2939" s="3">
        <f t="shared" si="90"/>
        <v>2017</v>
      </c>
      <c r="C2939" s="3">
        <f t="shared" si="91"/>
        <v>11</v>
      </c>
      <c r="D2939" t="s">
        <v>2165</v>
      </c>
      <c r="E2939" t="s">
        <v>45</v>
      </c>
      <c r="F2939" t="s">
        <v>28</v>
      </c>
      <c r="G2939" t="s">
        <v>64</v>
      </c>
      <c r="H2939" t="s">
        <v>726</v>
      </c>
      <c r="I2939" s="2">
        <v>8.8000000000000007</v>
      </c>
      <c r="J2939" s="3">
        <v>5</v>
      </c>
      <c r="K2939" s="2">
        <v>4.22</v>
      </c>
    </row>
    <row r="2940" spans="1:11" x14ac:dyDescent="0.35">
      <c r="A2940" s="1">
        <v>43041</v>
      </c>
      <c r="B2940" s="3">
        <f t="shared" si="90"/>
        <v>2017</v>
      </c>
      <c r="C2940" s="3">
        <f t="shared" si="91"/>
        <v>11</v>
      </c>
      <c r="D2940" t="s">
        <v>2165</v>
      </c>
      <c r="E2940" t="s">
        <v>45</v>
      </c>
      <c r="F2940" t="s">
        <v>28</v>
      </c>
      <c r="G2940" t="s">
        <v>48</v>
      </c>
      <c r="H2940" t="s">
        <v>1208</v>
      </c>
      <c r="I2940" s="2">
        <v>590.35</v>
      </c>
      <c r="J2940" s="3">
        <v>6</v>
      </c>
      <c r="K2940" s="2">
        <v>206.62</v>
      </c>
    </row>
    <row r="2941" spans="1:11" x14ac:dyDescent="0.35">
      <c r="A2941" s="1">
        <v>43041</v>
      </c>
      <c r="B2941" s="3">
        <f t="shared" si="90"/>
        <v>2017</v>
      </c>
      <c r="C2941" s="3">
        <f t="shared" si="91"/>
        <v>11</v>
      </c>
      <c r="D2941" t="s">
        <v>2165</v>
      </c>
      <c r="E2941" t="s">
        <v>45</v>
      </c>
      <c r="F2941" t="s">
        <v>28</v>
      </c>
      <c r="G2941" t="s">
        <v>33</v>
      </c>
      <c r="H2941" t="s">
        <v>791</v>
      </c>
      <c r="I2941" s="2">
        <v>5.58</v>
      </c>
      <c r="J2941" s="3">
        <v>3</v>
      </c>
      <c r="K2941" s="2">
        <v>0.17</v>
      </c>
    </row>
    <row r="2942" spans="1:11" x14ac:dyDescent="0.35">
      <c r="A2942" s="1">
        <v>43041</v>
      </c>
      <c r="B2942" s="3">
        <f t="shared" si="90"/>
        <v>2017</v>
      </c>
      <c r="C2942" s="3">
        <f t="shared" si="91"/>
        <v>11</v>
      </c>
      <c r="D2942" t="s">
        <v>2165</v>
      </c>
      <c r="E2942" t="s">
        <v>45</v>
      </c>
      <c r="F2942" t="s">
        <v>18</v>
      </c>
      <c r="G2942" t="s">
        <v>36</v>
      </c>
      <c r="H2942" t="s">
        <v>2166</v>
      </c>
      <c r="I2942" s="2">
        <v>25.02</v>
      </c>
      <c r="J2942" s="3">
        <v>3</v>
      </c>
      <c r="K2942" s="2">
        <v>10.51</v>
      </c>
    </row>
    <row r="2943" spans="1:11" x14ac:dyDescent="0.35">
      <c r="A2943" s="1">
        <v>43041</v>
      </c>
      <c r="B2943" s="3">
        <f t="shared" si="90"/>
        <v>2017</v>
      </c>
      <c r="C2943" s="3">
        <f t="shared" si="91"/>
        <v>11</v>
      </c>
      <c r="D2943" t="s">
        <v>2165</v>
      </c>
      <c r="E2943" t="s">
        <v>45</v>
      </c>
      <c r="F2943" t="s">
        <v>28</v>
      </c>
      <c r="G2943" t="s">
        <v>38</v>
      </c>
      <c r="H2943" t="s">
        <v>2167</v>
      </c>
      <c r="I2943" s="2">
        <v>452.55</v>
      </c>
      <c r="J2943" s="3">
        <v>7</v>
      </c>
      <c r="K2943" s="2">
        <v>22.63</v>
      </c>
    </row>
    <row r="2944" spans="1:11" x14ac:dyDescent="0.35">
      <c r="A2944" s="1">
        <v>43041</v>
      </c>
      <c r="B2944" s="3">
        <f t="shared" si="90"/>
        <v>2017</v>
      </c>
      <c r="C2944" s="3">
        <f t="shared" si="91"/>
        <v>11</v>
      </c>
      <c r="D2944" t="s">
        <v>734</v>
      </c>
      <c r="E2944" t="s">
        <v>118</v>
      </c>
      <c r="F2944" t="s">
        <v>28</v>
      </c>
      <c r="G2944" t="s">
        <v>158</v>
      </c>
      <c r="H2944" t="s">
        <v>214</v>
      </c>
      <c r="I2944" s="2">
        <v>5.32</v>
      </c>
      <c r="J2944" s="3">
        <v>2</v>
      </c>
      <c r="K2944" s="2">
        <v>2.61</v>
      </c>
    </row>
    <row r="2945" spans="1:11" x14ac:dyDescent="0.35">
      <c r="A2945" s="1">
        <v>43041</v>
      </c>
      <c r="B2945" s="3">
        <f t="shared" si="90"/>
        <v>2017</v>
      </c>
      <c r="C2945" s="3">
        <f t="shared" si="91"/>
        <v>11</v>
      </c>
      <c r="D2945" t="s">
        <v>734</v>
      </c>
      <c r="E2945" t="s">
        <v>118</v>
      </c>
      <c r="F2945" t="s">
        <v>18</v>
      </c>
      <c r="G2945" t="s">
        <v>19</v>
      </c>
      <c r="H2945" t="s">
        <v>718</v>
      </c>
      <c r="I2945" s="2">
        <v>975.92</v>
      </c>
      <c r="J2945" s="3">
        <v>4</v>
      </c>
      <c r="K2945" s="2">
        <v>292.77999999999997</v>
      </c>
    </row>
    <row r="2946" spans="1:11" x14ac:dyDescent="0.35">
      <c r="A2946" s="1">
        <v>43041</v>
      </c>
      <c r="B2946" s="3">
        <f t="shared" ref="B2946:B3009" si="92">YEAR(A2946)</f>
        <v>2017</v>
      </c>
      <c r="C2946" s="3">
        <f t="shared" ref="C2946:C3009" si="93">MONTH(A2946)</f>
        <v>11</v>
      </c>
      <c r="D2946" t="s">
        <v>734</v>
      </c>
      <c r="E2946" t="s">
        <v>118</v>
      </c>
      <c r="F2946" t="s">
        <v>13</v>
      </c>
      <c r="G2946" t="s">
        <v>14</v>
      </c>
      <c r="H2946" t="s">
        <v>2085</v>
      </c>
      <c r="I2946" s="2">
        <v>2249.91</v>
      </c>
      <c r="J2946" s="3">
        <v>9</v>
      </c>
      <c r="K2946" s="2">
        <v>517.48</v>
      </c>
    </row>
    <row r="2947" spans="1:11" x14ac:dyDescent="0.35">
      <c r="A2947" s="1">
        <v>43041</v>
      </c>
      <c r="B2947" s="3">
        <f t="shared" si="92"/>
        <v>2017</v>
      </c>
      <c r="C2947" s="3">
        <f t="shared" si="93"/>
        <v>11</v>
      </c>
      <c r="D2947" t="s">
        <v>734</v>
      </c>
      <c r="E2947" t="s">
        <v>118</v>
      </c>
      <c r="F2947" t="s">
        <v>28</v>
      </c>
      <c r="G2947" t="s">
        <v>38</v>
      </c>
      <c r="H2947" t="s">
        <v>1689</v>
      </c>
      <c r="I2947" s="2">
        <v>59.92</v>
      </c>
      <c r="J2947" s="3">
        <v>4</v>
      </c>
      <c r="K2947" s="2">
        <v>16.78</v>
      </c>
    </row>
    <row r="2948" spans="1:11" x14ac:dyDescent="0.35">
      <c r="A2948" s="1">
        <v>43041</v>
      </c>
      <c r="B2948" s="3">
        <f t="shared" si="92"/>
        <v>2017</v>
      </c>
      <c r="C2948" s="3">
        <f t="shared" si="93"/>
        <v>11</v>
      </c>
      <c r="D2948" t="s">
        <v>1957</v>
      </c>
      <c r="E2948" t="s">
        <v>89</v>
      </c>
      <c r="F2948" t="s">
        <v>18</v>
      </c>
      <c r="G2948" t="s">
        <v>36</v>
      </c>
      <c r="H2948" t="s">
        <v>2168</v>
      </c>
      <c r="I2948" s="2">
        <v>3.31</v>
      </c>
      <c r="J2948" s="3">
        <v>1</v>
      </c>
      <c r="K2948" s="2">
        <v>0.66</v>
      </c>
    </row>
    <row r="2949" spans="1:11" x14ac:dyDescent="0.35">
      <c r="A2949" s="1">
        <v>43041</v>
      </c>
      <c r="B2949" s="3">
        <f t="shared" si="92"/>
        <v>2017</v>
      </c>
      <c r="C2949" s="3">
        <f t="shared" si="93"/>
        <v>11</v>
      </c>
      <c r="D2949" t="s">
        <v>1957</v>
      </c>
      <c r="E2949" t="s">
        <v>89</v>
      </c>
      <c r="F2949" t="s">
        <v>28</v>
      </c>
      <c r="G2949" t="s">
        <v>58</v>
      </c>
      <c r="H2949" t="s">
        <v>716</v>
      </c>
      <c r="I2949" s="2">
        <v>20.14</v>
      </c>
      <c r="J2949" s="3">
        <v>3</v>
      </c>
      <c r="K2949" s="2">
        <v>1.26</v>
      </c>
    </row>
    <row r="2950" spans="1:11" x14ac:dyDescent="0.35">
      <c r="A2950" s="1">
        <v>43041</v>
      </c>
      <c r="B2950" s="3">
        <f t="shared" si="92"/>
        <v>2017</v>
      </c>
      <c r="C2950" s="3">
        <f t="shared" si="93"/>
        <v>11</v>
      </c>
      <c r="D2950" t="s">
        <v>1957</v>
      </c>
      <c r="E2950" t="s">
        <v>89</v>
      </c>
      <c r="F2950" t="s">
        <v>28</v>
      </c>
      <c r="G2950" t="s">
        <v>158</v>
      </c>
      <c r="H2950" t="s">
        <v>2169</v>
      </c>
      <c r="I2950" s="2">
        <v>8.86</v>
      </c>
      <c r="J2950" s="3">
        <v>3</v>
      </c>
      <c r="K2950" s="2">
        <v>2.88</v>
      </c>
    </row>
    <row r="2951" spans="1:11" x14ac:dyDescent="0.35">
      <c r="A2951" s="1">
        <v>43041</v>
      </c>
      <c r="B2951" s="3">
        <f t="shared" si="92"/>
        <v>2017</v>
      </c>
      <c r="C2951" s="3">
        <f t="shared" si="93"/>
        <v>11</v>
      </c>
      <c r="D2951" t="s">
        <v>1957</v>
      </c>
      <c r="E2951" t="s">
        <v>89</v>
      </c>
      <c r="F2951" t="s">
        <v>13</v>
      </c>
      <c r="G2951" t="s">
        <v>23</v>
      </c>
      <c r="H2951" t="s">
        <v>836</v>
      </c>
      <c r="I2951" s="2">
        <v>859.2</v>
      </c>
      <c r="J2951" s="3">
        <v>4</v>
      </c>
      <c r="K2951" s="2">
        <v>-186.16</v>
      </c>
    </row>
    <row r="2952" spans="1:11" x14ac:dyDescent="0.35">
      <c r="A2952" s="1">
        <v>43041</v>
      </c>
      <c r="B2952" s="3">
        <f t="shared" si="92"/>
        <v>2017</v>
      </c>
      <c r="C2952" s="3">
        <f t="shared" si="93"/>
        <v>11</v>
      </c>
      <c r="D2952" t="s">
        <v>2009</v>
      </c>
      <c r="E2952" t="s">
        <v>180</v>
      </c>
      <c r="F2952" t="s">
        <v>28</v>
      </c>
      <c r="G2952" t="s">
        <v>29</v>
      </c>
      <c r="H2952" t="s">
        <v>1003</v>
      </c>
      <c r="I2952" s="2">
        <v>19.440000000000001</v>
      </c>
      <c r="J2952" s="3">
        <v>3</v>
      </c>
      <c r="K2952" s="2">
        <v>9.33</v>
      </c>
    </row>
    <row r="2953" spans="1:11" x14ac:dyDescent="0.35">
      <c r="A2953" s="1">
        <v>43041</v>
      </c>
      <c r="B2953" s="3">
        <f t="shared" si="92"/>
        <v>2017</v>
      </c>
      <c r="C2953" s="3">
        <f t="shared" si="93"/>
        <v>11</v>
      </c>
      <c r="D2953" t="s">
        <v>1420</v>
      </c>
      <c r="E2953" t="s">
        <v>131</v>
      </c>
      <c r="F2953" t="s">
        <v>28</v>
      </c>
      <c r="G2953" t="s">
        <v>215</v>
      </c>
      <c r="H2953" t="s">
        <v>1833</v>
      </c>
      <c r="I2953" s="2">
        <v>384.59</v>
      </c>
      <c r="J2953" s="3">
        <v>2</v>
      </c>
      <c r="K2953" s="2">
        <v>-81.73</v>
      </c>
    </row>
    <row r="2954" spans="1:11" x14ac:dyDescent="0.35">
      <c r="A2954" s="1">
        <v>43041</v>
      </c>
      <c r="B2954" s="3">
        <f t="shared" si="92"/>
        <v>2017</v>
      </c>
      <c r="C2954" s="3">
        <f t="shared" si="93"/>
        <v>11</v>
      </c>
      <c r="D2954" t="s">
        <v>1609</v>
      </c>
      <c r="E2954" t="s">
        <v>45</v>
      </c>
      <c r="F2954" t="s">
        <v>28</v>
      </c>
      <c r="G2954" t="s">
        <v>58</v>
      </c>
      <c r="H2954" t="s">
        <v>2170</v>
      </c>
      <c r="I2954" s="2">
        <v>168.1</v>
      </c>
      <c r="J2954" s="3">
        <v>5</v>
      </c>
      <c r="K2954" s="2">
        <v>43.71</v>
      </c>
    </row>
    <row r="2955" spans="1:11" x14ac:dyDescent="0.35">
      <c r="A2955" s="1">
        <v>43041</v>
      </c>
      <c r="B2955" s="3">
        <f t="shared" si="92"/>
        <v>2017</v>
      </c>
      <c r="C2955" s="3">
        <f t="shared" si="93"/>
        <v>11</v>
      </c>
      <c r="D2955" t="s">
        <v>1268</v>
      </c>
      <c r="E2955" t="s">
        <v>26</v>
      </c>
      <c r="F2955" t="s">
        <v>28</v>
      </c>
      <c r="G2955" t="s">
        <v>64</v>
      </c>
      <c r="H2955" t="s">
        <v>1715</v>
      </c>
      <c r="I2955" s="2">
        <v>54.34</v>
      </c>
      <c r="J2955" s="3">
        <v>4</v>
      </c>
      <c r="K2955" s="2">
        <v>5.43</v>
      </c>
    </row>
    <row r="2956" spans="1:11" x14ac:dyDescent="0.35">
      <c r="A2956" s="1">
        <v>43041</v>
      </c>
      <c r="B2956" s="3">
        <f t="shared" si="92"/>
        <v>2017</v>
      </c>
      <c r="C2956" s="3">
        <f t="shared" si="93"/>
        <v>11</v>
      </c>
      <c r="D2956" t="s">
        <v>2171</v>
      </c>
      <c r="E2956" t="s">
        <v>190</v>
      </c>
      <c r="F2956" t="s">
        <v>28</v>
      </c>
      <c r="G2956" t="s">
        <v>58</v>
      </c>
      <c r="H2956" t="s">
        <v>716</v>
      </c>
      <c r="I2956" s="2">
        <v>83.9</v>
      </c>
      <c r="J2956" s="3">
        <v>10</v>
      </c>
      <c r="K2956" s="2">
        <v>20.98</v>
      </c>
    </row>
    <row r="2957" spans="1:11" x14ac:dyDescent="0.35">
      <c r="A2957" s="1">
        <v>43041</v>
      </c>
      <c r="B2957" s="3">
        <f t="shared" si="92"/>
        <v>2017</v>
      </c>
      <c r="C2957" s="3">
        <f t="shared" si="93"/>
        <v>11</v>
      </c>
      <c r="D2957" t="s">
        <v>2171</v>
      </c>
      <c r="E2957" t="s">
        <v>190</v>
      </c>
      <c r="F2957" t="s">
        <v>28</v>
      </c>
      <c r="G2957" t="s">
        <v>29</v>
      </c>
      <c r="H2957" t="s">
        <v>212</v>
      </c>
      <c r="I2957" s="2">
        <v>11.76</v>
      </c>
      <c r="J2957" s="3">
        <v>2</v>
      </c>
      <c r="K2957" s="2">
        <v>5.76</v>
      </c>
    </row>
    <row r="2958" spans="1:11" x14ac:dyDescent="0.35">
      <c r="A2958" s="1">
        <v>43041</v>
      </c>
      <c r="B2958" s="3">
        <f t="shared" si="92"/>
        <v>2017</v>
      </c>
      <c r="C2958" s="3">
        <f t="shared" si="93"/>
        <v>11</v>
      </c>
      <c r="D2958" t="s">
        <v>2172</v>
      </c>
      <c r="E2958" t="s">
        <v>131</v>
      </c>
      <c r="F2958" t="s">
        <v>18</v>
      </c>
      <c r="G2958" t="s">
        <v>19</v>
      </c>
      <c r="H2958" t="s">
        <v>1127</v>
      </c>
      <c r="I2958" s="2">
        <v>155.37</v>
      </c>
      <c r="J2958" s="3">
        <v>2</v>
      </c>
      <c r="K2958" s="2">
        <v>-35.51</v>
      </c>
    </row>
    <row r="2959" spans="1:11" x14ac:dyDescent="0.35">
      <c r="A2959" s="1">
        <v>43041</v>
      </c>
      <c r="B2959" s="3">
        <f t="shared" si="92"/>
        <v>2017</v>
      </c>
      <c r="C2959" s="3">
        <f t="shared" si="93"/>
        <v>11</v>
      </c>
      <c r="D2959" t="s">
        <v>502</v>
      </c>
      <c r="E2959" t="s">
        <v>173</v>
      </c>
      <c r="F2959" t="s">
        <v>28</v>
      </c>
      <c r="G2959" t="s">
        <v>64</v>
      </c>
      <c r="H2959" t="s">
        <v>2005</v>
      </c>
      <c r="I2959" s="2">
        <v>5.56</v>
      </c>
      <c r="J2959" s="3">
        <v>2</v>
      </c>
      <c r="K2959" s="2">
        <v>1.45</v>
      </c>
    </row>
    <row r="2960" spans="1:11" x14ac:dyDescent="0.35">
      <c r="A2960" s="1">
        <v>43071</v>
      </c>
      <c r="B2960" s="3">
        <f t="shared" si="92"/>
        <v>2017</v>
      </c>
      <c r="C2960" s="3">
        <f t="shared" si="93"/>
        <v>12</v>
      </c>
      <c r="D2960" t="s">
        <v>912</v>
      </c>
      <c r="E2960" t="s">
        <v>45</v>
      </c>
      <c r="F2960" t="s">
        <v>28</v>
      </c>
      <c r="G2960" t="s">
        <v>38</v>
      </c>
      <c r="H2960" t="s">
        <v>1830</v>
      </c>
      <c r="I2960" s="2">
        <v>559.62</v>
      </c>
      <c r="J2960" s="3">
        <v>9</v>
      </c>
      <c r="K2960" s="2">
        <v>151.1</v>
      </c>
    </row>
    <row r="2961" spans="1:11" x14ac:dyDescent="0.35">
      <c r="A2961" s="1">
        <v>43071</v>
      </c>
      <c r="B2961" s="3">
        <f t="shared" si="92"/>
        <v>2017</v>
      </c>
      <c r="C2961" s="3">
        <f t="shared" si="93"/>
        <v>12</v>
      </c>
      <c r="D2961" t="s">
        <v>912</v>
      </c>
      <c r="E2961" t="s">
        <v>45</v>
      </c>
      <c r="F2961" t="s">
        <v>28</v>
      </c>
      <c r="G2961" t="s">
        <v>29</v>
      </c>
      <c r="H2961" t="s">
        <v>2173</v>
      </c>
      <c r="I2961" s="2">
        <v>109.92</v>
      </c>
      <c r="J2961" s="3">
        <v>2</v>
      </c>
      <c r="K2961" s="2">
        <v>53.86</v>
      </c>
    </row>
    <row r="2962" spans="1:11" x14ac:dyDescent="0.35">
      <c r="A2962" s="1">
        <v>43071</v>
      </c>
      <c r="B2962" s="3">
        <f t="shared" si="92"/>
        <v>2017</v>
      </c>
      <c r="C2962" s="3">
        <f t="shared" si="93"/>
        <v>12</v>
      </c>
      <c r="D2962" t="s">
        <v>912</v>
      </c>
      <c r="E2962" t="s">
        <v>45</v>
      </c>
      <c r="F2962" t="s">
        <v>28</v>
      </c>
      <c r="G2962" t="s">
        <v>29</v>
      </c>
      <c r="H2962" t="s">
        <v>1610</v>
      </c>
      <c r="I2962" s="2">
        <v>8.56</v>
      </c>
      <c r="J2962" s="3">
        <v>2</v>
      </c>
      <c r="K2962" s="2">
        <v>3.85</v>
      </c>
    </row>
    <row r="2963" spans="1:11" x14ac:dyDescent="0.35">
      <c r="A2963" s="1">
        <v>43071</v>
      </c>
      <c r="B2963" s="3">
        <f t="shared" si="92"/>
        <v>2017</v>
      </c>
      <c r="C2963" s="3">
        <f t="shared" si="93"/>
        <v>12</v>
      </c>
      <c r="D2963" t="s">
        <v>1505</v>
      </c>
      <c r="E2963" t="s">
        <v>173</v>
      </c>
      <c r="F2963" t="s">
        <v>28</v>
      </c>
      <c r="G2963" t="s">
        <v>64</v>
      </c>
      <c r="H2963" t="s">
        <v>2053</v>
      </c>
      <c r="I2963" s="2">
        <v>34.65</v>
      </c>
      <c r="J2963" s="3">
        <v>3</v>
      </c>
      <c r="K2963" s="2">
        <v>10.4</v>
      </c>
    </row>
    <row r="2964" spans="1:11" x14ac:dyDescent="0.35">
      <c r="A2964" s="1">
        <v>43071</v>
      </c>
      <c r="B2964" s="3">
        <f t="shared" si="92"/>
        <v>2017</v>
      </c>
      <c r="C2964" s="3">
        <f t="shared" si="93"/>
        <v>12</v>
      </c>
      <c r="D2964" t="s">
        <v>2174</v>
      </c>
      <c r="E2964" t="s">
        <v>32</v>
      </c>
      <c r="F2964" t="s">
        <v>28</v>
      </c>
      <c r="G2964" t="s">
        <v>58</v>
      </c>
      <c r="H2964" t="s">
        <v>271</v>
      </c>
      <c r="I2964" s="2">
        <v>294.62</v>
      </c>
      <c r="J2964" s="3">
        <v>5</v>
      </c>
      <c r="K2964" s="2">
        <v>-766.01</v>
      </c>
    </row>
    <row r="2965" spans="1:11" x14ac:dyDescent="0.35">
      <c r="A2965" s="1">
        <v>43071</v>
      </c>
      <c r="B2965" s="3">
        <f t="shared" si="92"/>
        <v>2017</v>
      </c>
      <c r="C2965" s="3">
        <f t="shared" si="93"/>
        <v>12</v>
      </c>
      <c r="D2965" t="s">
        <v>2174</v>
      </c>
      <c r="E2965" t="s">
        <v>32</v>
      </c>
      <c r="F2965" t="s">
        <v>18</v>
      </c>
      <c r="G2965" t="s">
        <v>36</v>
      </c>
      <c r="H2965" t="s">
        <v>357</v>
      </c>
      <c r="I2965" s="2">
        <v>8.75</v>
      </c>
      <c r="J2965" s="3">
        <v>4</v>
      </c>
      <c r="K2965" s="2">
        <v>-3.72</v>
      </c>
    </row>
    <row r="2966" spans="1:11" x14ac:dyDescent="0.35">
      <c r="A2966" s="1">
        <v>43071</v>
      </c>
      <c r="B2966" s="3">
        <f t="shared" si="92"/>
        <v>2017</v>
      </c>
      <c r="C2966" s="3">
        <f t="shared" si="93"/>
        <v>12</v>
      </c>
      <c r="D2966" t="s">
        <v>2175</v>
      </c>
      <c r="E2966" t="s">
        <v>77</v>
      </c>
      <c r="F2966" t="s">
        <v>28</v>
      </c>
      <c r="G2966" t="s">
        <v>64</v>
      </c>
      <c r="H2966" t="s">
        <v>997</v>
      </c>
      <c r="I2966" s="2">
        <v>47.96</v>
      </c>
      <c r="J2966" s="3">
        <v>5</v>
      </c>
      <c r="K2966" s="2">
        <v>4.2</v>
      </c>
    </row>
    <row r="2967" spans="1:11" x14ac:dyDescent="0.35">
      <c r="A2967" s="1">
        <v>43071</v>
      </c>
      <c r="B2967" s="3">
        <f t="shared" si="92"/>
        <v>2017</v>
      </c>
      <c r="C2967" s="3">
        <f t="shared" si="93"/>
        <v>12</v>
      </c>
      <c r="D2967" t="s">
        <v>573</v>
      </c>
      <c r="E2967" t="s">
        <v>45</v>
      </c>
      <c r="F2967" t="s">
        <v>28</v>
      </c>
      <c r="G2967" t="s">
        <v>48</v>
      </c>
      <c r="H2967" t="s">
        <v>1367</v>
      </c>
      <c r="I2967" s="2">
        <v>9.02</v>
      </c>
      <c r="J2967" s="3">
        <v>6</v>
      </c>
      <c r="K2967" s="2">
        <v>3.16</v>
      </c>
    </row>
    <row r="2968" spans="1:11" x14ac:dyDescent="0.35">
      <c r="A2968" s="1">
        <v>43071</v>
      </c>
      <c r="B2968" s="3">
        <f t="shared" si="92"/>
        <v>2017</v>
      </c>
      <c r="C2968" s="3">
        <f t="shared" si="93"/>
        <v>12</v>
      </c>
      <c r="D2968" t="s">
        <v>573</v>
      </c>
      <c r="E2968" t="s">
        <v>45</v>
      </c>
      <c r="F2968" t="s">
        <v>28</v>
      </c>
      <c r="G2968" t="s">
        <v>48</v>
      </c>
      <c r="H2968" t="s">
        <v>649</v>
      </c>
      <c r="I2968" s="2">
        <v>69.459999999999994</v>
      </c>
      <c r="J2968" s="3">
        <v>2</v>
      </c>
      <c r="K2968" s="2">
        <v>22.57</v>
      </c>
    </row>
    <row r="2969" spans="1:11" x14ac:dyDescent="0.35">
      <c r="A2969" s="1">
        <v>43071</v>
      </c>
      <c r="B2969" s="3">
        <f t="shared" si="92"/>
        <v>2017</v>
      </c>
      <c r="C2969" s="3">
        <f t="shared" si="93"/>
        <v>12</v>
      </c>
      <c r="D2969" t="s">
        <v>573</v>
      </c>
      <c r="E2969" t="s">
        <v>45</v>
      </c>
      <c r="F2969" t="s">
        <v>28</v>
      </c>
      <c r="G2969" t="s">
        <v>29</v>
      </c>
      <c r="H2969" t="s">
        <v>954</v>
      </c>
      <c r="I2969" s="2">
        <v>10.86</v>
      </c>
      <c r="J2969" s="3">
        <v>2</v>
      </c>
      <c r="K2969" s="2">
        <v>5.32</v>
      </c>
    </row>
    <row r="2970" spans="1:11" x14ac:dyDescent="0.35">
      <c r="A2970" s="1">
        <v>43071</v>
      </c>
      <c r="B2970" s="3">
        <f t="shared" si="92"/>
        <v>2017</v>
      </c>
      <c r="C2970" s="3">
        <f t="shared" si="93"/>
        <v>12</v>
      </c>
      <c r="D2970" t="s">
        <v>573</v>
      </c>
      <c r="E2970" t="s">
        <v>45</v>
      </c>
      <c r="F2970" t="s">
        <v>28</v>
      </c>
      <c r="G2970" t="s">
        <v>58</v>
      </c>
      <c r="H2970" t="s">
        <v>479</v>
      </c>
      <c r="I2970" s="2">
        <v>79.47</v>
      </c>
      <c r="J2970" s="3">
        <v>3</v>
      </c>
      <c r="K2970" s="2">
        <v>22.25</v>
      </c>
    </row>
    <row r="2971" spans="1:11" x14ac:dyDescent="0.35">
      <c r="A2971" s="1">
        <v>43071</v>
      </c>
      <c r="B2971" s="3">
        <f t="shared" si="92"/>
        <v>2017</v>
      </c>
      <c r="C2971" s="3">
        <f t="shared" si="93"/>
        <v>12</v>
      </c>
      <c r="D2971" t="s">
        <v>573</v>
      </c>
      <c r="E2971" t="s">
        <v>45</v>
      </c>
      <c r="F2971" t="s">
        <v>28</v>
      </c>
      <c r="G2971" t="s">
        <v>64</v>
      </c>
      <c r="H2971" t="s">
        <v>337</v>
      </c>
      <c r="I2971" s="2">
        <v>10.08</v>
      </c>
      <c r="J2971" s="3">
        <v>6</v>
      </c>
      <c r="K2971" s="2">
        <v>5.04</v>
      </c>
    </row>
    <row r="2972" spans="1:11" x14ac:dyDescent="0.35">
      <c r="A2972" s="1">
        <v>43071</v>
      </c>
      <c r="B2972" s="3">
        <f t="shared" si="92"/>
        <v>2017</v>
      </c>
      <c r="C2972" s="3">
        <f t="shared" si="93"/>
        <v>12</v>
      </c>
      <c r="D2972" t="s">
        <v>1645</v>
      </c>
      <c r="E2972" t="s">
        <v>77</v>
      </c>
      <c r="F2972" t="s">
        <v>28</v>
      </c>
      <c r="G2972" t="s">
        <v>48</v>
      </c>
      <c r="H2972" t="s">
        <v>855</v>
      </c>
      <c r="I2972" s="2">
        <v>45.66</v>
      </c>
      <c r="J2972" s="3">
        <v>5</v>
      </c>
      <c r="K2972" s="2">
        <v>-33.479999999999997</v>
      </c>
    </row>
    <row r="2973" spans="1:11" x14ac:dyDescent="0.35">
      <c r="A2973" s="1">
        <v>43071</v>
      </c>
      <c r="B2973" s="3">
        <f t="shared" si="92"/>
        <v>2017</v>
      </c>
      <c r="C2973" s="3">
        <f t="shared" si="93"/>
        <v>12</v>
      </c>
      <c r="D2973" t="s">
        <v>40</v>
      </c>
      <c r="E2973" t="s">
        <v>89</v>
      </c>
      <c r="F2973" t="s">
        <v>28</v>
      </c>
      <c r="G2973" t="s">
        <v>48</v>
      </c>
      <c r="H2973" t="s">
        <v>1032</v>
      </c>
      <c r="I2973" s="2">
        <v>631.17999999999995</v>
      </c>
      <c r="J2973" s="3">
        <v>4</v>
      </c>
      <c r="K2973" s="2">
        <v>-462.86</v>
      </c>
    </row>
    <row r="2974" spans="1:11" x14ac:dyDescent="0.35">
      <c r="A2974" s="1">
        <v>43071</v>
      </c>
      <c r="B2974" s="3">
        <f t="shared" si="92"/>
        <v>2017</v>
      </c>
      <c r="C2974" s="3">
        <f t="shared" si="93"/>
        <v>12</v>
      </c>
      <c r="D2974" t="s">
        <v>2161</v>
      </c>
      <c r="E2974" t="s">
        <v>334</v>
      </c>
      <c r="F2974" t="s">
        <v>13</v>
      </c>
      <c r="G2974" t="s">
        <v>23</v>
      </c>
      <c r="H2974" t="s">
        <v>105</v>
      </c>
      <c r="I2974" s="2">
        <v>2479.96</v>
      </c>
      <c r="J2974" s="3">
        <v>4</v>
      </c>
      <c r="K2974" s="2">
        <v>743.99</v>
      </c>
    </row>
    <row r="2975" spans="1:11" x14ac:dyDescent="0.35">
      <c r="A2975" s="1">
        <v>43071</v>
      </c>
      <c r="B2975" s="3">
        <f t="shared" si="92"/>
        <v>2017</v>
      </c>
      <c r="C2975" s="3">
        <f t="shared" si="93"/>
        <v>12</v>
      </c>
      <c r="D2975" t="s">
        <v>1275</v>
      </c>
      <c r="E2975" t="s">
        <v>45</v>
      </c>
      <c r="F2975" t="s">
        <v>13</v>
      </c>
      <c r="G2975" t="s">
        <v>23</v>
      </c>
      <c r="H2975" t="s">
        <v>1782</v>
      </c>
      <c r="I2975" s="2">
        <v>39.99</v>
      </c>
      <c r="J2975" s="3">
        <v>1</v>
      </c>
      <c r="K2975" s="2">
        <v>-8</v>
      </c>
    </row>
    <row r="2976" spans="1:11" x14ac:dyDescent="0.35">
      <c r="A2976" s="1">
        <v>43071</v>
      </c>
      <c r="B2976" s="3">
        <f t="shared" si="92"/>
        <v>2017</v>
      </c>
      <c r="C2976" s="3">
        <f t="shared" si="93"/>
        <v>12</v>
      </c>
      <c r="D2976" t="s">
        <v>1275</v>
      </c>
      <c r="E2976" t="s">
        <v>45</v>
      </c>
      <c r="F2976" t="s">
        <v>18</v>
      </c>
      <c r="G2976" t="s">
        <v>19</v>
      </c>
      <c r="H2976" t="s">
        <v>1201</v>
      </c>
      <c r="I2976" s="2">
        <v>1159.06</v>
      </c>
      <c r="J2976" s="3">
        <v>9</v>
      </c>
      <c r="K2976" s="2">
        <v>43.46</v>
      </c>
    </row>
    <row r="2977" spans="1:11" x14ac:dyDescent="0.35">
      <c r="A2977" s="1">
        <v>43071</v>
      </c>
      <c r="B2977" s="3">
        <f t="shared" si="92"/>
        <v>2017</v>
      </c>
      <c r="C2977" s="3">
        <f t="shared" si="93"/>
        <v>12</v>
      </c>
      <c r="D2977" t="s">
        <v>1275</v>
      </c>
      <c r="E2977" t="s">
        <v>45</v>
      </c>
      <c r="F2977" t="s">
        <v>28</v>
      </c>
      <c r="G2977" t="s">
        <v>64</v>
      </c>
      <c r="H2977" t="s">
        <v>1051</v>
      </c>
      <c r="I2977" s="2">
        <v>179.9</v>
      </c>
      <c r="J2977" s="3">
        <v>5</v>
      </c>
      <c r="K2977" s="2">
        <v>44.98</v>
      </c>
    </row>
    <row r="2978" spans="1:11" x14ac:dyDescent="0.35">
      <c r="A2978" s="1">
        <v>43071</v>
      </c>
      <c r="B2978" s="3">
        <f t="shared" si="92"/>
        <v>2017</v>
      </c>
      <c r="C2978" s="3">
        <f t="shared" si="93"/>
        <v>12</v>
      </c>
      <c r="D2978" t="s">
        <v>985</v>
      </c>
      <c r="E2978" t="s">
        <v>173</v>
      </c>
      <c r="F2978" t="s">
        <v>18</v>
      </c>
      <c r="G2978" t="s">
        <v>19</v>
      </c>
      <c r="H2978" t="s">
        <v>136</v>
      </c>
      <c r="I2978" s="2">
        <v>701.96</v>
      </c>
      <c r="J2978" s="3">
        <v>2</v>
      </c>
      <c r="K2978" s="2">
        <v>168.47</v>
      </c>
    </row>
    <row r="2979" spans="1:11" x14ac:dyDescent="0.35">
      <c r="A2979" s="1">
        <v>43071</v>
      </c>
      <c r="B2979" s="3">
        <f t="shared" si="92"/>
        <v>2017</v>
      </c>
      <c r="C2979" s="3">
        <f t="shared" si="93"/>
        <v>12</v>
      </c>
      <c r="D2979" t="s">
        <v>445</v>
      </c>
      <c r="E2979" t="s">
        <v>32</v>
      </c>
      <c r="F2979" t="s">
        <v>28</v>
      </c>
      <c r="G2979" t="s">
        <v>64</v>
      </c>
      <c r="H2979" t="s">
        <v>1530</v>
      </c>
      <c r="I2979" s="2">
        <v>12.16</v>
      </c>
      <c r="J2979" s="3">
        <v>5</v>
      </c>
      <c r="K2979" s="2">
        <v>2.13</v>
      </c>
    </row>
    <row r="2980" spans="1:11" x14ac:dyDescent="0.35">
      <c r="A2980" s="1">
        <v>43071</v>
      </c>
      <c r="B2980" s="3">
        <f t="shared" si="92"/>
        <v>2017</v>
      </c>
      <c r="C2980" s="3">
        <f t="shared" si="93"/>
        <v>12</v>
      </c>
      <c r="D2980" t="s">
        <v>502</v>
      </c>
      <c r="E2980" t="s">
        <v>81</v>
      </c>
      <c r="F2980" t="s">
        <v>28</v>
      </c>
      <c r="G2980" t="s">
        <v>64</v>
      </c>
      <c r="H2980" t="s">
        <v>927</v>
      </c>
      <c r="I2980" s="2">
        <v>32.78</v>
      </c>
      <c r="J2980" s="3">
        <v>1</v>
      </c>
      <c r="K2980" s="2">
        <v>2.46</v>
      </c>
    </row>
    <row r="2981" spans="1:11" x14ac:dyDescent="0.35">
      <c r="A2981" s="1">
        <v>43071</v>
      </c>
      <c r="B2981" s="3">
        <f t="shared" si="92"/>
        <v>2017</v>
      </c>
      <c r="C2981" s="3">
        <f t="shared" si="93"/>
        <v>12</v>
      </c>
      <c r="D2981" t="s">
        <v>1207</v>
      </c>
      <c r="E2981" t="s">
        <v>103</v>
      </c>
      <c r="F2981" t="s">
        <v>28</v>
      </c>
      <c r="G2981" t="s">
        <v>38</v>
      </c>
      <c r="H2981" t="s">
        <v>1538</v>
      </c>
      <c r="I2981" s="2">
        <v>114.29</v>
      </c>
      <c r="J2981" s="3">
        <v>1</v>
      </c>
      <c r="K2981" s="2">
        <v>12.86</v>
      </c>
    </row>
    <row r="2982" spans="1:11" x14ac:dyDescent="0.35">
      <c r="A2982" s="1">
        <v>43071</v>
      </c>
      <c r="B2982" s="3">
        <f t="shared" si="92"/>
        <v>2017</v>
      </c>
      <c r="C2982" s="3">
        <f t="shared" si="93"/>
        <v>12</v>
      </c>
      <c r="D2982" t="s">
        <v>1207</v>
      </c>
      <c r="E2982" t="s">
        <v>103</v>
      </c>
      <c r="F2982" t="s">
        <v>28</v>
      </c>
      <c r="G2982" t="s">
        <v>48</v>
      </c>
      <c r="H2982" t="s">
        <v>1108</v>
      </c>
      <c r="I2982" s="2">
        <v>36.619999999999997</v>
      </c>
      <c r="J2982" s="3">
        <v>8</v>
      </c>
      <c r="K2982" s="2">
        <v>-24.42</v>
      </c>
    </row>
    <row r="2983" spans="1:11" x14ac:dyDescent="0.35">
      <c r="A2983" s="1">
        <v>43071</v>
      </c>
      <c r="B2983" s="3">
        <f t="shared" si="92"/>
        <v>2017</v>
      </c>
      <c r="C2983" s="3">
        <f t="shared" si="93"/>
        <v>12</v>
      </c>
      <c r="D2983" t="s">
        <v>1207</v>
      </c>
      <c r="E2983" t="s">
        <v>103</v>
      </c>
      <c r="F2983" t="s">
        <v>18</v>
      </c>
      <c r="G2983" t="s">
        <v>237</v>
      </c>
      <c r="H2983" t="s">
        <v>2176</v>
      </c>
      <c r="I2983" s="2">
        <v>242.35</v>
      </c>
      <c r="J2983" s="3">
        <v>8</v>
      </c>
      <c r="K2983" s="2">
        <v>-363.53</v>
      </c>
    </row>
    <row r="2984" spans="1:11" x14ac:dyDescent="0.35">
      <c r="A2984" s="1">
        <v>43071</v>
      </c>
      <c r="B2984" s="3">
        <f t="shared" si="92"/>
        <v>2017</v>
      </c>
      <c r="C2984" s="3">
        <f t="shared" si="93"/>
        <v>12</v>
      </c>
      <c r="D2984" t="s">
        <v>1207</v>
      </c>
      <c r="E2984" t="s">
        <v>103</v>
      </c>
      <c r="F2984" t="s">
        <v>13</v>
      </c>
      <c r="G2984" t="s">
        <v>23</v>
      </c>
      <c r="H2984" t="s">
        <v>2177</v>
      </c>
      <c r="I2984" s="2">
        <v>49.62</v>
      </c>
      <c r="J2984" s="3">
        <v>2</v>
      </c>
      <c r="K2984" s="2">
        <v>4.96</v>
      </c>
    </row>
    <row r="2985" spans="1:11" x14ac:dyDescent="0.35">
      <c r="A2985" s="1">
        <v>43071</v>
      </c>
      <c r="B2985" s="3">
        <f t="shared" si="92"/>
        <v>2017</v>
      </c>
      <c r="C2985" s="3">
        <f t="shared" si="93"/>
        <v>12</v>
      </c>
      <c r="D2985" t="s">
        <v>1207</v>
      </c>
      <c r="E2985" t="s">
        <v>103</v>
      </c>
      <c r="F2985" t="s">
        <v>18</v>
      </c>
      <c r="G2985" t="s">
        <v>36</v>
      </c>
      <c r="H2985" t="s">
        <v>1952</v>
      </c>
      <c r="I2985" s="2">
        <v>508.7</v>
      </c>
      <c r="J2985" s="3">
        <v>6</v>
      </c>
      <c r="K2985" s="2">
        <v>0</v>
      </c>
    </row>
    <row r="2986" spans="1:11" x14ac:dyDescent="0.35">
      <c r="A2986" s="1">
        <v>43071</v>
      </c>
      <c r="B2986" s="3">
        <f t="shared" si="92"/>
        <v>2017</v>
      </c>
      <c r="C2986" s="3">
        <f t="shared" si="93"/>
        <v>12</v>
      </c>
      <c r="D2986" t="s">
        <v>1207</v>
      </c>
      <c r="E2986" t="s">
        <v>103</v>
      </c>
      <c r="F2986" t="s">
        <v>13</v>
      </c>
      <c r="G2986" t="s">
        <v>23</v>
      </c>
      <c r="H2986" t="s">
        <v>2178</v>
      </c>
      <c r="I2986" s="2">
        <v>57.36</v>
      </c>
      <c r="J2986" s="3">
        <v>6</v>
      </c>
      <c r="K2986" s="2">
        <v>-14.34</v>
      </c>
    </row>
    <row r="2987" spans="1:11" x14ac:dyDescent="0.35">
      <c r="A2987" s="1">
        <v>43071</v>
      </c>
      <c r="B2987" s="3">
        <f t="shared" si="92"/>
        <v>2017</v>
      </c>
      <c r="C2987" s="3">
        <f t="shared" si="93"/>
        <v>12</v>
      </c>
      <c r="D2987" t="s">
        <v>1207</v>
      </c>
      <c r="E2987" t="s">
        <v>103</v>
      </c>
      <c r="F2987" t="s">
        <v>18</v>
      </c>
      <c r="G2987" t="s">
        <v>19</v>
      </c>
      <c r="H2987" t="s">
        <v>481</v>
      </c>
      <c r="I2987" s="2">
        <v>906.68</v>
      </c>
      <c r="J2987" s="3">
        <v>5</v>
      </c>
      <c r="K2987" s="2">
        <v>68</v>
      </c>
    </row>
    <row r="2988" spans="1:11" x14ac:dyDescent="0.35">
      <c r="A2988" s="1">
        <v>43071</v>
      </c>
      <c r="B2988" s="3">
        <f t="shared" si="92"/>
        <v>2017</v>
      </c>
      <c r="C2988" s="3">
        <f t="shared" si="93"/>
        <v>12</v>
      </c>
      <c r="D2988" t="s">
        <v>2179</v>
      </c>
      <c r="E2988" t="s">
        <v>211</v>
      </c>
      <c r="F2988" t="s">
        <v>28</v>
      </c>
      <c r="G2988" t="s">
        <v>48</v>
      </c>
      <c r="H2988" t="s">
        <v>464</v>
      </c>
      <c r="I2988" s="2">
        <v>67.86</v>
      </c>
      <c r="J2988" s="3">
        <v>6</v>
      </c>
      <c r="K2988" s="2">
        <v>-45.24</v>
      </c>
    </row>
    <row r="2989" spans="1:11" x14ac:dyDescent="0.35">
      <c r="A2989" s="1">
        <v>43071</v>
      </c>
      <c r="B2989" s="3">
        <f t="shared" si="92"/>
        <v>2017</v>
      </c>
      <c r="C2989" s="3">
        <f t="shared" si="93"/>
        <v>12</v>
      </c>
      <c r="D2989" t="s">
        <v>210</v>
      </c>
      <c r="E2989" t="s">
        <v>131</v>
      </c>
      <c r="F2989" t="s">
        <v>28</v>
      </c>
      <c r="G2989" t="s">
        <v>64</v>
      </c>
      <c r="H2989" t="s">
        <v>526</v>
      </c>
      <c r="I2989" s="2">
        <v>19.73</v>
      </c>
      <c r="J2989" s="3">
        <v>9</v>
      </c>
      <c r="K2989" s="2">
        <v>1.73</v>
      </c>
    </row>
    <row r="2990" spans="1:11" x14ac:dyDescent="0.35">
      <c r="A2990" s="1">
        <v>43071</v>
      </c>
      <c r="B2990" s="3">
        <f t="shared" si="92"/>
        <v>2017</v>
      </c>
      <c r="C2990" s="3">
        <f t="shared" si="93"/>
        <v>12</v>
      </c>
      <c r="D2990" t="s">
        <v>210</v>
      </c>
      <c r="E2990" t="s">
        <v>131</v>
      </c>
      <c r="F2990" t="s">
        <v>13</v>
      </c>
      <c r="G2990" t="s">
        <v>23</v>
      </c>
      <c r="H2990" t="s">
        <v>2180</v>
      </c>
      <c r="I2990" s="2">
        <v>151.19</v>
      </c>
      <c r="J2990" s="3">
        <v>2</v>
      </c>
      <c r="K2990" s="2">
        <v>-25.2</v>
      </c>
    </row>
    <row r="2991" spans="1:11" x14ac:dyDescent="0.35">
      <c r="A2991" s="1">
        <v>43071</v>
      </c>
      <c r="B2991" s="3">
        <f t="shared" si="92"/>
        <v>2017</v>
      </c>
      <c r="C2991" s="3">
        <f t="shared" si="93"/>
        <v>12</v>
      </c>
      <c r="D2991" t="s">
        <v>44</v>
      </c>
      <c r="E2991" t="s">
        <v>51</v>
      </c>
      <c r="F2991" t="s">
        <v>28</v>
      </c>
      <c r="G2991" t="s">
        <v>58</v>
      </c>
      <c r="H2991" t="s">
        <v>654</v>
      </c>
      <c r="I2991" s="2">
        <v>286.86</v>
      </c>
      <c r="J2991" s="3">
        <v>7</v>
      </c>
      <c r="K2991" s="2">
        <v>80.319999999999993</v>
      </c>
    </row>
    <row r="2992" spans="1:11" x14ac:dyDescent="0.35">
      <c r="A2992" s="1">
        <v>43071</v>
      </c>
      <c r="B2992" s="3">
        <f t="shared" si="92"/>
        <v>2017</v>
      </c>
      <c r="C2992" s="3">
        <f t="shared" si="93"/>
        <v>12</v>
      </c>
      <c r="D2992" t="s">
        <v>44</v>
      </c>
      <c r="E2992" t="s">
        <v>51</v>
      </c>
      <c r="F2992" t="s">
        <v>13</v>
      </c>
      <c r="G2992" t="s">
        <v>23</v>
      </c>
      <c r="H2992" t="s">
        <v>527</v>
      </c>
      <c r="I2992" s="2">
        <v>979.95</v>
      </c>
      <c r="J2992" s="3">
        <v>5</v>
      </c>
      <c r="K2992" s="2">
        <v>284.19</v>
      </c>
    </row>
    <row r="2993" spans="1:11" x14ac:dyDescent="0.35">
      <c r="A2993" s="1">
        <v>43071</v>
      </c>
      <c r="B2993" s="3">
        <f t="shared" si="92"/>
        <v>2017</v>
      </c>
      <c r="C2993" s="3">
        <f t="shared" si="93"/>
        <v>12</v>
      </c>
      <c r="D2993" t="s">
        <v>44</v>
      </c>
      <c r="E2993" t="s">
        <v>51</v>
      </c>
      <c r="F2993" t="s">
        <v>28</v>
      </c>
      <c r="G2993" t="s">
        <v>215</v>
      </c>
      <c r="H2993" t="s">
        <v>765</v>
      </c>
      <c r="I2993" s="2">
        <v>4.3600000000000003</v>
      </c>
      <c r="J2993" s="3">
        <v>2</v>
      </c>
      <c r="K2993" s="2">
        <v>0.17</v>
      </c>
    </row>
    <row r="2994" spans="1:11" x14ac:dyDescent="0.35">
      <c r="A2994" s="1">
        <v>42738</v>
      </c>
      <c r="B2994" s="3">
        <f t="shared" si="92"/>
        <v>2017</v>
      </c>
      <c r="C2994" s="3">
        <f t="shared" si="93"/>
        <v>1</v>
      </c>
      <c r="D2994" t="s">
        <v>534</v>
      </c>
      <c r="E2994" t="s">
        <v>45</v>
      </c>
      <c r="F2994" t="s">
        <v>28</v>
      </c>
      <c r="G2994" t="s">
        <v>29</v>
      </c>
      <c r="H2994" t="s">
        <v>2125</v>
      </c>
      <c r="I2994" s="2">
        <v>38.880000000000003</v>
      </c>
      <c r="J2994" s="3">
        <v>6</v>
      </c>
      <c r="K2994" s="2">
        <v>18.66</v>
      </c>
    </row>
    <row r="2995" spans="1:11" x14ac:dyDescent="0.35">
      <c r="A2995" s="1">
        <v>42738</v>
      </c>
      <c r="B2995" s="3">
        <f t="shared" si="92"/>
        <v>2017</v>
      </c>
      <c r="C2995" s="3">
        <f t="shared" si="93"/>
        <v>1</v>
      </c>
      <c r="D2995" t="s">
        <v>2181</v>
      </c>
      <c r="E2995" t="s">
        <v>45</v>
      </c>
      <c r="F2995" t="s">
        <v>28</v>
      </c>
      <c r="G2995" t="s">
        <v>48</v>
      </c>
      <c r="H2995" t="s">
        <v>2182</v>
      </c>
      <c r="I2995" s="2">
        <v>2022.27</v>
      </c>
      <c r="J2995" s="3">
        <v>8</v>
      </c>
      <c r="K2995" s="2">
        <v>682.52</v>
      </c>
    </row>
    <row r="2996" spans="1:11" x14ac:dyDescent="0.35">
      <c r="A2996" s="1">
        <v>42738</v>
      </c>
      <c r="B2996" s="3">
        <f t="shared" si="92"/>
        <v>2017</v>
      </c>
      <c r="C2996" s="3">
        <f t="shared" si="93"/>
        <v>1</v>
      </c>
      <c r="D2996" t="s">
        <v>2181</v>
      </c>
      <c r="E2996" t="s">
        <v>45</v>
      </c>
      <c r="F2996" t="s">
        <v>28</v>
      </c>
      <c r="G2996" t="s">
        <v>64</v>
      </c>
      <c r="H2996" t="s">
        <v>1530</v>
      </c>
      <c r="I2996" s="2">
        <v>9.1199999999999992</v>
      </c>
      <c r="J2996" s="3">
        <v>3</v>
      </c>
      <c r="K2996" s="2">
        <v>3.1</v>
      </c>
    </row>
    <row r="2997" spans="1:11" x14ac:dyDescent="0.35">
      <c r="A2997" s="1">
        <v>42769</v>
      </c>
      <c r="B2997" s="3">
        <f t="shared" si="92"/>
        <v>2017</v>
      </c>
      <c r="C2997" s="3">
        <f t="shared" si="93"/>
        <v>2</v>
      </c>
      <c r="D2997" t="s">
        <v>246</v>
      </c>
      <c r="E2997" t="s">
        <v>131</v>
      </c>
      <c r="F2997" t="s">
        <v>28</v>
      </c>
      <c r="G2997" t="s">
        <v>48</v>
      </c>
      <c r="H2997" t="s">
        <v>1765</v>
      </c>
      <c r="I2997" s="2">
        <v>5.23</v>
      </c>
      <c r="J2997" s="3">
        <v>3</v>
      </c>
      <c r="K2997" s="2">
        <v>-4.18</v>
      </c>
    </row>
    <row r="2998" spans="1:11" x14ac:dyDescent="0.35">
      <c r="A2998" s="1">
        <v>42769</v>
      </c>
      <c r="B2998" s="3">
        <f t="shared" si="92"/>
        <v>2017</v>
      </c>
      <c r="C2998" s="3">
        <f t="shared" si="93"/>
        <v>2</v>
      </c>
      <c r="D2998" t="s">
        <v>246</v>
      </c>
      <c r="E2998" t="s">
        <v>131</v>
      </c>
      <c r="F2998" t="s">
        <v>28</v>
      </c>
      <c r="G2998" t="s">
        <v>38</v>
      </c>
      <c r="H2998" t="s">
        <v>185</v>
      </c>
      <c r="I2998" s="2">
        <v>285.55</v>
      </c>
      <c r="J2998" s="3">
        <v>2</v>
      </c>
      <c r="K2998" s="2">
        <v>35.69</v>
      </c>
    </row>
    <row r="2999" spans="1:11" x14ac:dyDescent="0.35">
      <c r="A2999" s="1">
        <v>42769</v>
      </c>
      <c r="B2999" s="3">
        <f t="shared" si="92"/>
        <v>2017</v>
      </c>
      <c r="C2999" s="3">
        <f t="shared" si="93"/>
        <v>2</v>
      </c>
      <c r="D2999" t="s">
        <v>31</v>
      </c>
      <c r="E2999" t="s">
        <v>77</v>
      </c>
      <c r="F2999" t="s">
        <v>28</v>
      </c>
      <c r="G2999" t="s">
        <v>48</v>
      </c>
      <c r="H2999" t="s">
        <v>1821</v>
      </c>
      <c r="I2999" s="2">
        <v>3.88</v>
      </c>
      <c r="J2999" s="3">
        <v>2</v>
      </c>
      <c r="K2999" s="2">
        <v>-2.59</v>
      </c>
    </row>
    <row r="3000" spans="1:11" x14ac:dyDescent="0.35">
      <c r="A3000" s="1">
        <v>42769</v>
      </c>
      <c r="B3000" s="3">
        <f t="shared" si="92"/>
        <v>2017</v>
      </c>
      <c r="C3000" s="3">
        <f t="shared" si="93"/>
        <v>2</v>
      </c>
      <c r="D3000" t="s">
        <v>31</v>
      </c>
      <c r="E3000" t="s">
        <v>77</v>
      </c>
      <c r="F3000" t="s">
        <v>28</v>
      </c>
      <c r="G3000" t="s">
        <v>29</v>
      </c>
      <c r="H3000" t="s">
        <v>1848</v>
      </c>
      <c r="I3000" s="2">
        <v>115.3</v>
      </c>
      <c r="J3000" s="3">
        <v>3</v>
      </c>
      <c r="K3000" s="2">
        <v>40.35</v>
      </c>
    </row>
    <row r="3001" spans="1:11" x14ac:dyDescent="0.35">
      <c r="A3001" s="1">
        <v>42769</v>
      </c>
      <c r="B3001" s="3">
        <f t="shared" si="92"/>
        <v>2017</v>
      </c>
      <c r="C3001" s="3">
        <f t="shared" si="93"/>
        <v>2</v>
      </c>
      <c r="D3001" t="s">
        <v>1706</v>
      </c>
      <c r="E3001" t="s">
        <v>26</v>
      </c>
      <c r="F3001" t="s">
        <v>28</v>
      </c>
      <c r="G3001" t="s">
        <v>29</v>
      </c>
      <c r="H3001" t="s">
        <v>2041</v>
      </c>
      <c r="I3001" s="2">
        <v>5.18</v>
      </c>
      <c r="J3001" s="3">
        <v>1</v>
      </c>
      <c r="K3001" s="2">
        <v>1.81</v>
      </c>
    </row>
    <row r="3002" spans="1:11" x14ac:dyDescent="0.35">
      <c r="A3002" s="1">
        <v>42769</v>
      </c>
      <c r="B3002" s="3">
        <f t="shared" si="92"/>
        <v>2017</v>
      </c>
      <c r="C3002" s="3">
        <f t="shared" si="93"/>
        <v>2</v>
      </c>
      <c r="D3002" t="s">
        <v>1706</v>
      </c>
      <c r="E3002" t="s">
        <v>26</v>
      </c>
      <c r="F3002" t="s">
        <v>28</v>
      </c>
      <c r="G3002" t="s">
        <v>29</v>
      </c>
      <c r="H3002" t="s">
        <v>512</v>
      </c>
      <c r="I3002" s="2">
        <v>65.58</v>
      </c>
      <c r="J3002" s="3">
        <v>2</v>
      </c>
      <c r="K3002" s="2">
        <v>23.77</v>
      </c>
    </row>
    <row r="3003" spans="1:11" x14ac:dyDescent="0.35">
      <c r="A3003" s="1">
        <v>42769</v>
      </c>
      <c r="B3003" s="3">
        <f t="shared" si="92"/>
        <v>2017</v>
      </c>
      <c r="C3003" s="3">
        <f t="shared" si="93"/>
        <v>2</v>
      </c>
      <c r="D3003" t="s">
        <v>1706</v>
      </c>
      <c r="E3003" t="s">
        <v>26</v>
      </c>
      <c r="F3003" t="s">
        <v>18</v>
      </c>
      <c r="G3003" t="s">
        <v>36</v>
      </c>
      <c r="H3003" t="s">
        <v>1633</v>
      </c>
      <c r="I3003" s="2">
        <v>22.2</v>
      </c>
      <c r="J3003" s="3">
        <v>1</v>
      </c>
      <c r="K3003" s="2">
        <v>-26.09</v>
      </c>
    </row>
    <row r="3004" spans="1:11" x14ac:dyDescent="0.35">
      <c r="A3004" s="1">
        <v>42769</v>
      </c>
      <c r="B3004" s="3">
        <f t="shared" si="92"/>
        <v>2017</v>
      </c>
      <c r="C3004" s="3">
        <f t="shared" si="93"/>
        <v>2</v>
      </c>
      <c r="D3004" t="s">
        <v>1706</v>
      </c>
      <c r="E3004" t="s">
        <v>26</v>
      </c>
      <c r="F3004" t="s">
        <v>28</v>
      </c>
      <c r="G3004" t="s">
        <v>29</v>
      </c>
      <c r="H3004" t="s">
        <v>2183</v>
      </c>
      <c r="I3004" s="2">
        <v>419.4</v>
      </c>
      <c r="J3004" s="3">
        <v>5</v>
      </c>
      <c r="K3004" s="2">
        <v>146.79</v>
      </c>
    </row>
    <row r="3005" spans="1:11" x14ac:dyDescent="0.35">
      <c r="A3005" s="1">
        <v>42797</v>
      </c>
      <c r="B3005" s="3">
        <f t="shared" si="92"/>
        <v>2017</v>
      </c>
      <c r="C3005" s="3">
        <f t="shared" si="93"/>
        <v>3</v>
      </c>
      <c r="D3005" t="s">
        <v>1713</v>
      </c>
      <c r="E3005" t="s">
        <v>118</v>
      </c>
      <c r="F3005" t="s">
        <v>28</v>
      </c>
      <c r="G3005" t="s">
        <v>58</v>
      </c>
      <c r="H3005" t="s">
        <v>73</v>
      </c>
      <c r="I3005" s="2">
        <v>72.8</v>
      </c>
      <c r="J3005" s="3">
        <v>5</v>
      </c>
      <c r="K3005" s="2">
        <v>19.66</v>
      </c>
    </row>
    <row r="3006" spans="1:11" x14ac:dyDescent="0.35">
      <c r="A3006" s="1">
        <v>42797</v>
      </c>
      <c r="B3006" s="3">
        <f t="shared" si="92"/>
        <v>2017</v>
      </c>
      <c r="C3006" s="3">
        <f t="shared" si="93"/>
        <v>3</v>
      </c>
      <c r="D3006" t="s">
        <v>286</v>
      </c>
      <c r="E3006" t="s">
        <v>32</v>
      </c>
      <c r="F3006" t="s">
        <v>28</v>
      </c>
      <c r="G3006" t="s">
        <v>29</v>
      </c>
      <c r="H3006" t="s">
        <v>1126</v>
      </c>
      <c r="I3006" s="2">
        <v>26.88</v>
      </c>
      <c r="J3006" s="3">
        <v>8</v>
      </c>
      <c r="K3006" s="2">
        <v>9.74</v>
      </c>
    </row>
    <row r="3007" spans="1:11" x14ac:dyDescent="0.35">
      <c r="A3007" s="1">
        <v>42797</v>
      </c>
      <c r="B3007" s="3">
        <f t="shared" si="92"/>
        <v>2017</v>
      </c>
      <c r="C3007" s="3">
        <f t="shared" si="93"/>
        <v>3</v>
      </c>
      <c r="D3007" t="s">
        <v>562</v>
      </c>
      <c r="E3007" t="s">
        <v>71</v>
      </c>
      <c r="F3007" t="s">
        <v>18</v>
      </c>
      <c r="G3007" t="s">
        <v>19</v>
      </c>
      <c r="H3007" t="s">
        <v>1433</v>
      </c>
      <c r="I3007" s="2">
        <v>180.98</v>
      </c>
      <c r="J3007" s="3">
        <v>1</v>
      </c>
      <c r="K3007" s="2">
        <v>47.05</v>
      </c>
    </row>
    <row r="3008" spans="1:11" x14ac:dyDescent="0.35">
      <c r="A3008" s="1">
        <v>42797</v>
      </c>
      <c r="B3008" s="3">
        <f t="shared" si="92"/>
        <v>2017</v>
      </c>
      <c r="C3008" s="3">
        <f t="shared" si="93"/>
        <v>3</v>
      </c>
      <c r="D3008" t="s">
        <v>562</v>
      </c>
      <c r="E3008" t="s">
        <v>71</v>
      </c>
      <c r="F3008" t="s">
        <v>13</v>
      </c>
      <c r="G3008" t="s">
        <v>14</v>
      </c>
      <c r="H3008" t="s">
        <v>364</v>
      </c>
      <c r="I3008" s="2">
        <v>99.98</v>
      </c>
      <c r="J3008" s="3">
        <v>2</v>
      </c>
      <c r="K3008" s="2">
        <v>42.99</v>
      </c>
    </row>
    <row r="3009" spans="1:11" x14ac:dyDescent="0.35">
      <c r="A3009" s="1">
        <v>42797</v>
      </c>
      <c r="B3009" s="3">
        <f t="shared" si="92"/>
        <v>2017</v>
      </c>
      <c r="C3009" s="3">
        <f t="shared" si="93"/>
        <v>3</v>
      </c>
      <c r="D3009" t="s">
        <v>2184</v>
      </c>
      <c r="E3009" t="s">
        <v>45</v>
      </c>
      <c r="F3009" t="s">
        <v>13</v>
      </c>
      <c r="G3009" t="s">
        <v>14</v>
      </c>
      <c r="H3009" t="s">
        <v>2185</v>
      </c>
      <c r="I3009" s="2">
        <v>1049.44</v>
      </c>
      <c r="J3009" s="3">
        <v>8</v>
      </c>
      <c r="K3009" s="2">
        <v>440.76</v>
      </c>
    </row>
    <row r="3010" spans="1:11" x14ac:dyDescent="0.35">
      <c r="A3010" s="1">
        <v>42797</v>
      </c>
      <c r="B3010" s="3">
        <f t="shared" ref="B3010:B3073" si="94">YEAR(A3010)</f>
        <v>2017</v>
      </c>
      <c r="C3010" s="3">
        <f t="shared" ref="C3010:C3073" si="95">MONTH(A3010)</f>
        <v>3</v>
      </c>
      <c r="D3010" t="s">
        <v>2184</v>
      </c>
      <c r="E3010" t="s">
        <v>45</v>
      </c>
      <c r="F3010" t="s">
        <v>18</v>
      </c>
      <c r="G3010" t="s">
        <v>19</v>
      </c>
      <c r="H3010" t="s">
        <v>1321</v>
      </c>
      <c r="I3010" s="2">
        <v>170.35</v>
      </c>
      <c r="J3010" s="3">
        <v>3</v>
      </c>
      <c r="K3010" s="2">
        <v>-17.04</v>
      </c>
    </row>
    <row r="3011" spans="1:11" x14ac:dyDescent="0.35">
      <c r="A3011" s="1">
        <v>42797</v>
      </c>
      <c r="B3011" s="3">
        <f t="shared" si="94"/>
        <v>2017</v>
      </c>
      <c r="C3011" s="3">
        <f t="shared" si="95"/>
        <v>3</v>
      </c>
      <c r="D3011" t="s">
        <v>2186</v>
      </c>
      <c r="E3011" t="s">
        <v>45</v>
      </c>
      <c r="F3011" t="s">
        <v>18</v>
      </c>
      <c r="G3011" t="s">
        <v>42</v>
      </c>
      <c r="H3011" t="s">
        <v>1573</v>
      </c>
      <c r="I3011" s="2">
        <v>399.67</v>
      </c>
      <c r="J3011" s="3">
        <v>7</v>
      </c>
      <c r="K3011" s="2">
        <v>-14.99</v>
      </c>
    </row>
    <row r="3012" spans="1:11" x14ac:dyDescent="0.35">
      <c r="A3012" s="1">
        <v>42828</v>
      </c>
      <c r="B3012" s="3">
        <f t="shared" si="94"/>
        <v>2017</v>
      </c>
      <c r="C3012" s="3">
        <f t="shared" si="95"/>
        <v>4</v>
      </c>
      <c r="D3012" t="s">
        <v>1695</v>
      </c>
      <c r="E3012" t="s">
        <v>89</v>
      </c>
      <c r="F3012" t="s">
        <v>18</v>
      </c>
      <c r="G3012" t="s">
        <v>36</v>
      </c>
      <c r="H3012" t="s">
        <v>1223</v>
      </c>
      <c r="I3012" s="2">
        <v>25.47</v>
      </c>
      <c r="J3012" s="3">
        <v>4</v>
      </c>
      <c r="K3012" s="2">
        <v>7.64</v>
      </c>
    </row>
    <row r="3013" spans="1:11" x14ac:dyDescent="0.35">
      <c r="A3013" s="1">
        <v>42828</v>
      </c>
      <c r="B3013" s="3">
        <f t="shared" si="94"/>
        <v>2017</v>
      </c>
      <c r="C3013" s="3">
        <f t="shared" si="95"/>
        <v>4</v>
      </c>
      <c r="D3013" t="s">
        <v>2187</v>
      </c>
      <c r="E3013" t="s">
        <v>26</v>
      </c>
      <c r="F3013" t="s">
        <v>28</v>
      </c>
      <c r="G3013" t="s">
        <v>64</v>
      </c>
      <c r="H3013" t="s">
        <v>517</v>
      </c>
      <c r="I3013" s="2">
        <v>7.06</v>
      </c>
      <c r="J3013" s="3">
        <v>3</v>
      </c>
      <c r="K3013" s="2">
        <v>2.21</v>
      </c>
    </row>
    <row r="3014" spans="1:11" x14ac:dyDescent="0.35">
      <c r="A3014" s="1">
        <v>42858</v>
      </c>
      <c r="B3014" s="3">
        <f t="shared" si="94"/>
        <v>2017</v>
      </c>
      <c r="C3014" s="3">
        <f t="shared" si="95"/>
        <v>5</v>
      </c>
      <c r="D3014" t="s">
        <v>1023</v>
      </c>
      <c r="E3014" t="s">
        <v>45</v>
      </c>
      <c r="F3014" t="s">
        <v>28</v>
      </c>
      <c r="G3014" t="s">
        <v>38</v>
      </c>
      <c r="H3014" t="s">
        <v>119</v>
      </c>
      <c r="I3014" s="2">
        <v>69.52</v>
      </c>
      <c r="J3014" s="3">
        <v>2</v>
      </c>
      <c r="K3014" s="2">
        <v>19.47</v>
      </c>
    </row>
    <row r="3015" spans="1:11" x14ac:dyDescent="0.35">
      <c r="A3015" s="1">
        <v>42858</v>
      </c>
      <c r="B3015" s="3">
        <f t="shared" si="94"/>
        <v>2017</v>
      </c>
      <c r="C3015" s="3">
        <f t="shared" si="95"/>
        <v>5</v>
      </c>
      <c r="D3015" t="s">
        <v>1023</v>
      </c>
      <c r="E3015" t="s">
        <v>45</v>
      </c>
      <c r="F3015" t="s">
        <v>28</v>
      </c>
      <c r="G3015" t="s">
        <v>38</v>
      </c>
      <c r="H3015" t="s">
        <v>2188</v>
      </c>
      <c r="I3015" s="2">
        <v>763.44</v>
      </c>
      <c r="J3015" s="3">
        <v>8</v>
      </c>
      <c r="K3015" s="2">
        <v>45.81</v>
      </c>
    </row>
    <row r="3016" spans="1:11" x14ac:dyDescent="0.35">
      <c r="A3016" s="1">
        <v>42858</v>
      </c>
      <c r="B3016" s="3">
        <f t="shared" si="94"/>
        <v>2017</v>
      </c>
      <c r="C3016" s="3">
        <f t="shared" si="95"/>
        <v>5</v>
      </c>
      <c r="D3016" t="s">
        <v>1716</v>
      </c>
      <c r="E3016" t="s">
        <v>45</v>
      </c>
      <c r="F3016" t="s">
        <v>28</v>
      </c>
      <c r="G3016" t="s">
        <v>29</v>
      </c>
      <c r="H3016" t="s">
        <v>2041</v>
      </c>
      <c r="I3016" s="2">
        <v>25.92</v>
      </c>
      <c r="J3016" s="3">
        <v>4</v>
      </c>
      <c r="K3016" s="2">
        <v>12.44</v>
      </c>
    </row>
    <row r="3017" spans="1:11" x14ac:dyDescent="0.35">
      <c r="A3017" s="1">
        <v>42858</v>
      </c>
      <c r="B3017" s="3">
        <f t="shared" si="94"/>
        <v>2017</v>
      </c>
      <c r="C3017" s="3">
        <f t="shared" si="95"/>
        <v>5</v>
      </c>
      <c r="D3017" t="s">
        <v>1716</v>
      </c>
      <c r="E3017" t="s">
        <v>45</v>
      </c>
      <c r="F3017" t="s">
        <v>28</v>
      </c>
      <c r="G3017" t="s">
        <v>64</v>
      </c>
      <c r="H3017" t="s">
        <v>448</v>
      </c>
      <c r="I3017" s="2">
        <v>22.96</v>
      </c>
      <c r="J3017" s="3">
        <v>7</v>
      </c>
      <c r="K3017" s="2">
        <v>6.66</v>
      </c>
    </row>
    <row r="3018" spans="1:11" x14ac:dyDescent="0.35">
      <c r="A3018" s="1">
        <v>42858</v>
      </c>
      <c r="B3018" s="3">
        <f t="shared" si="94"/>
        <v>2017</v>
      </c>
      <c r="C3018" s="3">
        <f t="shared" si="95"/>
        <v>5</v>
      </c>
      <c r="D3018" t="s">
        <v>1725</v>
      </c>
      <c r="E3018" t="s">
        <v>89</v>
      </c>
      <c r="F3018" t="s">
        <v>18</v>
      </c>
      <c r="G3018" t="s">
        <v>36</v>
      </c>
      <c r="H3018" t="s">
        <v>2189</v>
      </c>
      <c r="I3018" s="2">
        <v>32.450000000000003</v>
      </c>
      <c r="J3018" s="3">
        <v>2</v>
      </c>
      <c r="K3018" s="2">
        <v>7.3</v>
      </c>
    </row>
    <row r="3019" spans="1:11" x14ac:dyDescent="0.35">
      <c r="A3019" s="1">
        <v>42858</v>
      </c>
      <c r="B3019" s="3">
        <f t="shared" si="94"/>
        <v>2017</v>
      </c>
      <c r="C3019" s="3">
        <f t="shared" si="95"/>
        <v>5</v>
      </c>
      <c r="D3019" t="s">
        <v>1725</v>
      </c>
      <c r="E3019" t="s">
        <v>89</v>
      </c>
      <c r="F3019" t="s">
        <v>28</v>
      </c>
      <c r="G3019" t="s">
        <v>48</v>
      </c>
      <c r="H3019" t="s">
        <v>498</v>
      </c>
      <c r="I3019" s="2">
        <v>26.39</v>
      </c>
      <c r="J3019" s="3">
        <v>4</v>
      </c>
      <c r="K3019" s="2">
        <v>-17.59</v>
      </c>
    </row>
    <row r="3020" spans="1:11" x14ac:dyDescent="0.35">
      <c r="A3020" s="1">
        <v>42858</v>
      </c>
      <c r="B3020" s="3">
        <f t="shared" si="94"/>
        <v>2017</v>
      </c>
      <c r="C3020" s="3">
        <f t="shared" si="95"/>
        <v>5</v>
      </c>
      <c r="D3020" t="s">
        <v>1725</v>
      </c>
      <c r="E3020" t="s">
        <v>89</v>
      </c>
      <c r="F3020" t="s">
        <v>18</v>
      </c>
      <c r="G3020" t="s">
        <v>42</v>
      </c>
      <c r="H3020" t="s">
        <v>672</v>
      </c>
      <c r="I3020" s="2">
        <v>373.47</v>
      </c>
      <c r="J3020" s="3">
        <v>5</v>
      </c>
      <c r="K3020" s="2">
        <v>-112.04</v>
      </c>
    </row>
    <row r="3021" spans="1:11" x14ac:dyDescent="0.35">
      <c r="A3021" s="1">
        <v>42858</v>
      </c>
      <c r="B3021" s="3">
        <f t="shared" si="94"/>
        <v>2017</v>
      </c>
      <c r="C3021" s="3">
        <f t="shared" si="95"/>
        <v>5</v>
      </c>
      <c r="D3021" t="s">
        <v>1725</v>
      </c>
      <c r="E3021" t="s">
        <v>89</v>
      </c>
      <c r="F3021" t="s">
        <v>28</v>
      </c>
      <c r="G3021" t="s">
        <v>48</v>
      </c>
      <c r="H3021" t="s">
        <v>1476</v>
      </c>
      <c r="I3021" s="2">
        <v>64.2</v>
      </c>
      <c r="J3021" s="3">
        <v>5</v>
      </c>
      <c r="K3021" s="2">
        <v>-44.94</v>
      </c>
    </row>
    <row r="3022" spans="1:11" x14ac:dyDescent="0.35">
      <c r="A3022" s="1">
        <v>42858</v>
      </c>
      <c r="B3022" s="3">
        <f t="shared" si="94"/>
        <v>2017</v>
      </c>
      <c r="C3022" s="3">
        <f t="shared" si="95"/>
        <v>5</v>
      </c>
      <c r="D3022" t="s">
        <v>1725</v>
      </c>
      <c r="E3022" t="s">
        <v>89</v>
      </c>
      <c r="F3022" t="s">
        <v>28</v>
      </c>
      <c r="G3022" t="s">
        <v>33</v>
      </c>
      <c r="H3022" t="s">
        <v>518</v>
      </c>
      <c r="I3022" s="2">
        <v>8</v>
      </c>
      <c r="J3022" s="3">
        <v>2</v>
      </c>
      <c r="K3022" s="2">
        <v>2.8</v>
      </c>
    </row>
    <row r="3023" spans="1:11" x14ac:dyDescent="0.35">
      <c r="A3023" s="1">
        <v>42889</v>
      </c>
      <c r="B3023" s="3">
        <f t="shared" si="94"/>
        <v>2017</v>
      </c>
      <c r="C3023" s="3">
        <f t="shared" si="95"/>
        <v>6</v>
      </c>
      <c r="D3023" t="s">
        <v>839</v>
      </c>
      <c r="E3023" t="s">
        <v>326</v>
      </c>
      <c r="F3023" t="s">
        <v>18</v>
      </c>
      <c r="G3023" t="s">
        <v>36</v>
      </c>
      <c r="H3023" t="s">
        <v>2139</v>
      </c>
      <c r="I3023" s="2">
        <v>35.17</v>
      </c>
      <c r="J3023" s="3">
        <v>7</v>
      </c>
      <c r="K3023" s="2">
        <v>9.67</v>
      </c>
    </row>
    <row r="3024" spans="1:11" x14ac:dyDescent="0.35">
      <c r="A3024" s="1">
        <v>42889</v>
      </c>
      <c r="B3024" s="3">
        <f t="shared" si="94"/>
        <v>2017</v>
      </c>
      <c r="C3024" s="3">
        <f t="shared" si="95"/>
        <v>6</v>
      </c>
      <c r="D3024" t="s">
        <v>453</v>
      </c>
      <c r="E3024" t="s">
        <v>17</v>
      </c>
      <c r="F3024" t="s">
        <v>13</v>
      </c>
      <c r="G3024" t="s">
        <v>14</v>
      </c>
      <c r="H3024" t="s">
        <v>2190</v>
      </c>
      <c r="I3024" s="2">
        <v>1099.5</v>
      </c>
      <c r="J3024" s="3">
        <v>10</v>
      </c>
      <c r="K3024" s="2">
        <v>362.84</v>
      </c>
    </row>
    <row r="3025" spans="1:11" x14ac:dyDescent="0.35">
      <c r="A3025" s="1">
        <v>42889</v>
      </c>
      <c r="B3025" s="3">
        <f t="shared" si="94"/>
        <v>2017</v>
      </c>
      <c r="C3025" s="3">
        <f t="shared" si="95"/>
        <v>6</v>
      </c>
      <c r="D3025" t="s">
        <v>2191</v>
      </c>
      <c r="E3025" t="s">
        <v>45</v>
      </c>
      <c r="F3025" t="s">
        <v>13</v>
      </c>
      <c r="G3025" t="s">
        <v>14</v>
      </c>
      <c r="H3025" t="s">
        <v>218</v>
      </c>
      <c r="I3025" s="2">
        <v>44.75</v>
      </c>
      <c r="J3025" s="3">
        <v>5</v>
      </c>
      <c r="K3025" s="2">
        <v>8.5</v>
      </c>
    </row>
    <row r="3026" spans="1:11" x14ac:dyDescent="0.35">
      <c r="A3026" s="1">
        <v>42889</v>
      </c>
      <c r="B3026" s="3">
        <f t="shared" si="94"/>
        <v>2017</v>
      </c>
      <c r="C3026" s="3">
        <f t="shared" si="95"/>
        <v>6</v>
      </c>
      <c r="D3026" t="s">
        <v>2191</v>
      </c>
      <c r="E3026" t="s">
        <v>45</v>
      </c>
      <c r="F3026" t="s">
        <v>28</v>
      </c>
      <c r="G3026" t="s">
        <v>29</v>
      </c>
      <c r="H3026" t="s">
        <v>171</v>
      </c>
      <c r="I3026" s="2">
        <v>11.96</v>
      </c>
      <c r="J3026" s="3">
        <v>2</v>
      </c>
      <c r="K3026" s="2">
        <v>5.38</v>
      </c>
    </row>
    <row r="3027" spans="1:11" x14ac:dyDescent="0.35">
      <c r="A3027" s="1">
        <v>42889</v>
      </c>
      <c r="B3027" s="3">
        <f t="shared" si="94"/>
        <v>2017</v>
      </c>
      <c r="C3027" s="3">
        <f t="shared" si="95"/>
        <v>6</v>
      </c>
      <c r="D3027" t="s">
        <v>2191</v>
      </c>
      <c r="E3027" t="s">
        <v>45</v>
      </c>
      <c r="F3027" t="s">
        <v>28</v>
      </c>
      <c r="G3027" t="s">
        <v>48</v>
      </c>
      <c r="H3027" t="s">
        <v>1311</v>
      </c>
      <c r="I3027" s="2">
        <v>3.91</v>
      </c>
      <c r="J3027" s="3">
        <v>1</v>
      </c>
      <c r="K3027" s="2">
        <v>1.27</v>
      </c>
    </row>
    <row r="3028" spans="1:11" x14ac:dyDescent="0.35">
      <c r="A3028" s="1">
        <v>42889</v>
      </c>
      <c r="B3028" s="3">
        <f t="shared" si="94"/>
        <v>2017</v>
      </c>
      <c r="C3028" s="3">
        <f t="shared" si="95"/>
        <v>6</v>
      </c>
      <c r="D3028" t="s">
        <v>620</v>
      </c>
      <c r="E3028" t="s">
        <v>77</v>
      </c>
      <c r="F3028" t="s">
        <v>28</v>
      </c>
      <c r="G3028" t="s">
        <v>48</v>
      </c>
      <c r="H3028" t="s">
        <v>1163</v>
      </c>
      <c r="I3028" s="2">
        <v>4.55</v>
      </c>
      <c r="J3028" s="3">
        <v>3</v>
      </c>
      <c r="K3028" s="2">
        <v>-3.49</v>
      </c>
    </row>
    <row r="3029" spans="1:11" x14ac:dyDescent="0.35">
      <c r="A3029" s="1">
        <v>42889</v>
      </c>
      <c r="B3029" s="3">
        <f t="shared" si="94"/>
        <v>2017</v>
      </c>
      <c r="C3029" s="3">
        <f t="shared" si="95"/>
        <v>6</v>
      </c>
      <c r="D3029" t="s">
        <v>620</v>
      </c>
      <c r="E3029" t="s">
        <v>77</v>
      </c>
      <c r="F3029" t="s">
        <v>28</v>
      </c>
      <c r="G3029" t="s">
        <v>58</v>
      </c>
      <c r="H3029" t="s">
        <v>291</v>
      </c>
      <c r="I3029" s="2">
        <v>5.2</v>
      </c>
      <c r="J3029" s="3">
        <v>2</v>
      </c>
      <c r="K3029" s="2">
        <v>0.59</v>
      </c>
    </row>
    <row r="3030" spans="1:11" x14ac:dyDescent="0.35">
      <c r="A3030" s="1">
        <v>42889</v>
      </c>
      <c r="B3030" s="3">
        <f t="shared" si="94"/>
        <v>2017</v>
      </c>
      <c r="C3030" s="3">
        <f t="shared" si="95"/>
        <v>6</v>
      </c>
      <c r="D3030" t="s">
        <v>620</v>
      </c>
      <c r="E3030" t="s">
        <v>77</v>
      </c>
      <c r="F3030" t="s">
        <v>13</v>
      </c>
      <c r="G3030" t="s">
        <v>14</v>
      </c>
      <c r="H3030" t="s">
        <v>2048</v>
      </c>
      <c r="I3030" s="2">
        <v>205.99</v>
      </c>
      <c r="J3030" s="3">
        <v>1</v>
      </c>
      <c r="K3030" s="2">
        <v>-2.57</v>
      </c>
    </row>
    <row r="3031" spans="1:11" x14ac:dyDescent="0.35">
      <c r="A3031" s="1">
        <v>42889</v>
      </c>
      <c r="B3031" s="3">
        <f t="shared" si="94"/>
        <v>2017</v>
      </c>
      <c r="C3031" s="3">
        <f t="shared" si="95"/>
        <v>6</v>
      </c>
      <c r="D3031" t="s">
        <v>620</v>
      </c>
      <c r="E3031" t="s">
        <v>77</v>
      </c>
      <c r="F3031" t="s">
        <v>28</v>
      </c>
      <c r="G3031" t="s">
        <v>29</v>
      </c>
      <c r="H3031" t="s">
        <v>2070</v>
      </c>
      <c r="I3031" s="2">
        <v>15.55</v>
      </c>
      <c r="J3031" s="3">
        <v>3</v>
      </c>
      <c r="K3031" s="2">
        <v>5.44</v>
      </c>
    </row>
    <row r="3032" spans="1:11" x14ac:dyDescent="0.35">
      <c r="A3032" s="1">
        <v>42889</v>
      </c>
      <c r="B3032" s="3">
        <f t="shared" si="94"/>
        <v>2017</v>
      </c>
      <c r="C3032" s="3">
        <f t="shared" si="95"/>
        <v>6</v>
      </c>
      <c r="D3032" t="s">
        <v>620</v>
      </c>
      <c r="E3032" t="s">
        <v>77</v>
      </c>
      <c r="F3032" t="s">
        <v>13</v>
      </c>
      <c r="G3032" t="s">
        <v>23</v>
      </c>
      <c r="H3032" t="s">
        <v>1422</v>
      </c>
      <c r="I3032" s="2">
        <v>503.96</v>
      </c>
      <c r="J3032" s="3">
        <v>5</v>
      </c>
      <c r="K3032" s="2">
        <v>50.4</v>
      </c>
    </row>
    <row r="3033" spans="1:11" x14ac:dyDescent="0.35">
      <c r="A3033" s="1">
        <v>42889</v>
      </c>
      <c r="B3033" s="3">
        <f t="shared" si="94"/>
        <v>2017</v>
      </c>
      <c r="C3033" s="3">
        <f t="shared" si="95"/>
        <v>6</v>
      </c>
      <c r="D3033" t="s">
        <v>620</v>
      </c>
      <c r="E3033" t="s">
        <v>77</v>
      </c>
      <c r="F3033" t="s">
        <v>28</v>
      </c>
      <c r="G3033" t="s">
        <v>58</v>
      </c>
      <c r="H3033" t="s">
        <v>2105</v>
      </c>
      <c r="I3033" s="2">
        <v>24.47</v>
      </c>
      <c r="J3033" s="3">
        <v>7</v>
      </c>
      <c r="K3033" s="2">
        <v>1.84</v>
      </c>
    </row>
    <row r="3034" spans="1:11" x14ac:dyDescent="0.35">
      <c r="A3034" s="1">
        <v>42889</v>
      </c>
      <c r="B3034" s="3">
        <f t="shared" si="94"/>
        <v>2017</v>
      </c>
      <c r="C3034" s="3">
        <f t="shared" si="95"/>
        <v>6</v>
      </c>
      <c r="D3034" t="s">
        <v>620</v>
      </c>
      <c r="E3034" t="s">
        <v>77</v>
      </c>
      <c r="F3034" t="s">
        <v>18</v>
      </c>
      <c r="G3034" t="s">
        <v>237</v>
      </c>
      <c r="H3034" t="s">
        <v>1319</v>
      </c>
      <c r="I3034" s="2">
        <v>241.57</v>
      </c>
      <c r="J3034" s="3">
        <v>2</v>
      </c>
      <c r="K3034" s="2">
        <v>0</v>
      </c>
    </row>
    <row r="3035" spans="1:11" x14ac:dyDescent="0.35">
      <c r="A3035" s="1">
        <v>42889</v>
      </c>
      <c r="B3035" s="3">
        <f t="shared" si="94"/>
        <v>2017</v>
      </c>
      <c r="C3035" s="3">
        <f t="shared" si="95"/>
        <v>6</v>
      </c>
      <c r="D3035" t="s">
        <v>620</v>
      </c>
      <c r="E3035" t="s">
        <v>77</v>
      </c>
      <c r="F3035" t="s">
        <v>13</v>
      </c>
      <c r="G3035" t="s">
        <v>14</v>
      </c>
      <c r="H3035" t="s">
        <v>938</v>
      </c>
      <c r="I3035" s="2">
        <v>110.4</v>
      </c>
      <c r="J3035" s="3">
        <v>2</v>
      </c>
      <c r="K3035" s="2">
        <v>-4.1399999999999997</v>
      </c>
    </row>
    <row r="3036" spans="1:11" x14ac:dyDescent="0.35">
      <c r="A3036" s="1">
        <v>42889</v>
      </c>
      <c r="B3036" s="3">
        <f t="shared" si="94"/>
        <v>2017</v>
      </c>
      <c r="C3036" s="3">
        <f t="shared" si="95"/>
        <v>6</v>
      </c>
      <c r="D3036" t="s">
        <v>244</v>
      </c>
      <c r="E3036" t="s">
        <v>22</v>
      </c>
      <c r="F3036" t="s">
        <v>18</v>
      </c>
      <c r="G3036" t="s">
        <v>42</v>
      </c>
      <c r="H3036" t="s">
        <v>1959</v>
      </c>
      <c r="I3036" s="2">
        <v>384.77</v>
      </c>
      <c r="J3036" s="3">
        <v>2</v>
      </c>
      <c r="K3036" s="2">
        <v>-115.43</v>
      </c>
    </row>
    <row r="3037" spans="1:11" x14ac:dyDescent="0.35">
      <c r="A3037" s="1">
        <v>42889</v>
      </c>
      <c r="B3037" s="3">
        <f t="shared" si="94"/>
        <v>2017</v>
      </c>
      <c r="C3037" s="3">
        <f t="shared" si="95"/>
        <v>6</v>
      </c>
      <c r="D3037" t="s">
        <v>244</v>
      </c>
      <c r="E3037" t="s">
        <v>22</v>
      </c>
      <c r="F3037" t="s">
        <v>13</v>
      </c>
      <c r="G3037" t="s">
        <v>204</v>
      </c>
      <c r="H3037" t="s">
        <v>2192</v>
      </c>
      <c r="I3037" s="2">
        <v>78.66</v>
      </c>
      <c r="J3037" s="3">
        <v>6</v>
      </c>
      <c r="K3037" s="2">
        <v>36.18</v>
      </c>
    </row>
    <row r="3038" spans="1:11" x14ac:dyDescent="0.35">
      <c r="A3038" s="1">
        <v>42889</v>
      </c>
      <c r="B3038" s="3">
        <f t="shared" si="94"/>
        <v>2017</v>
      </c>
      <c r="C3038" s="3">
        <f t="shared" si="95"/>
        <v>6</v>
      </c>
      <c r="D3038" t="s">
        <v>244</v>
      </c>
      <c r="E3038" t="s">
        <v>22</v>
      </c>
      <c r="F3038" t="s">
        <v>28</v>
      </c>
      <c r="G3038" t="s">
        <v>29</v>
      </c>
      <c r="H3038" t="s">
        <v>1304</v>
      </c>
      <c r="I3038" s="2">
        <v>45.36</v>
      </c>
      <c r="J3038" s="3">
        <v>4</v>
      </c>
      <c r="K3038" s="2">
        <v>22.23</v>
      </c>
    </row>
    <row r="3039" spans="1:11" x14ac:dyDescent="0.35">
      <c r="A3039" s="1">
        <v>42889</v>
      </c>
      <c r="B3039" s="3">
        <f t="shared" si="94"/>
        <v>2017</v>
      </c>
      <c r="C3039" s="3">
        <f t="shared" si="95"/>
        <v>6</v>
      </c>
      <c r="D3039" t="s">
        <v>2193</v>
      </c>
      <c r="E3039" t="s">
        <v>17</v>
      </c>
      <c r="F3039" t="s">
        <v>28</v>
      </c>
      <c r="G3039" t="s">
        <v>38</v>
      </c>
      <c r="H3039" t="s">
        <v>1182</v>
      </c>
      <c r="I3039" s="2">
        <v>136.26</v>
      </c>
      <c r="J3039" s="3">
        <v>9</v>
      </c>
      <c r="K3039" s="2">
        <v>5.45</v>
      </c>
    </row>
    <row r="3040" spans="1:11" x14ac:dyDescent="0.35">
      <c r="A3040" s="1">
        <v>42919</v>
      </c>
      <c r="B3040" s="3">
        <f t="shared" si="94"/>
        <v>2017</v>
      </c>
      <c r="C3040" s="3">
        <f t="shared" si="95"/>
        <v>7</v>
      </c>
      <c r="D3040" t="s">
        <v>2194</v>
      </c>
      <c r="E3040" t="s">
        <v>165</v>
      </c>
      <c r="F3040" t="s">
        <v>18</v>
      </c>
      <c r="G3040" t="s">
        <v>36</v>
      </c>
      <c r="H3040" t="s">
        <v>2195</v>
      </c>
      <c r="I3040" s="2">
        <v>23.99</v>
      </c>
      <c r="J3040" s="3">
        <v>1</v>
      </c>
      <c r="K3040" s="2">
        <v>5.52</v>
      </c>
    </row>
    <row r="3041" spans="1:11" x14ac:dyDescent="0.35">
      <c r="A3041" s="1">
        <v>42919</v>
      </c>
      <c r="B3041" s="3">
        <f t="shared" si="94"/>
        <v>2017</v>
      </c>
      <c r="C3041" s="3">
        <f t="shared" si="95"/>
        <v>7</v>
      </c>
      <c r="D3041" t="s">
        <v>2194</v>
      </c>
      <c r="E3041" t="s">
        <v>165</v>
      </c>
      <c r="F3041" t="s">
        <v>13</v>
      </c>
      <c r="G3041" t="s">
        <v>23</v>
      </c>
      <c r="H3041" t="s">
        <v>217</v>
      </c>
      <c r="I3041" s="2">
        <v>287.97000000000003</v>
      </c>
      <c r="J3041" s="3">
        <v>3</v>
      </c>
      <c r="K3041" s="2">
        <v>77.75</v>
      </c>
    </row>
    <row r="3042" spans="1:11" x14ac:dyDescent="0.35">
      <c r="A3042" s="1">
        <v>42919</v>
      </c>
      <c r="B3042" s="3">
        <f t="shared" si="94"/>
        <v>2017</v>
      </c>
      <c r="C3042" s="3">
        <f t="shared" si="95"/>
        <v>7</v>
      </c>
      <c r="D3042" t="s">
        <v>1460</v>
      </c>
      <c r="E3042" t="s">
        <v>81</v>
      </c>
      <c r="F3042" t="s">
        <v>28</v>
      </c>
      <c r="G3042" t="s">
        <v>64</v>
      </c>
      <c r="H3042" t="s">
        <v>1625</v>
      </c>
      <c r="I3042" s="2">
        <v>9.5500000000000007</v>
      </c>
      <c r="J3042" s="3">
        <v>3</v>
      </c>
      <c r="K3042" s="2">
        <v>1.55</v>
      </c>
    </row>
    <row r="3043" spans="1:11" x14ac:dyDescent="0.35">
      <c r="A3043" s="1">
        <v>42919</v>
      </c>
      <c r="B3043" s="3">
        <f t="shared" si="94"/>
        <v>2017</v>
      </c>
      <c r="C3043" s="3">
        <f t="shared" si="95"/>
        <v>7</v>
      </c>
      <c r="D3043" t="s">
        <v>164</v>
      </c>
      <c r="E3043" t="s">
        <v>32</v>
      </c>
      <c r="F3043" t="s">
        <v>13</v>
      </c>
      <c r="G3043" t="s">
        <v>23</v>
      </c>
      <c r="H3043" t="s">
        <v>505</v>
      </c>
      <c r="I3043" s="2">
        <v>167.97</v>
      </c>
      <c r="J3043" s="3">
        <v>4</v>
      </c>
      <c r="K3043" s="2">
        <v>62.99</v>
      </c>
    </row>
    <row r="3044" spans="1:11" x14ac:dyDescent="0.35">
      <c r="A3044" s="1">
        <v>42919</v>
      </c>
      <c r="B3044" s="3">
        <f t="shared" si="94"/>
        <v>2017</v>
      </c>
      <c r="C3044" s="3">
        <f t="shared" si="95"/>
        <v>7</v>
      </c>
      <c r="D3044" t="s">
        <v>546</v>
      </c>
      <c r="E3044" t="s">
        <v>32</v>
      </c>
      <c r="F3044" t="s">
        <v>28</v>
      </c>
      <c r="G3044" t="s">
        <v>29</v>
      </c>
      <c r="H3044" t="s">
        <v>429</v>
      </c>
      <c r="I3044" s="2">
        <v>273.89999999999998</v>
      </c>
      <c r="J3044" s="3">
        <v>7</v>
      </c>
      <c r="K3044" s="2">
        <v>92.44</v>
      </c>
    </row>
    <row r="3045" spans="1:11" x14ac:dyDescent="0.35">
      <c r="A3045" s="1">
        <v>42919</v>
      </c>
      <c r="B3045" s="3">
        <f t="shared" si="94"/>
        <v>2017</v>
      </c>
      <c r="C3045" s="3">
        <f t="shared" si="95"/>
        <v>7</v>
      </c>
      <c r="D3045" t="s">
        <v>546</v>
      </c>
      <c r="E3045" t="s">
        <v>32</v>
      </c>
      <c r="F3045" t="s">
        <v>13</v>
      </c>
      <c r="G3045" t="s">
        <v>204</v>
      </c>
      <c r="H3045" t="s">
        <v>2196</v>
      </c>
      <c r="I3045" s="2">
        <v>597.13</v>
      </c>
      <c r="J3045" s="3">
        <v>3</v>
      </c>
      <c r="K3045" s="2">
        <v>49.76</v>
      </c>
    </row>
    <row r="3046" spans="1:11" x14ac:dyDescent="0.35">
      <c r="A3046" s="1">
        <v>42919</v>
      </c>
      <c r="B3046" s="3">
        <f t="shared" si="94"/>
        <v>2017</v>
      </c>
      <c r="C3046" s="3">
        <f t="shared" si="95"/>
        <v>7</v>
      </c>
      <c r="D3046" t="s">
        <v>1909</v>
      </c>
      <c r="E3046" t="s">
        <v>857</v>
      </c>
      <c r="F3046" t="s">
        <v>18</v>
      </c>
      <c r="G3046" t="s">
        <v>36</v>
      </c>
      <c r="H3046" t="s">
        <v>1441</v>
      </c>
      <c r="I3046" s="2">
        <v>545.85</v>
      </c>
      <c r="J3046" s="3">
        <v>9</v>
      </c>
      <c r="K3046" s="2">
        <v>114.63</v>
      </c>
    </row>
    <row r="3047" spans="1:11" x14ac:dyDescent="0.35">
      <c r="A3047" s="1">
        <v>42919</v>
      </c>
      <c r="B3047" s="3">
        <f t="shared" si="94"/>
        <v>2017</v>
      </c>
      <c r="C3047" s="3">
        <f t="shared" si="95"/>
        <v>7</v>
      </c>
      <c r="D3047" t="s">
        <v>418</v>
      </c>
      <c r="E3047" t="s">
        <v>131</v>
      </c>
      <c r="F3047" t="s">
        <v>28</v>
      </c>
      <c r="G3047" t="s">
        <v>29</v>
      </c>
      <c r="H3047" t="s">
        <v>258</v>
      </c>
      <c r="I3047" s="2">
        <v>32.9</v>
      </c>
      <c r="J3047" s="3">
        <v>4</v>
      </c>
      <c r="K3047" s="2">
        <v>11.1</v>
      </c>
    </row>
    <row r="3048" spans="1:11" x14ac:dyDescent="0.35">
      <c r="A3048" s="1">
        <v>42919</v>
      </c>
      <c r="B3048" s="3">
        <f t="shared" si="94"/>
        <v>2017</v>
      </c>
      <c r="C3048" s="3">
        <f t="shared" si="95"/>
        <v>7</v>
      </c>
      <c r="D3048" t="s">
        <v>418</v>
      </c>
      <c r="E3048" t="s">
        <v>131</v>
      </c>
      <c r="F3048" t="s">
        <v>18</v>
      </c>
      <c r="G3048" t="s">
        <v>42</v>
      </c>
      <c r="H3048" t="s">
        <v>414</v>
      </c>
      <c r="I3048" s="2">
        <v>215.15</v>
      </c>
      <c r="J3048" s="3">
        <v>2</v>
      </c>
      <c r="K3048" s="2">
        <v>-103.99</v>
      </c>
    </row>
    <row r="3049" spans="1:11" x14ac:dyDescent="0.35">
      <c r="A3049" s="1">
        <v>42919</v>
      </c>
      <c r="B3049" s="3">
        <f t="shared" si="94"/>
        <v>2017</v>
      </c>
      <c r="C3049" s="3">
        <f t="shared" si="95"/>
        <v>7</v>
      </c>
      <c r="D3049" t="s">
        <v>418</v>
      </c>
      <c r="E3049" t="s">
        <v>131</v>
      </c>
      <c r="F3049" t="s">
        <v>28</v>
      </c>
      <c r="G3049" t="s">
        <v>29</v>
      </c>
      <c r="H3049" t="s">
        <v>1751</v>
      </c>
      <c r="I3049" s="2">
        <v>30.96</v>
      </c>
      <c r="J3049" s="3">
        <v>6</v>
      </c>
      <c r="K3049" s="2">
        <v>11.22</v>
      </c>
    </row>
    <row r="3050" spans="1:11" x14ac:dyDescent="0.35">
      <c r="A3050" s="1">
        <v>42919</v>
      </c>
      <c r="B3050" s="3">
        <f t="shared" si="94"/>
        <v>2017</v>
      </c>
      <c r="C3050" s="3">
        <f t="shared" si="95"/>
        <v>7</v>
      </c>
      <c r="D3050" t="s">
        <v>1597</v>
      </c>
      <c r="E3050" t="s">
        <v>17</v>
      </c>
      <c r="F3050" t="s">
        <v>13</v>
      </c>
      <c r="G3050" t="s">
        <v>14</v>
      </c>
      <c r="H3050" t="s">
        <v>236</v>
      </c>
      <c r="I3050" s="2">
        <v>59.98</v>
      </c>
      <c r="J3050" s="3">
        <v>2</v>
      </c>
      <c r="K3050" s="2">
        <v>26.39</v>
      </c>
    </row>
    <row r="3051" spans="1:11" x14ac:dyDescent="0.35">
      <c r="A3051" s="1">
        <v>42919</v>
      </c>
      <c r="B3051" s="3">
        <f t="shared" si="94"/>
        <v>2017</v>
      </c>
      <c r="C3051" s="3">
        <f t="shared" si="95"/>
        <v>7</v>
      </c>
      <c r="D3051" t="s">
        <v>1597</v>
      </c>
      <c r="E3051" t="s">
        <v>17</v>
      </c>
      <c r="F3051" t="s">
        <v>13</v>
      </c>
      <c r="G3051" t="s">
        <v>204</v>
      </c>
      <c r="H3051" t="s">
        <v>2197</v>
      </c>
      <c r="I3051" s="2">
        <v>2395.1999999999998</v>
      </c>
      <c r="J3051" s="3">
        <v>6</v>
      </c>
      <c r="K3051" s="2">
        <v>209.58</v>
      </c>
    </row>
    <row r="3052" spans="1:11" x14ac:dyDescent="0.35">
      <c r="A3052" s="1">
        <v>42919</v>
      </c>
      <c r="B3052" s="3">
        <f t="shared" si="94"/>
        <v>2017</v>
      </c>
      <c r="C3052" s="3">
        <f t="shared" si="95"/>
        <v>7</v>
      </c>
      <c r="D3052" t="s">
        <v>1597</v>
      </c>
      <c r="E3052" t="s">
        <v>17</v>
      </c>
      <c r="F3052" t="s">
        <v>13</v>
      </c>
      <c r="G3052" t="s">
        <v>14</v>
      </c>
      <c r="H3052" t="s">
        <v>1705</v>
      </c>
      <c r="I3052" s="2">
        <v>1687.8</v>
      </c>
      <c r="J3052" s="3">
        <v>4</v>
      </c>
      <c r="K3052" s="2">
        <v>742.63</v>
      </c>
    </row>
    <row r="3053" spans="1:11" x14ac:dyDescent="0.35">
      <c r="A3053" s="1">
        <v>42919</v>
      </c>
      <c r="B3053" s="3">
        <f t="shared" si="94"/>
        <v>2017</v>
      </c>
      <c r="C3053" s="3">
        <f t="shared" si="95"/>
        <v>7</v>
      </c>
      <c r="D3053" t="s">
        <v>1597</v>
      </c>
      <c r="E3053" t="s">
        <v>17</v>
      </c>
      <c r="F3053" t="s">
        <v>13</v>
      </c>
      <c r="G3053" t="s">
        <v>23</v>
      </c>
      <c r="H3053" t="s">
        <v>2198</v>
      </c>
      <c r="I3053" s="2">
        <v>7.99</v>
      </c>
      <c r="J3053" s="3">
        <v>1</v>
      </c>
      <c r="K3053" s="2">
        <v>2.7</v>
      </c>
    </row>
    <row r="3054" spans="1:11" x14ac:dyDescent="0.35">
      <c r="A3054" s="1">
        <v>42919</v>
      </c>
      <c r="B3054" s="3">
        <f t="shared" si="94"/>
        <v>2017</v>
      </c>
      <c r="C3054" s="3">
        <f t="shared" si="95"/>
        <v>7</v>
      </c>
      <c r="D3054" t="s">
        <v>1360</v>
      </c>
      <c r="E3054" t="s">
        <v>51</v>
      </c>
      <c r="F3054" t="s">
        <v>13</v>
      </c>
      <c r="G3054" t="s">
        <v>14</v>
      </c>
      <c r="H3054" t="s">
        <v>1185</v>
      </c>
      <c r="I3054" s="2">
        <v>258.89999999999998</v>
      </c>
      <c r="J3054" s="3">
        <v>10</v>
      </c>
      <c r="K3054" s="2">
        <v>93.2</v>
      </c>
    </row>
    <row r="3055" spans="1:11" x14ac:dyDescent="0.35">
      <c r="A3055" s="1">
        <v>42919</v>
      </c>
      <c r="B3055" s="3">
        <f t="shared" si="94"/>
        <v>2017</v>
      </c>
      <c r="C3055" s="3">
        <f t="shared" si="95"/>
        <v>7</v>
      </c>
      <c r="D3055" t="s">
        <v>1360</v>
      </c>
      <c r="E3055" t="s">
        <v>51</v>
      </c>
      <c r="F3055" t="s">
        <v>28</v>
      </c>
      <c r="G3055" t="s">
        <v>29</v>
      </c>
      <c r="H3055" t="s">
        <v>922</v>
      </c>
      <c r="I3055" s="2">
        <v>24.56</v>
      </c>
      <c r="J3055" s="3">
        <v>2</v>
      </c>
      <c r="K3055" s="2">
        <v>11.54</v>
      </c>
    </row>
    <row r="3056" spans="1:11" x14ac:dyDescent="0.35">
      <c r="A3056" s="1">
        <v>42919</v>
      </c>
      <c r="B3056" s="3">
        <f t="shared" si="94"/>
        <v>2017</v>
      </c>
      <c r="C3056" s="3">
        <f t="shared" si="95"/>
        <v>7</v>
      </c>
      <c r="D3056" t="s">
        <v>691</v>
      </c>
      <c r="E3056" t="s">
        <v>45</v>
      </c>
      <c r="F3056" t="s">
        <v>18</v>
      </c>
      <c r="G3056" t="s">
        <v>36</v>
      </c>
      <c r="H3056" t="s">
        <v>2097</v>
      </c>
      <c r="I3056" s="2">
        <v>129.38999999999999</v>
      </c>
      <c r="J3056" s="3">
        <v>3</v>
      </c>
      <c r="K3056" s="2">
        <v>54.34</v>
      </c>
    </row>
    <row r="3057" spans="1:11" x14ac:dyDescent="0.35">
      <c r="A3057" s="1">
        <v>42919</v>
      </c>
      <c r="B3057" s="3">
        <f t="shared" si="94"/>
        <v>2017</v>
      </c>
      <c r="C3057" s="3">
        <f t="shared" si="95"/>
        <v>7</v>
      </c>
      <c r="D3057" t="s">
        <v>164</v>
      </c>
      <c r="E3057" t="s">
        <v>45</v>
      </c>
      <c r="F3057" t="s">
        <v>28</v>
      </c>
      <c r="G3057" t="s">
        <v>38</v>
      </c>
      <c r="H3057" t="s">
        <v>585</v>
      </c>
      <c r="I3057" s="2">
        <v>87.92</v>
      </c>
      <c r="J3057" s="3">
        <v>4</v>
      </c>
      <c r="K3057" s="2">
        <v>0.88</v>
      </c>
    </row>
    <row r="3058" spans="1:11" x14ac:dyDescent="0.35">
      <c r="A3058" s="1">
        <v>42919</v>
      </c>
      <c r="B3058" s="3">
        <f t="shared" si="94"/>
        <v>2017</v>
      </c>
      <c r="C3058" s="3">
        <f t="shared" si="95"/>
        <v>7</v>
      </c>
      <c r="D3058" t="s">
        <v>1104</v>
      </c>
      <c r="E3058" t="s">
        <v>81</v>
      </c>
      <c r="F3058" t="s">
        <v>13</v>
      </c>
      <c r="G3058" t="s">
        <v>14</v>
      </c>
      <c r="H3058" t="s">
        <v>1193</v>
      </c>
      <c r="I3058" s="2">
        <v>24</v>
      </c>
      <c r="J3058" s="3">
        <v>2</v>
      </c>
      <c r="K3058" s="2">
        <v>-2.7</v>
      </c>
    </row>
    <row r="3059" spans="1:11" x14ac:dyDescent="0.35">
      <c r="A3059" s="1">
        <v>42919</v>
      </c>
      <c r="B3059" s="3">
        <f t="shared" si="94"/>
        <v>2017</v>
      </c>
      <c r="C3059" s="3">
        <f t="shared" si="95"/>
        <v>7</v>
      </c>
      <c r="D3059" t="s">
        <v>2199</v>
      </c>
      <c r="E3059" t="s">
        <v>1213</v>
      </c>
      <c r="F3059" t="s">
        <v>18</v>
      </c>
      <c r="G3059" t="s">
        <v>36</v>
      </c>
      <c r="H3059" t="s">
        <v>2152</v>
      </c>
      <c r="I3059" s="2">
        <v>102.3</v>
      </c>
      <c r="J3059" s="3">
        <v>1</v>
      </c>
      <c r="K3059" s="2">
        <v>26.6</v>
      </c>
    </row>
    <row r="3060" spans="1:11" x14ac:dyDescent="0.35">
      <c r="A3060" s="1">
        <v>42950</v>
      </c>
      <c r="B3060" s="3">
        <f t="shared" si="94"/>
        <v>2017</v>
      </c>
      <c r="C3060" s="3">
        <f t="shared" si="95"/>
        <v>8</v>
      </c>
      <c r="D3060" t="s">
        <v>1503</v>
      </c>
      <c r="E3060" t="s">
        <v>26</v>
      </c>
      <c r="F3060" t="s">
        <v>18</v>
      </c>
      <c r="G3060" t="s">
        <v>237</v>
      </c>
      <c r="H3060" t="s">
        <v>2200</v>
      </c>
      <c r="I3060" s="2">
        <v>183.37</v>
      </c>
      <c r="J3060" s="3">
        <v>2</v>
      </c>
      <c r="K3060" s="2">
        <v>-36.67</v>
      </c>
    </row>
    <row r="3061" spans="1:11" x14ac:dyDescent="0.35">
      <c r="A3061" s="1">
        <v>42950</v>
      </c>
      <c r="B3061" s="3">
        <f t="shared" si="94"/>
        <v>2017</v>
      </c>
      <c r="C3061" s="3">
        <f t="shared" si="95"/>
        <v>8</v>
      </c>
      <c r="D3061" t="s">
        <v>1175</v>
      </c>
      <c r="E3061" t="s">
        <v>45</v>
      </c>
      <c r="F3061" t="s">
        <v>28</v>
      </c>
      <c r="G3061" t="s">
        <v>46</v>
      </c>
      <c r="H3061" t="s">
        <v>1644</v>
      </c>
      <c r="I3061" s="2">
        <v>51.75</v>
      </c>
      <c r="J3061" s="3">
        <v>5</v>
      </c>
      <c r="K3061" s="2">
        <v>24.84</v>
      </c>
    </row>
    <row r="3062" spans="1:11" x14ac:dyDescent="0.35">
      <c r="A3062" s="1">
        <v>42950</v>
      </c>
      <c r="B3062" s="3">
        <f t="shared" si="94"/>
        <v>2017</v>
      </c>
      <c r="C3062" s="3">
        <f t="shared" si="95"/>
        <v>8</v>
      </c>
      <c r="D3062" t="s">
        <v>1175</v>
      </c>
      <c r="E3062" t="s">
        <v>45</v>
      </c>
      <c r="F3062" t="s">
        <v>18</v>
      </c>
      <c r="G3062" t="s">
        <v>36</v>
      </c>
      <c r="H3062" t="s">
        <v>908</v>
      </c>
      <c r="I3062" s="2">
        <v>123.96</v>
      </c>
      <c r="J3062" s="3">
        <v>3</v>
      </c>
      <c r="K3062" s="2">
        <v>11.16</v>
      </c>
    </row>
    <row r="3063" spans="1:11" x14ac:dyDescent="0.35">
      <c r="A3063" s="1">
        <v>42950</v>
      </c>
      <c r="B3063" s="3">
        <f t="shared" si="94"/>
        <v>2017</v>
      </c>
      <c r="C3063" s="3">
        <f t="shared" si="95"/>
        <v>8</v>
      </c>
      <c r="D3063" t="s">
        <v>577</v>
      </c>
      <c r="E3063" t="s">
        <v>45</v>
      </c>
      <c r="F3063" t="s">
        <v>28</v>
      </c>
      <c r="G3063" t="s">
        <v>38</v>
      </c>
      <c r="H3063" t="s">
        <v>2201</v>
      </c>
      <c r="I3063" s="2">
        <v>99.87</v>
      </c>
      <c r="J3063" s="3">
        <v>3</v>
      </c>
      <c r="K3063" s="2">
        <v>23.97</v>
      </c>
    </row>
    <row r="3064" spans="1:11" x14ac:dyDescent="0.35">
      <c r="A3064" s="1">
        <v>42950</v>
      </c>
      <c r="B3064" s="3">
        <f t="shared" si="94"/>
        <v>2017</v>
      </c>
      <c r="C3064" s="3">
        <f t="shared" si="95"/>
        <v>8</v>
      </c>
      <c r="D3064" t="s">
        <v>1400</v>
      </c>
      <c r="E3064" t="s">
        <v>26</v>
      </c>
      <c r="F3064" t="s">
        <v>13</v>
      </c>
      <c r="G3064" t="s">
        <v>14</v>
      </c>
      <c r="H3064" t="s">
        <v>1758</v>
      </c>
      <c r="I3064" s="2">
        <v>39.82</v>
      </c>
      <c r="J3064" s="3">
        <v>3</v>
      </c>
      <c r="K3064" s="2">
        <v>7.47</v>
      </c>
    </row>
    <row r="3065" spans="1:11" x14ac:dyDescent="0.35">
      <c r="A3065" s="1">
        <v>42950</v>
      </c>
      <c r="B3065" s="3">
        <f t="shared" si="94"/>
        <v>2017</v>
      </c>
      <c r="C3065" s="3">
        <f t="shared" si="95"/>
        <v>8</v>
      </c>
      <c r="D3065" t="s">
        <v>1882</v>
      </c>
      <c r="E3065" t="s">
        <v>17</v>
      </c>
      <c r="F3065" t="s">
        <v>28</v>
      </c>
      <c r="G3065" t="s">
        <v>38</v>
      </c>
      <c r="H3065" t="s">
        <v>2202</v>
      </c>
      <c r="I3065" s="2">
        <v>16.059999999999999</v>
      </c>
      <c r="J3065" s="3">
        <v>1</v>
      </c>
      <c r="K3065" s="2">
        <v>4.18</v>
      </c>
    </row>
    <row r="3066" spans="1:11" x14ac:dyDescent="0.35">
      <c r="A3066" s="1">
        <v>42950</v>
      </c>
      <c r="B3066" s="3">
        <f t="shared" si="94"/>
        <v>2017</v>
      </c>
      <c r="C3066" s="3">
        <f t="shared" si="95"/>
        <v>8</v>
      </c>
      <c r="D3066" t="s">
        <v>2148</v>
      </c>
      <c r="E3066" t="s">
        <v>131</v>
      </c>
      <c r="F3066" t="s">
        <v>28</v>
      </c>
      <c r="G3066" t="s">
        <v>46</v>
      </c>
      <c r="H3066" t="s">
        <v>1295</v>
      </c>
      <c r="I3066" s="2">
        <v>16.52</v>
      </c>
      <c r="J3066" s="3">
        <v>5</v>
      </c>
      <c r="K3066" s="2">
        <v>5.37</v>
      </c>
    </row>
    <row r="3067" spans="1:11" x14ac:dyDescent="0.35">
      <c r="A3067" s="1">
        <v>42981</v>
      </c>
      <c r="B3067" s="3">
        <f t="shared" si="94"/>
        <v>2017</v>
      </c>
      <c r="C3067" s="3">
        <f t="shared" si="95"/>
        <v>9</v>
      </c>
      <c r="D3067" t="s">
        <v>562</v>
      </c>
      <c r="E3067" t="s">
        <v>26</v>
      </c>
      <c r="F3067" t="s">
        <v>28</v>
      </c>
      <c r="G3067" t="s">
        <v>48</v>
      </c>
      <c r="H3067" t="s">
        <v>855</v>
      </c>
      <c r="I3067" s="2">
        <v>42.62</v>
      </c>
      <c r="J3067" s="3">
        <v>7</v>
      </c>
      <c r="K3067" s="2">
        <v>-68.19</v>
      </c>
    </row>
    <row r="3068" spans="1:11" x14ac:dyDescent="0.35">
      <c r="A3068" s="1">
        <v>42981</v>
      </c>
      <c r="B3068" s="3">
        <f t="shared" si="94"/>
        <v>2017</v>
      </c>
      <c r="C3068" s="3">
        <f t="shared" si="95"/>
        <v>9</v>
      </c>
      <c r="D3068" t="s">
        <v>957</v>
      </c>
      <c r="E3068" t="s">
        <v>77</v>
      </c>
      <c r="F3068" t="s">
        <v>28</v>
      </c>
      <c r="G3068" t="s">
        <v>158</v>
      </c>
      <c r="H3068" t="s">
        <v>849</v>
      </c>
      <c r="I3068" s="2">
        <v>24.45</v>
      </c>
      <c r="J3068" s="3">
        <v>4</v>
      </c>
      <c r="K3068" s="2">
        <v>8.86</v>
      </c>
    </row>
    <row r="3069" spans="1:11" x14ac:dyDescent="0.35">
      <c r="A3069" s="1">
        <v>42981</v>
      </c>
      <c r="B3069" s="3">
        <f t="shared" si="94"/>
        <v>2017</v>
      </c>
      <c r="C3069" s="3">
        <f t="shared" si="95"/>
        <v>9</v>
      </c>
      <c r="D3069" t="s">
        <v>1869</v>
      </c>
      <c r="E3069" t="s">
        <v>45</v>
      </c>
      <c r="F3069" t="s">
        <v>28</v>
      </c>
      <c r="G3069" t="s">
        <v>64</v>
      </c>
      <c r="H3069" t="s">
        <v>1014</v>
      </c>
      <c r="I3069" s="2">
        <v>5.96</v>
      </c>
      <c r="J3069" s="3">
        <v>2</v>
      </c>
      <c r="K3069" s="2">
        <v>1.67</v>
      </c>
    </row>
    <row r="3070" spans="1:11" x14ac:dyDescent="0.35">
      <c r="A3070" s="1">
        <v>42981</v>
      </c>
      <c r="B3070" s="3">
        <f t="shared" si="94"/>
        <v>2017</v>
      </c>
      <c r="C3070" s="3">
        <f t="shared" si="95"/>
        <v>9</v>
      </c>
      <c r="D3070" t="s">
        <v>2203</v>
      </c>
      <c r="E3070" t="s">
        <v>45</v>
      </c>
      <c r="F3070" t="s">
        <v>28</v>
      </c>
      <c r="G3070" t="s">
        <v>48</v>
      </c>
      <c r="H3070" t="s">
        <v>1962</v>
      </c>
      <c r="I3070" s="2">
        <v>82.56</v>
      </c>
      <c r="J3070" s="3">
        <v>5</v>
      </c>
      <c r="K3070" s="2">
        <v>28.9</v>
      </c>
    </row>
    <row r="3071" spans="1:11" x14ac:dyDescent="0.35">
      <c r="A3071" s="1">
        <v>42981</v>
      </c>
      <c r="B3071" s="3">
        <f t="shared" si="94"/>
        <v>2017</v>
      </c>
      <c r="C3071" s="3">
        <f t="shared" si="95"/>
        <v>9</v>
      </c>
      <c r="D3071" t="s">
        <v>2203</v>
      </c>
      <c r="E3071" t="s">
        <v>45</v>
      </c>
      <c r="F3071" t="s">
        <v>13</v>
      </c>
      <c r="G3071" t="s">
        <v>14</v>
      </c>
      <c r="H3071" t="s">
        <v>2204</v>
      </c>
      <c r="I3071" s="2">
        <v>284.97000000000003</v>
      </c>
      <c r="J3071" s="3">
        <v>3</v>
      </c>
      <c r="K3071" s="2">
        <v>85.49</v>
      </c>
    </row>
    <row r="3072" spans="1:11" x14ac:dyDescent="0.35">
      <c r="A3072" s="1">
        <v>42981</v>
      </c>
      <c r="B3072" s="3">
        <f t="shared" si="94"/>
        <v>2017</v>
      </c>
      <c r="C3072" s="3">
        <f t="shared" si="95"/>
        <v>9</v>
      </c>
      <c r="D3072" t="s">
        <v>2205</v>
      </c>
      <c r="E3072" t="s">
        <v>22</v>
      </c>
      <c r="F3072" t="s">
        <v>28</v>
      </c>
      <c r="G3072" t="s">
        <v>29</v>
      </c>
      <c r="H3072" t="s">
        <v>2183</v>
      </c>
      <c r="I3072" s="2">
        <v>419.4</v>
      </c>
      <c r="J3072" s="3">
        <v>4</v>
      </c>
      <c r="K3072" s="2">
        <v>201.31</v>
      </c>
    </row>
    <row r="3073" spans="1:11" x14ac:dyDescent="0.35">
      <c r="A3073" s="1">
        <v>42981</v>
      </c>
      <c r="B3073" s="3">
        <f t="shared" si="94"/>
        <v>2017</v>
      </c>
      <c r="C3073" s="3">
        <f t="shared" si="95"/>
        <v>9</v>
      </c>
      <c r="D3073" t="s">
        <v>2205</v>
      </c>
      <c r="E3073" t="s">
        <v>22</v>
      </c>
      <c r="F3073" t="s">
        <v>18</v>
      </c>
      <c r="G3073" t="s">
        <v>19</v>
      </c>
      <c r="H3073" t="s">
        <v>2206</v>
      </c>
      <c r="I3073" s="2">
        <v>90.8</v>
      </c>
      <c r="J3073" s="3">
        <v>1</v>
      </c>
      <c r="K3073" s="2">
        <v>14.12</v>
      </c>
    </row>
    <row r="3074" spans="1:11" x14ac:dyDescent="0.35">
      <c r="A3074" s="1">
        <v>42981</v>
      </c>
      <c r="B3074" s="3">
        <f t="shared" ref="B3074:B3137" si="96">YEAR(A3074)</f>
        <v>2017</v>
      </c>
      <c r="C3074" s="3">
        <f t="shared" ref="C3074:C3137" si="97">MONTH(A3074)</f>
        <v>9</v>
      </c>
      <c r="D3074" t="s">
        <v>2205</v>
      </c>
      <c r="E3074" t="s">
        <v>22</v>
      </c>
      <c r="F3074" t="s">
        <v>18</v>
      </c>
      <c r="G3074" t="s">
        <v>19</v>
      </c>
      <c r="H3074" t="s">
        <v>1344</v>
      </c>
      <c r="I3074" s="2">
        <v>181.76</v>
      </c>
      <c r="J3074" s="3">
        <v>2</v>
      </c>
      <c r="K3074" s="2">
        <v>-8.08</v>
      </c>
    </row>
    <row r="3075" spans="1:11" x14ac:dyDescent="0.35">
      <c r="A3075" s="1">
        <v>42981</v>
      </c>
      <c r="B3075" s="3">
        <f t="shared" si="96"/>
        <v>2017</v>
      </c>
      <c r="C3075" s="3">
        <f t="shared" si="97"/>
        <v>9</v>
      </c>
      <c r="D3075" t="s">
        <v>2205</v>
      </c>
      <c r="E3075" t="s">
        <v>22</v>
      </c>
      <c r="F3075" t="s">
        <v>28</v>
      </c>
      <c r="G3075" t="s">
        <v>64</v>
      </c>
      <c r="H3075" t="s">
        <v>779</v>
      </c>
      <c r="I3075" s="2">
        <v>5.56</v>
      </c>
      <c r="J3075" s="3">
        <v>2</v>
      </c>
      <c r="K3075" s="2">
        <v>2.2200000000000002</v>
      </c>
    </row>
    <row r="3076" spans="1:11" x14ac:dyDescent="0.35">
      <c r="A3076" s="1">
        <v>42981</v>
      </c>
      <c r="B3076" s="3">
        <f t="shared" si="96"/>
        <v>2017</v>
      </c>
      <c r="C3076" s="3">
        <f t="shared" si="97"/>
        <v>9</v>
      </c>
      <c r="D3076" t="s">
        <v>142</v>
      </c>
      <c r="E3076" t="s">
        <v>45</v>
      </c>
      <c r="F3076" t="s">
        <v>18</v>
      </c>
      <c r="G3076" t="s">
        <v>237</v>
      </c>
      <c r="H3076" t="s">
        <v>778</v>
      </c>
      <c r="I3076" s="2">
        <v>239.67</v>
      </c>
      <c r="J3076" s="3">
        <v>2</v>
      </c>
      <c r="K3076" s="2">
        <v>14.1</v>
      </c>
    </row>
    <row r="3077" spans="1:11" x14ac:dyDescent="0.35">
      <c r="A3077" s="1">
        <v>42981</v>
      </c>
      <c r="B3077" s="3">
        <f t="shared" si="96"/>
        <v>2017</v>
      </c>
      <c r="C3077" s="3">
        <f t="shared" si="97"/>
        <v>9</v>
      </c>
      <c r="D3077" t="s">
        <v>1283</v>
      </c>
      <c r="E3077" t="s">
        <v>32</v>
      </c>
      <c r="F3077" t="s">
        <v>18</v>
      </c>
      <c r="G3077" t="s">
        <v>36</v>
      </c>
      <c r="H3077" t="s">
        <v>1216</v>
      </c>
      <c r="I3077" s="2">
        <v>108.4</v>
      </c>
      <c r="J3077" s="3">
        <v>5</v>
      </c>
      <c r="K3077" s="2">
        <v>-105.69</v>
      </c>
    </row>
    <row r="3078" spans="1:11" x14ac:dyDescent="0.35">
      <c r="A3078" s="1">
        <v>42981</v>
      </c>
      <c r="B3078" s="3">
        <f t="shared" si="96"/>
        <v>2017</v>
      </c>
      <c r="C3078" s="3">
        <f t="shared" si="97"/>
        <v>9</v>
      </c>
      <c r="D3078" t="s">
        <v>1647</v>
      </c>
      <c r="E3078" t="s">
        <v>26</v>
      </c>
      <c r="F3078" t="s">
        <v>28</v>
      </c>
      <c r="G3078" t="s">
        <v>29</v>
      </c>
      <c r="H3078" t="s">
        <v>2207</v>
      </c>
      <c r="I3078" s="2">
        <v>8.9</v>
      </c>
      <c r="J3078" s="3">
        <v>3</v>
      </c>
      <c r="K3078" s="2">
        <v>3.34</v>
      </c>
    </row>
    <row r="3079" spans="1:11" x14ac:dyDescent="0.35">
      <c r="A3079" s="1">
        <v>42981</v>
      </c>
      <c r="B3079" s="3">
        <f t="shared" si="96"/>
        <v>2017</v>
      </c>
      <c r="C3079" s="3">
        <f t="shared" si="97"/>
        <v>9</v>
      </c>
      <c r="D3079" t="s">
        <v>1647</v>
      </c>
      <c r="E3079" t="s">
        <v>26</v>
      </c>
      <c r="F3079" t="s">
        <v>13</v>
      </c>
      <c r="G3079" t="s">
        <v>14</v>
      </c>
      <c r="H3079" t="s">
        <v>163</v>
      </c>
      <c r="I3079" s="2">
        <v>100.8</v>
      </c>
      <c r="J3079" s="3">
        <v>2</v>
      </c>
      <c r="K3079" s="2">
        <v>21.42</v>
      </c>
    </row>
    <row r="3080" spans="1:11" x14ac:dyDescent="0.35">
      <c r="A3080" s="1">
        <v>43011</v>
      </c>
      <c r="B3080" s="3">
        <f t="shared" si="96"/>
        <v>2017</v>
      </c>
      <c r="C3080" s="3">
        <f t="shared" si="97"/>
        <v>10</v>
      </c>
      <c r="D3080" t="s">
        <v>1447</v>
      </c>
      <c r="E3080" t="s">
        <v>55</v>
      </c>
      <c r="F3080" t="s">
        <v>28</v>
      </c>
      <c r="G3080" t="s">
        <v>48</v>
      </c>
      <c r="H3080" t="s">
        <v>207</v>
      </c>
      <c r="I3080" s="2">
        <v>1793.98</v>
      </c>
      <c r="J3080" s="3">
        <v>2</v>
      </c>
      <c r="K3080" s="2">
        <v>843.17</v>
      </c>
    </row>
    <row r="3081" spans="1:11" x14ac:dyDescent="0.35">
      <c r="A3081" s="1">
        <v>43011</v>
      </c>
      <c r="B3081" s="3">
        <f t="shared" si="96"/>
        <v>2017</v>
      </c>
      <c r="C3081" s="3">
        <f t="shared" si="97"/>
        <v>10</v>
      </c>
      <c r="D3081" t="s">
        <v>977</v>
      </c>
      <c r="E3081" t="s">
        <v>22</v>
      </c>
      <c r="F3081" t="s">
        <v>28</v>
      </c>
      <c r="G3081" t="s">
        <v>38</v>
      </c>
      <c r="H3081" t="s">
        <v>656</v>
      </c>
      <c r="I3081" s="2">
        <v>22.58</v>
      </c>
      <c r="J3081" s="3">
        <v>2</v>
      </c>
      <c r="K3081" s="2">
        <v>5.87</v>
      </c>
    </row>
    <row r="3082" spans="1:11" x14ac:dyDescent="0.35">
      <c r="A3082" s="1">
        <v>43011</v>
      </c>
      <c r="B3082" s="3">
        <f t="shared" si="96"/>
        <v>2017</v>
      </c>
      <c r="C3082" s="3">
        <f t="shared" si="97"/>
        <v>10</v>
      </c>
      <c r="D3082" t="s">
        <v>2110</v>
      </c>
      <c r="E3082" t="s">
        <v>45</v>
      </c>
      <c r="F3082" t="s">
        <v>18</v>
      </c>
      <c r="G3082" t="s">
        <v>42</v>
      </c>
      <c r="H3082" t="s">
        <v>1573</v>
      </c>
      <c r="I3082" s="2">
        <v>171.29</v>
      </c>
      <c r="J3082" s="3">
        <v>3</v>
      </c>
      <c r="K3082" s="2">
        <v>-6.42</v>
      </c>
    </row>
    <row r="3083" spans="1:11" x14ac:dyDescent="0.35">
      <c r="A3083" s="1">
        <v>43011</v>
      </c>
      <c r="B3083" s="3">
        <f t="shared" si="96"/>
        <v>2017</v>
      </c>
      <c r="C3083" s="3">
        <f t="shared" si="97"/>
        <v>10</v>
      </c>
      <c r="D3083" t="s">
        <v>222</v>
      </c>
      <c r="E3083" t="s">
        <v>77</v>
      </c>
      <c r="F3083" t="s">
        <v>28</v>
      </c>
      <c r="G3083" t="s">
        <v>29</v>
      </c>
      <c r="H3083" t="s">
        <v>1585</v>
      </c>
      <c r="I3083" s="2">
        <v>15.55</v>
      </c>
      <c r="J3083" s="3">
        <v>3</v>
      </c>
      <c r="K3083" s="2">
        <v>5.44</v>
      </c>
    </row>
    <row r="3084" spans="1:11" x14ac:dyDescent="0.35">
      <c r="A3084" s="1">
        <v>43011</v>
      </c>
      <c r="B3084" s="3">
        <f t="shared" si="96"/>
        <v>2017</v>
      </c>
      <c r="C3084" s="3">
        <f t="shared" si="97"/>
        <v>10</v>
      </c>
      <c r="D3084" t="s">
        <v>222</v>
      </c>
      <c r="E3084" t="s">
        <v>77</v>
      </c>
      <c r="F3084" t="s">
        <v>28</v>
      </c>
      <c r="G3084" t="s">
        <v>58</v>
      </c>
      <c r="H3084" t="s">
        <v>2208</v>
      </c>
      <c r="I3084" s="2">
        <v>17.920000000000002</v>
      </c>
      <c r="J3084" s="3">
        <v>5</v>
      </c>
      <c r="K3084" s="2">
        <v>1.1200000000000001</v>
      </c>
    </row>
    <row r="3085" spans="1:11" x14ac:dyDescent="0.35">
      <c r="A3085" s="1">
        <v>43011</v>
      </c>
      <c r="B3085" s="3">
        <f t="shared" si="96"/>
        <v>2017</v>
      </c>
      <c r="C3085" s="3">
        <f t="shared" si="97"/>
        <v>10</v>
      </c>
      <c r="D3085" t="s">
        <v>1328</v>
      </c>
      <c r="E3085" t="s">
        <v>22</v>
      </c>
      <c r="F3085" t="s">
        <v>18</v>
      </c>
      <c r="G3085" t="s">
        <v>36</v>
      </c>
      <c r="H3085" t="s">
        <v>2058</v>
      </c>
      <c r="I3085" s="2">
        <v>83.92</v>
      </c>
      <c r="J3085" s="3">
        <v>4</v>
      </c>
      <c r="K3085" s="2">
        <v>21.82</v>
      </c>
    </row>
    <row r="3086" spans="1:11" x14ac:dyDescent="0.35">
      <c r="A3086" s="1">
        <v>43011</v>
      </c>
      <c r="B3086" s="3">
        <f t="shared" si="96"/>
        <v>2017</v>
      </c>
      <c r="C3086" s="3">
        <f t="shared" si="97"/>
        <v>10</v>
      </c>
      <c r="D3086" t="s">
        <v>1328</v>
      </c>
      <c r="E3086" t="s">
        <v>22</v>
      </c>
      <c r="F3086" t="s">
        <v>28</v>
      </c>
      <c r="G3086" t="s">
        <v>64</v>
      </c>
      <c r="H3086" t="s">
        <v>2209</v>
      </c>
      <c r="I3086" s="2">
        <v>6.63</v>
      </c>
      <c r="J3086" s="3">
        <v>3</v>
      </c>
      <c r="K3086" s="2">
        <v>3.12</v>
      </c>
    </row>
    <row r="3087" spans="1:11" x14ac:dyDescent="0.35">
      <c r="A3087" s="1">
        <v>43011</v>
      </c>
      <c r="B3087" s="3">
        <f t="shared" si="96"/>
        <v>2017</v>
      </c>
      <c r="C3087" s="3">
        <f t="shared" si="97"/>
        <v>10</v>
      </c>
      <c r="D3087" t="s">
        <v>1328</v>
      </c>
      <c r="E3087" t="s">
        <v>22</v>
      </c>
      <c r="F3087" t="s">
        <v>13</v>
      </c>
      <c r="G3087" t="s">
        <v>14</v>
      </c>
      <c r="H3087" t="s">
        <v>1238</v>
      </c>
      <c r="I3087" s="2">
        <v>371.97</v>
      </c>
      <c r="J3087" s="3">
        <v>3</v>
      </c>
      <c r="K3087" s="2">
        <v>66.95</v>
      </c>
    </row>
    <row r="3088" spans="1:11" x14ac:dyDescent="0.35">
      <c r="A3088" s="1">
        <v>43011</v>
      </c>
      <c r="B3088" s="3">
        <f t="shared" si="96"/>
        <v>2017</v>
      </c>
      <c r="C3088" s="3">
        <f t="shared" si="97"/>
        <v>10</v>
      </c>
      <c r="D3088" t="s">
        <v>76</v>
      </c>
      <c r="E3088" t="s">
        <v>32</v>
      </c>
      <c r="F3088" t="s">
        <v>28</v>
      </c>
      <c r="G3088" t="s">
        <v>64</v>
      </c>
      <c r="H3088" t="s">
        <v>1233</v>
      </c>
      <c r="I3088" s="2">
        <v>20.64</v>
      </c>
      <c r="J3088" s="3">
        <v>5</v>
      </c>
      <c r="K3088" s="2">
        <v>2.3199999999999998</v>
      </c>
    </row>
    <row r="3089" spans="1:11" x14ac:dyDescent="0.35">
      <c r="A3089" s="1">
        <v>43042</v>
      </c>
      <c r="B3089" s="3">
        <f t="shared" si="96"/>
        <v>2017</v>
      </c>
      <c r="C3089" s="3">
        <f t="shared" si="97"/>
        <v>11</v>
      </c>
      <c r="D3089" t="s">
        <v>2210</v>
      </c>
      <c r="E3089" t="s">
        <v>326</v>
      </c>
      <c r="F3089" t="s">
        <v>18</v>
      </c>
      <c r="G3089" t="s">
        <v>36</v>
      </c>
      <c r="H3089" t="s">
        <v>488</v>
      </c>
      <c r="I3089" s="2">
        <v>15.99</v>
      </c>
      <c r="J3089" s="3">
        <v>1</v>
      </c>
      <c r="K3089" s="2">
        <v>1</v>
      </c>
    </row>
    <row r="3090" spans="1:11" x14ac:dyDescent="0.35">
      <c r="A3090" s="1">
        <v>43042</v>
      </c>
      <c r="B3090" s="3">
        <f t="shared" si="96"/>
        <v>2017</v>
      </c>
      <c r="C3090" s="3">
        <f t="shared" si="97"/>
        <v>11</v>
      </c>
      <c r="D3090" t="s">
        <v>2211</v>
      </c>
      <c r="E3090" t="s">
        <v>17</v>
      </c>
      <c r="F3090" t="s">
        <v>28</v>
      </c>
      <c r="G3090" t="s">
        <v>29</v>
      </c>
      <c r="H3090" t="s">
        <v>1884</v>
      </c>
      <c r="I3090" s="2">
        <v>139.86000000000001</v>
      </c>
      <c r="J3090" s="3">
        <v>7</v>
      </c>
      <c r="K3090" s="2">
        <v>65.73</v>
      </c>
    </row>
    <row r="3091" spans="1:11" x14ac:dyDescent="0.35">
      <c r="A3091" s="1">
        <v>43042</v>
      </c>
      <c r="B3091" s="3">
        <f t="shared" si="96"/>
        <v>2017</v>
      </c>
      <c r="C3091" s="3">
        <f t="shared" si="97"/>
        <v>11</v>
      </c>
      <c r="D3091" t="s">
        <v>2211</v>
      </c>
      <c r="E3091" t="s">
        <v>17</v>
      </c>
      <c r="F3091" t="s">
        <v>18</v>
      </c>
      <c r="G3091" t="s">
        <v>19</v>
      </c>
      <c r="H3091" t="s">
        <v>2212</v>
      </c>
      <c r="I3091" s="2">
        <v>307.14</v>
      </c>
      <c r="J3091" s="3">
        <v>4</v>
      </c>
      <c r="K3091" s="2">
        <v>26.87</v>
      </c>
    </row>
    <row r="3092" spans="1:11" x14ac:dyDescent="0.35">
      <c r="A3092" s="1">
        <v>43042</v>
      </c>
      <c r="B3092" s="3">
        <f t="shared" si="96"/>
        <v>2017</v>
      </c>
      <c r="C3092" s="3">
        <f t="shared" si="97"/>
        <v>11</v>
      </c>
      <c r="D3092" t="s">
        <v>1179</v>
      </c>
      <c r="E3092" t="s">
        <v>165</v>
      </c>
      <c r="F3092" t="s">
        <v>28</v>
      </c>
      <c r="G3092" t="s">
        <v>46</v>
      </c>
      <c r="H3092" t="s">
        <v>1295</v>
      </c>
      <c r="I3092" s="2">
        <v>12.39</v>
      </c>
      <c r="J3092" s="3">
        <v>3</v>
      </c>
      <c r="K3092" s="2">
        <v>5.7</v>
      </c>
    </row>
    <row r="3093" spans="1:11" x14ac:dyDescent="0.35">
      <c r="A3093" s="1">
        <v>43042</v>
      </c>
      <c r="B3093" s="3">
        <f t="shared" si="96"/>
        <v>2017</v>
      </c>
      <c r="C3093" s="3">
        <f t="shared" si="97"/>
        <v>11</v>
      </c>
      <c r="D3093" t="s">
        <v>2213</v>
      </c>
      <c r="E3093" t="s">
        <v>857</v>
      </c>
      <c r="F3093" t="s">
        <v>18</v>
      </c>
      <c r="G3093" t="s">
        <v>36</v>
      </c>
      <c r="H3093" t="s">
        <v>83</v>
      </c>
      <c r="I3093" s="2">
        <v>41.37</v>
      </c>
      <c r="J3093" s="3">
        <v>3</v>
      </c>
      <c r="K3093" s="2">
        <v>17.38</v>
      </c>
    </row>
    <row r="3094" spans="1:11" x14ac:dyDescent="0.35">
      <c r="A3094" s="1">
        <v>43042</v>
      </c>
      <c r="B3094" s="3">
        <f t="shared" si="96"/>
        <v>2017</v>
      </c>
      <c r="C3094" s="3">
        <f t="shared" si="97"/>
        <v>11</v>
      </c>
      <c r="D3094" t="s">
        <v>124</v>
      </c>
      <c r="E3094" t="s">
        <v>55</v>
      </c>
      <c r="F3094" t="s">
        <v>28</v>
      </c>
      <c r="G3094" t="s">
        <v>29</v>
      </c>
      <c r="H3094" t="s">
        <v>162</v>
      </c>
      <c r="I3094" s="2">
        <v>8.56</v>
      </c>
      <c r="J3094" s="3">
        <v>2</v>
      </c>
      <c r="K3094" s="2">
        <v>3.85</v>
      </c>
    </row>
    <row r="3095" spans="1:11" x14ac:dyDescent="0.35">
      <c r="A3095" s="1">
        <v>43042</v>
      </c>
      <c r="B3095" s="3">
        <f t="shared" si="96"/>
        <v>2017</v>
      </c>
      <c r="C3095" s="3">
        <f t="shared" si="97"/>
        <v>11</v>
      </c>
      <c r="D3095" t="s">
        <v>124</v>
      </c>
      <c r="E3095" t="s">
        <v>55</v>
      </c>
      <c r="F3095" t="s">
        <v>28</v>
      </c>
      <c r="G3095" t="s">
        <v>38</v>
      </c>
      <c r="H3095" t="s">
        <v>1184</v>
      </c>
      <c r="I3095" s="2">
        <v>52.4</v>
      </c>
      <c r="J3095" s="3">
        <v>5</v>
      </c>
      <c r="K3095" s="2">
        <v>14.15</v>
      </c>
    </row>
    <row r="3096" spans="1:11" x14ac:dyDescent="0.35">
      <c r="A3096" s="1">
        <v>43042</v>
      </c>
      <c r="B3096" s="3">
        <f t="shared" si="96"/>
        <v>2017</v>
      </c>
      <c r="C3096" s="3">
        <f t="shared" si="97"/>
        <v>11</v>
      </c>
      <c r="D3096" t="s">
        <v>124</v>
      </c>
      <c r="E3096" t="s">
        <v>55</v>
      </c>
      <c r="F3096" t="s">
        <v>28</v>
      </c>
      <c r="G3096" t="s">
        <v>46</v>
      </c>
      <c r="H3096" t="s">
        <v>113</v>
      </c>
      <c r="I3096" s="2">
        <v>14.94</v>
      </c>
      <c r="J3096" s="3">
        <v>3</v>
      </c>
      <c r="K3096" s="2">
        <v>6.87</v>
      </c>
    </row>
    <row r="3097" spans="1:11" x14ac:dyDescent="0.35">
      <c r="A3097" s="1">
        <v>43042</v>
      </c>
      <c r="B3097" s="3">
        <f t="shared" si="96"/>
        <v>2017</v>
      </c>
      <c r="C3097" s="3">
        <f t="shared" si="97"/>
        <v>11</v>
      </c>
      <c r="D3097" t="s">
        <v>1432</v>
      </c>
      <c r="E3097" t="s">
        <v>89</v>
      </c>
      <c r="F3097" t="s">
        <v>28</v>
      </c>
      <c r="G3097" t="s">
        <v>48</v>
      </c>
      <c r="H3097" t="s">
        <v>2214</v>
      </c>
      <c r="I3097" s="2">
        <v>11.67</v>
      </c>
      <c r="J3097" s="3">
        <v>3</v>
      </c>
      <c r="K3097" s="2">
        <v>-7.78</v>
      </c>
    </row>
    <row r="3098" spans="1:11" x14ac:dyDescent="0.35">
      <c r="A3098" s="1">
        <v>43042</v>
      </c>
      <c r="B3098" s="3">
        <f t="shared" si="96"/>
        <v>2017</v>
      </c>
      <c r="C3098" s="3">
        <f t="shared" si="97"/>
        <v>11</v>
      </c>
      <c r="D3098" t="s">
        <v>272</v>
      </c>
      <c r="E3098" t="s">
        <v>17</v>
      </c>
      <c r="F3098" t="s">
        <v>13</v>
      </c>
      <c r="G3098" t="s">
        <v>14</v>
      </c>
      <c r="H3098" t="s">
        <v>1281</v>
      </c>
      <c r="I3098" s="2">
        <v>43.5</v>
      </c>
      <c r="J3098" s="3">
        <v>3</v>
      </c>
      <c r="K3098" s="2">
        <v>10.88</v>
      </c>
    </row>
    <row r="3099" spans="1:11" x14ac:dyDescent="0.35">
      <c r="A3099" s="1">
        <v>43042</v>
      </c>
      <c r="B3099" s="3">
        <f t="shared" si="96"/>
        <v>2017</v>
      </c>
      <c r="C3099" s="3">
        <f t="shared" si="97"/>
        <v>11</v>
      </c>
      <c r="D3099" t="s">
        <v>1768</v>
      </c>
      <c r="E3099" t="s">
        <v>118</v>
      </c>
      <c r="F3099" t="s">
        <v>28</v>
      </c>
      <c r="G3099" t="s">
        <v>29</v>
      </c>
      <c r="H3099" t="s">
        <v>1431</v>
      </c>
      <c r="I3099" s="2">
        <v>26.4</v>
      </c>
      <c r="J3099" s="3">
        <v>5</v>
      </c>
      <c r="K3099" s="2">
        <v>11.88</v>
      </c>
    </row>
    <row r="3100" spans="1:11" x14ac:dyDescent="0.35">
      <c r="A3100" s="1">
        <v>43042</v>
      </c>
      <c r="B3100" s="3">
        <f t="shared" si="96"/>
        <v>2017</v>
      </c>
      <c r="C3100" s="3">
        <f t="shared" si="97"/>
        <v>11</v>
      </c>
      <c r="D3100" t="s">
        <v>905</v>
      </c>
      <c r="E3100" t="s">
        <v>45</v>
      </c>
      <c r="F3100" t="s">
        <v>28</v>
      </c>
      <c r="G3100" t="s">
        <v>29</v>
      </c>
      <c r="H3100" t="s">
        <v>2215</v>
      </c>
      <c r="I3100" s="2">
        <v>35.880000000000003</v>
      </c>
      <c r="J3100" s="3">
        <v>6</v>
      </c>
      <c r="K3100" s="2">
        <v>17.579999999999998</v>
      </c>
    </row>
    <row r="3101" spans="1:11" x14ac:dyDescent="0.35">
      <c r="A3101" s="1">
        <v>43042</v>
      </c>
      <c r="B3101" s="3">
        <f t="shared" si="96"/>
        <v>2017</v>
      </c>
      <c r="C3101" s="3">
        <f t="shared" si="97"/>
        <v>11</v>
      </c>
      <c r="D3101" t="s">
        <v>2216</v>
      </c>
      <c r="E3101" t="s">
        <v>77</v>
      </c>
      <c r="F3101" t="s">
        <v>13</v>
      </c>
      <c r="G3101" t="s">
        <v>23</v>
      </c>
      <c r="H3101" t="s">
        <v>802</v>
      </c>
      <c r="I3101" s="2">
        <v>361.38</v>
      </c>
      <c r="J3101" s="3">
        <v>2</v>
      </c>
      <c r="K3101" s="2">
        <v>27.1</v>
      </c>
    </row>
    <row r="3102" spans="1:11" x14ac:dyDescent="0.35">
      <c r="A3102" s="1">
        <v>43042</v>
      </c>
      <c r="B3102" s="3">
        <f t="shared" si="96"/>
        <v>2017</v>
      </c>
      <c r="C3102" s="3">
        <f t="shared" si="97"/>
        <v>11</v>
      </c>
      <c r="D3102" t="s">
        <v>2217</v>
      </c>
      <c r="E3102" t="s">
        <v>89</v>
      </c>
      <c r="F3102" t="s">
        <v>13</v>
      </c>
      <c r="G3102" t="s">
        <v>14</v>
      </c>
      <c r="H3102" t="s">
        <v>1544</v>
      </c>
      <c r="I3102" s="2">
        <v>40.78</v>
      </c>
      <c r="J3102" s="3">
        <v>3</v>
      </c>
      <c r="K3102" s="2">
        <v>0.51</v>
      </c>
    </row>
    <row r="3103" spans="1:11" x14ac:dyDescent="0.35">
      <c r="A3103" s="1">
        <v>43042</v>
      </c>
      <c r="B3103" s="3">
        <f t="shared" si="96"/>
        <v>2017</v>
      </c>
      <c r="C3103" s="3">
        <f t="shared" si="97"/>
        <v>11</v>
      </c>
      <c r="D3103" t="s">
        <v>2218</v>
      </c>
      <c r="E3103" t="s">
        <v>45</v>
      </c>
      <c r="F3103" t="s">
        <v>13</v>
      </c>
      <c r="G3103" t="s">
        <v>14</v>
      </c>
      <c r="H3103" t="s">
        <v>1356</v>
      </c>
      <c r="I3103" s="2">
        <v>199.75</v>
      </c>
      <c r="J3103" s="3">
        <v>5</v>
      </c>
      <c r="K3103" s="2">
        <v>87.89</v>
      </c>
    </row>
    <row r="3104" spans="1:11" x14ac:dyDescent="0.35">
      <c r="A3104" s="1">
        <v>43042</v>
      </c>
      <c r="B3104" s="3">
        <f t="shared" si="96"/>
        <v>2017</v>
      </c>
      <c r="C3104" s="3">
        <f t="shared" si="97"/>
        <v>11</v>
      </c>
      <c r="D3104" t="s">
        <v>2218</v>
      </c>
      <c r="E3104" t="s">
        <v>45</v>
      </c>
      <c r="F3104" t="s">
        <v>18</v>
      </c>
      <c r="G3104" t="s">
        <v>42</v>
      </c>
      <c r="H3104" t="s">
        <v>1364</v>
      </c>
      <c r="I3104" s="2">
        <v>1673.18</v>
      </c>
      <c r="J3104" s="3">
        <v>12</v>
      </c>
      <c r="K3104" s="2">
        <v>20.91</v>
      </c>
    </row>
    <row r="3105" spans="1:11" x14ac:dyDescent="0.35">
      <c r="A3105" s="1">
        <v>43042</v>
      </c>
      <c r="B3105" s="3">
        <f t="shared" si="96"/>
        <v>2017</v>
      </c>
      <c r="C3105" s="3">
        <f t="shared" si="97"/>
        <v>11</v>
      </c>
      <c r="D3105" t="s">
        <v>194</v>
      </c>
      <c r="E3105" t="s">
        <v>81</v>
      </c>
      <c r="F3105" t="s">
        <v>28</v>
      </c>
      <c r="G3105" t="s">
        <v>29</v>
      </c>
      <c r="H3105" t="s">
        <v>2219</v>
      </c>
      <c r="I3105" s="2">
        <v>16.27</v>
      </c>
      <c r="J3105" s="3">
        <v>3</v>
      </c>
      <c r="K3105" s="2">
        <v>5.29</v>
      </c>
    </row>
    <row r="3106" spans="1:11" x14ac:dyDescent="0.35">
      <c r="A3106" s="1">
        <v>43042</v>
      </c>
      <c r="B3106" s="3">
        <f t="shared" si="96"/>
        <v>2017</v>
      </c>
      <c r="C3106" s="3">
        <f t="shared" si="97"/>
        <v>11</v>
      </c>
      <c r="D3106" t="s">
        <v>117</v>
      </c>
      <c r="E3106" t="s">
        <v>17</v>
      </c>
      <c r="F3106" t="s">
        <v>28</v>
      </c>
      <c r="G3106" t="s">
        <v>48</v>
      </c>
      <c r="H3106" t="s">
        <v>1506</v>
      </c>
      <c r="I3106" s="2">
        <v>18.37</v>
      </c>
      <c r="J3106" s="3">
        <v>4</v>
      </c>
      <c r="K3106" s="2">
        <v>5.97</v>
      </c>
    </row>
    <row r="3107" spans="1:11" x14ac:dyDescent="0.35">
      <c r="A3107" s="1">
        <v>43042</v>
      </c>
      <c r="B3107" s="3">
        <f t="shared" si="96"/>
        <v>2017</v>
      </c>
      <c r="C3107" s="3">
        <f t="shared" si="97"/>
        <v>11</v>
      </c>
      <c r="D3107" t="s">
        <v>1893</v>
      </c>
      <c r="E3107" t="s">
        <v>45</v>
      </c>
      <c r="F3107" t="s">
        <v>18</v>
      </c>
      <c r="G3107" t="s">
        <v>42</v>
      </c>
      <c r="H3107" t="s">
        <v>670</v>
      </c>
      <c r="I3107" s="2">
        <v>486.37</v>
      </c>
      <c r="J3107" s="3">
        <v>4</v>
      </c>
      <c r="K3107" s="2">
        <v>36.479999999999997</v>
      </c>
    </row>
    <row r="3108" spans="1:11" x14ac:dyDescent="0.35">
      <c r="A3108" s="1">
        <v>43042</v>
      </c>
      <c r="B3108" s="3">
        <f t="shared" si="96"/>
        <v>2017</v>
      </c>
      <c r="C3108" s="3">
        <f t="shared" si="97"/>
        <v>11</v>
      </c>
      <c r="D3108" t="s">
        <v>1101</v>
      </c>
      <c r="E3108" t="s">
        <v>77</v>
      </c>
      <c r="F3108" t="s">
        <v>13</v>
      </c>
      <c r="G3108" t="s">
        <v>143</v>
      </c>
      <c r="H3108" t="s">
        <v>2220</v>
      </c>
      <c r="I3108" s="2">
        <v>959.98</v>
      </c>
      <c r="J3108" s="3">
        <v>2</v>
      </c>
      <c r="K3108" s="2">
        <v>311.99</v>
      </c>
    </row>
    <row r="3109" spans="1:11" x14ac:dyDescent="0.35">
      <c r="A3109" s="1">
        <v>43042</v>
      </c>
      <c r="B3109" s="3">
        <f t="shared" si="96"/>
        <v>2017</v>
      </c>
      <c r="C3109" s="3">
        <f t="shared" si="97"/>
        <v>11</v>
      </c>
      <c r="D3109" t="s">
        <v>1101</v>
      </c>
      <c r="E3109" t="s">
        <v>77</v>
      </c>
      <c r="F3109" t="s">
        <v>28</v>
      </c>
      <c r="G3109" t="s">
        <v>48</v>
      </c>
      <c r="H3109" t="s">
        <v>330</v>
      </c>
      <c r="I3109" s="2">
        <v>4.09</v>
      </c>
      <c r="J3109" s="3">
        <v>2</v>
      </c>
      <c r="K3109" s="2">
        <v>-3</v>
      </c>
    </row>
    <row r="3110" spans="1:11" x14ac:dyDescent="0.35">
      <c r="A3110" s="1">
        <v>43042</v>
      </c>
      <c r="B3110" s="3">
        <f t="shared" si="96"/>
        <v>2017</v>
      </c>
      <c r="C3110" s="3">
        <f t="shared" si="97"/>
        <v>11</v>
      </c>
      <c r="D3110" t="s">
        <v>1101</v>
      </c>
      <c r="E3110" t="s">
        <v>77</v>
      </c>
      <c r="F3110" t="s">
        <v>28</v>
      </c>
      <c r="G3110" t="s">
        <v>64</v>
      </c>
      <c r="H3110" t="s">
        <v>310</v>
      </c>
      <c r="I3110" s="2">
        <v>55.98</v>
      </c>
      <c r="J3110" s="3">
        <v>2</v>
      </c>
      <c r="K3110" s="2">
        <v>4.2</v>
      </c>
    </row>
    <row r="3111" spans="1:11" x14ac:dyDescent="0.35">
      <c r="A3111" s="1">
        <v>43042</v>
      </c>
      <c r="B3111" s="3">
        <f t="shared" si="96"/>
        <v>2017</v>
      </c>
      <c r="C3111" s="3">
        <f t="shared" si="97"/>
        <v>11</v>
      </c>
      <c r="D3111" t="s">
        <v>1101</v>
      </c>
      <c r="E3111" t="s">
        <v>77</v>
      </c>
      <c r="F3111" t="s">
        <v>28</v>
      </c>
      <c r="G3111" t="s">
        <v>29</v>
      </c>
      <c r="H3111" t="s">
        <v>1946</v>
      </c>
      <c r="I3111" s="2">
        <v>10.69</v>
      </c>
      <c r="J3111" s="3">
        <v>2</v>
      </c>
      <c r="K3111" s="2">
        <v>3.74</v>
      </c>
    </row>
    <row r="3112" spans="1:11" x14ac:dyDescent="0.35">
      <c r="A3112" s="1">
        <v>43072</v>
      </c>
      <c r="B3112" s="3">
        <f t="shared" si="96"/>
        <v>2017</v>
      </c>
      <c r="C3112" s="3">
        <f t="shared" si="97"/>
        <v>12</v>
      </c>
      <c r="D3112" t="s">
        <v>2194</v>
      </c>
      <c r="E3112" t="s">
        <v>22</v>
      </c>
      <c r="F3112" t="s">
        <v>28</v>
      </c>
      <c r="G3112" t="s">
        <v>48</v>
      </c>
      <c r="H3112" t="s">
        <v>1147</v>
      </c>
      <c r="I3112" s="2">
        <v>83.92</v>
      </c>
      <c r="J3112" s="3">
        <v>5</v>
      </c>
      <c r="K3112" s="2">
        <v>29.37</v>
      </c>
    </row>
    <row r="3113" spans="1:11" x14ac:dyDescent="0.35">
      <c r="A3113" s="1">
        <v>43072</v>
      </c>
      <c r="B3113" s="3">
        <f t="shared" si="96"/>
        <v>2017</v>
      </c>
      <c r="C3113" s="3">
        <f t="shared" si="97"/>
        <v>12</v>
      </c>
      <c r="D3113" t="s">
        <v>2194</v>
      </c>
      <c r="E3113" t="s">
        <v>22</v>
      </c>
      <c r="F3113" t="s">
        <v>28</v>
      </c>
      <c r="G3113" t="s">
        <v>48</v>
      </c>
      <c r="H3113" t="s">
        <v>1246</v>
      </c>
      <c r="I3113" s="2">
        <v>14.62</v>
      </c>
      <c r="J3113" s="3">
        <v>2</v>
      </c>
      <c r="K3113" s="2">
        <v>5.12</v>
      </c>
    </row>
    <row r="3114" spans="1:11" x14ac:dyDescent="0.35">
      <c r="A3114" s="1">
        <v>43072</v>
      </c>
      <c r="B3114" s="3">
        <f t="shared" si="96"/>
        <v>2017</v>
      </c>
      <c r="C3114" s="3">
        <f t="shared" si="97"/>
        <v>12</v>
      </c>
      <c r="D3114" t="s">
        <v>2194</v>
      </c>
      <c r="E3114" t="s">
        <v>22</v>
      </c>
      <c r="F3114" t="s">
        <v>13</v>
      </c>
      <c r="G3114" t="s">
        <v>23</v>
      </c>
      <c r="H3114" t="s">
        <v>971</v>
      </c>
      <c r="I3114" s="2">
        <v>136.99</v>
      </c>
      <c r="J3114" s="3">
        <v>1</v>
      </c>
      <c r="K3114" s="2">
        <v>36.99</v>
      </c>
    </row>
    <row r="3115" spans="1:11" x14ac:dyDescent="0.35">
      <c r="A3115" s="1">
        <v>43072</v>
      </c>
      <c r="B3115" s="3">
        <f t="shared" si="96"/>
        <v>2017</v>
      </c>
      <c r="C3115" s="3">
        <f t="shared" si="97"/>
        <v>12</v>
      </c>
      <c r="D3115" t="s">
        <v>2194</v>
      </c>
      <c r="E3115" t="s">
        <v>22</v>
      </c>
      <c r="F3115" t="s">
        <v>28</v>
      </c>
      <c r="G3115" t="s">
        <v>46</v>
      </c>
      <c r="H3115" t="s">
        <v>1620</v>
      </c>
      <c r="I3115" s="2">
        <v>3.15</v>
      </c>
      <c r="J3115" s="3">
        <v>1</v>
      </c>
      <c r="K3115" s="2">
        <v>1.51</v>
      </c>
    </row>
    <row r="3116" spans="1:11" x14ac:dyDescent="0.35">
      <c r="A3116" s="1">
        <v>43072</v>
      </c>
      <c r="B3116" s="3">
        <f t="shared" si="96"/>
        <v>2017</v>
      </c>
      <c r="C3116" s="3">
        <f t="shared" si="97"/>
        <v>12</v>
      </c>
      <c r="D3116" t="s">
        <v>1994</v>
      </c>
      <c r="E3116" t="s">
        <v>45</v>
      </c>
      <c r="F3116" t="s">
        <v>28</v>
      </c>
      <c r="G3116" t="s">
        <v>29</v>
      </c>
      <c r="H3116" t="s">
        <v>2221</v>
      </c>
      <c r="I3116" s="2">
        <v>166.44</v>
      </c>
      <c r="J3116" s="3">
        <v>3</v>
      </c>
      <c r="K3116" s="2">
        <v>79.89</v>
      </c>
    </row>
    <row r="3117" spans="1:11" x14ac:dyDescent="0.35">
      <c r="A3117" s="1">
        <v>43072</v>
      </c>
      <c r="B3117" s="3">
        <f t="shared" si="96"/>
        <v>2017</v>
      </c>
      <c r="C3117" s="3">
        <f t="shared" si="97"/>
        <v>12</v>
      </c>
      <c r="D3117" t="s">
        <v>106</v>
      </c>
      <c r="E3117" t="s">
        <v>77</v>
      </c>
      <c r="F3117" t="s">
        <v>13</v>
      </c>
      <c r="G3117" t="s">
        <v>14</v>
      </c>
      <c r="H3117" t="s">
        <v>1947</v>
      </c>
      <c r="I3117" s="2">
        <v>47.99</v>
      </c>
      <c r="J3117" s="3">
        <v>1</v>
      </c>
      <c r="K3117" s="2">
        <v>7.2</v>
      </c>
    </row>
    <row r="3118" spans="1:11" x14ac:dyDescent="0.35">
      <c r="A3118" s="1">
        <v>43072</v>
      </c>
      <c r="B3118" s="3">
        <f t="shared" si="96"/>
        <v>2017</v>
      </c>
      <c r="C3118" s="3">
        <f t="shared" si="97"/>
        <v>12</v>
      </c>
      <c r="D3118" t="s">
        <v>246</v>
      </c>
      <c r="E3118" t="s">
        <v>81</v>
      </c>
      <c r="F3118" t="s">
        <v>28</v>
      </c>
      <c r="G3118" t="s">
        <v>58</v>
      </c>
      <c r="H3118" t="s">
        <v>1641</v>
      </c>
      <c r="I3118" s="2">
        <v>45.22</v>
      </c>
      <c r="J3118" s="3">
        <v>3</v>
      </c>
      <c r="K3118" s="2">
        <v>4.5199999999999996</v>
      </c>
    </row>
    <row r="3119" spans="1:11" x14ac:dyDescent="0.35">
      <c r="A3119" s="1">
        <v>43072</v>
      </c>
      <c r="B3119" s="3">
        <f t="shared" si="96"/>
        <v>2017</v>
      </c>
      <c r="C3119" s="3">
        <f t="shared" si="97"/>
        <v>12</v>
      </c>
      <c r="D3119" t="s">
        <v>246</v>
      </c>
      <c r="E3119" t="s">
        <v>81</v>
      </c>
      <c r="F3119" t="s">
        <v>28</v>
      </c>
      <c r="G3119" t="s">
        <v>48</v>
      </c>
      <c r="H3119" t="s">
        <v>1084</v>
      </c>
      <c r="I3119" s="2">
        <v>28.78</v>
      </c>
      <c r="J3119" s="3">
        <v>6</v>
      </c>
      <c r="K3119" s="2">
        <v>-21.11</v>
      </c>
    </row>
    <row r="3120" spans="1:11" x14ac:dyDescent="0.35">
      <c r="A3120" s="1">
        <v>43072</v>
      </c>
      <c r="B3120" s="3">
        <f t="shared" si="96"/>
        <v>2017</v>
      </c>
      <c r="C3120" s="3">
        <f t="shared" si="97"/>
        <v>12</v>
      </c>
      <c r="D3120" t="s">
        <v>246</v>
      </c>
      <c r="E3120" t="s">
        <v>81</v>
      </c>
      <c r="F3120" t="s">
        <v>28</v>
      </c>
      <c r="G3120" t="s">
        <v>29</v>
      </c>
      <c r="H3120" t="s">
        <v>1728</v>
      </c>
      <c r="I3120" s="2">
        <v>24.45</v>
      </c>
      <c r="J3120" s="3">
        <v>4</v>
      </c>
      <c r="K3120" s="2">
        <v>8.86</v>
      </c>
    </row>
    <row r="3121" spans="1:11" x14ac:dyDescent="0.35">
      <c r="A3121" s="1">
        <v>43072</v>
      </c>
      <c r="B3121" s="3">
        <f t="shared" si="96"/>
        <v>2017</v>
      </c>
      <c r="C3121" s="3">
        <f t="shared" si="97"/>
        <v>12</v>
      </c>
      <c r="D3121" t="s">
        <v>1196</v>
      </c>
      <c r="E3121" t="s">
        <v>17</v>
      </c>
      <c r="F3121" t="s">
        <v>18</v>
      </c>
      <c r="G3121" t="s">
        <v>42</v>
      </c>
      <c r="H3121" t="s">
        <v>273</v>
      </c>
      <c r="I3121" s="2">
        <v>521.96</v>
      </c>
      <c r="J3121" s="3">
        <v>2</v>
      </c>
      <c r="K3121" s="2">
        <v>88.73</v>
      </c>
    </row>
    <row r="3122" spans="1:11" x14ac:dyDescent="0.35">
      <c r="A3122" s="1">
        <v>43072</v>
      </c>
      <c r="B3122" s="3">
        <f t="shared" si="96"/>
        <v>2017</v>
      </c>
      <c r="C3122" s="3">
        <f t="shared" si="97"/>
        <v>12</v>
      </c>
      <c r="D3122" t="s">
        <v>1850</v>
      </c>
      <c r="E3122" t="s">
        <v>32</v>
      </c>
      <c r="F3122" t="s">
        <v>18</v>
      </c>
      <c r="G3122" t="s">
        <v>36</v>
      </c>
      <c r="H3122" t="s">
        <v>1289</v>
      </c>
      <c r="I3122" s="2">
        <v>13.59</v>
      </c>
      <c r="J3122" s="3">
        <v>2</v>
      </c>
      <c r="K3122" s="2">
        <v>-14.27</v>
      </c>
    </row>
    <row r="3123" spans="1:11" x14ac:dyDescent="0.35">
      <c r="A3123" s="1">
        <v>43072</v>
      </c>
      <c r="B3123" s="3">
        <f t="shared" si="96"/>
        <v>2017</v>
      </c>
      <c r="C3123" s="3">
        <f t="shared" si="97"/>
        <v>12</v>
      </c>
      <c r="D3123" t="s">
        <v>2124</v>
      </c>
      <c r="E3123" t="s">
        <v>32</v>
      </c>
      <c r="F3123" t="s">
        <v>28</v>
      </c>
      <c r="G3123" t="s">
        <v>29</v>
      </c>
      <c r="H3123" t="s">
        <v>2111</v>
      </c>
      <c r="I3123" s="2">
        <v>10.37</v>
      </c>
      <c r="J3123" s="3">
        <v>2</v>
      </c>
      <c r="K3123" s="2">
        <v>3.63</v>
      </c>
    </row>
    <row r="3124" spans="1:11" x14ac:dyDescent="0.35">
      <c r="A3124" s="1">
        <v>43072</v>
      </c>
      <c r="B3124" s="3">
        <f t="shared" si="96"/>
        <v>2017</v>
      </c>
      <c r="C3124" s="3">
        <f t="shared" si="97"/>
        <v>12</v>
      </c>
      <c r="D3124" t="s">
        <v>1171</v>
      </c>
      <c r="E3124" t="s">
        <v>103</v>
      </c>
      <c r="F3124" t="s">
        <v>28</v>
      </c>
      <c r="G3124" t="s">
        <v>64</v>
      </c>
      <c r="H3124" t="s">
        <v>1430</v>
      </c>
      <c r="I3124" s="2">
        <v>13.34</v>
      </c>
      <c r="J3124" s="3">
        <v>6</v>
      </c>
      <c r="K3124" s="2">
        <v>1</v>
      </c>
    </row>
    <row r="3125" spans="1:11" x14ac:dyDescent="0.35">
      <c r="A3125" s="1">
        <v>43072</v>
      </c>
      <c r="B3125" s="3">
        <f t="shared" si="96"/>
        <v>2017</v>
      </c>
      <c r="C3125" s="3">
        <f t="shared" si="97"/>
        <v>12</v>
      </c>
      <c r="D3125" t="s">
        <v>1171</v>
      </c>
      <c r="E3125" t="s">
        <v>103</v>
      </c>
      <c r="F3125" t="s">
        <v>13</v>
      </c>
      <c r="G3125" t="s">
        <v>14</v>
      </c>
      <c r="H3125" t="s">
        <v>2222</v>
      </c>
      <c r="I3125" s="2">
        <v>76.75</v>
      </c>
      <c r="J3125" s="3">
        <v>6</v>
      </c>
      <c r="K3125" s="2">
        <v>10.55</v>
      </c>
    </row>
    <row r="3126" spans="1:11" x14ac:dyDescent="0.35">
      <c r="A3126" s="1">
        <v>43072</v>
      </c>
      <c r="B3126" s="3">
        <f t="shared" si="96"/>
        <v>2017</v>
      </c>
      <c r="C3126" s="3">
        <f t="shared" si="97"/>
        <v>12</v>
      </c>
      <c r="D3126" t="s">
        <v>1171</v>
      </c>
      <c r="E3126" t="s">
        <v>103</v>
      </c>
      <c r="F3126" t="s">
        <v>13</v>
      </c>
      <c r="G3126" t="s">
        <v>14</v>
      </c>
      <c r="H3126" t="s">
        <v>2222</v>
      </c>
      <c r="I3126" s="2">
        <v>102.34</v>
      </c>
      <c r="J3126" s="3">
        <v>8</v>
      </c>
      <c r="K3126" s="2">
        <v>14.07</v>
      </c>
    </row>
    <row r="3127" spans="1:11" x14ac:dyDescent="0.35">
      <c r="A3127" s="1">
        <v>43072</v>
      </c>
      <c r="B3127" s="3">
        <f t="shared" si="96"/>
        <v>2017</v>
      </c>
      <c r="C3127" s="3">
        <f t="shared" si="97"/>
        <v>12</v>
      </c>
      <c r="D3127" t="s">
        <v>1171</v>
      </c>
      <c r="E3127" t="s">
        <v>103</v>
      </c>
      <c r="F3127" t="s">
        <v>28</v>
      </c>
      <c r="G3127" t="s">
        <v>29</v>
      </c>
      <c r="H3127" t="s">
        <v>1751</v>
      </c>
      <c r="I3127" s="2">
        <v>10.32</v>
      </c>
      <c r="J3127" s="3">
        <v>2</v>
      </c>
      <c r="K3127" s="2">
        <v>3.74</v>
      </c>
    </row>
    <row r="3128" spans="1:11" x14ac:dyDescent="0.35">
      <c r="A3128" s="1">
        <v>43072</v>
      </c>
      <c r="B3128" s="3">
        <f t="shared" si="96"/>
        <v>2017</v>
      </c>
      <c r="C3128" s="3">
        <f t="shared" si="97"/>
        <v>12</v>
      </c>
      <c r="D3128" t="s">
        <v>1171</v>
      </c>
      <c r="E3128" t="s">
        <v>103</v>
      </c>
      <c r="F3128" t="s">
        <v>28</v>
      </c>
      <c r="G3128" t="s">
        <v>215</v>
      </c>
      <c r="H3128" t="s">
        <v>1732</v>
      </c>
      <c r="I3128" s="2">
        <v>47.32</v>
      </c>
      <c r="J3128" s="3">
        <v>7</v>
      </c>
      <c r="K3128" s="2">
        <v>5.92</v>
      </c>
    </row>
    <row r="3129" spans="1:11" x14ac:dyDescent="0.35">
      <c r="A3129" s="1">
        <v>43072</v>
      </c>
      <c r="B3129" s="3">
        <f t="shared" si="96"/>
        <v>2017</v>
      </c>
      <c r="C3129" s="3">
        <f t="shared" si="97"/>
        <v>12</v>
      </c>
      <c r="D3129" t="s">
        <v>1171</v>
      </c>
      <c r="E3129" t="s">
        <v>103</v>
      </c>
      <c r="F3129" t="s">
        <v>18</v>
      </c>
      <c r="G3129" t="s">
        <v>36</v>
      </c>
      <c r="H3129" t="s">
        <v>1223</v>
      </c>
      <c r="I3129" s="2">
        <v>23.38</v>
      </c>
      <c r="J3129" s="3">
        <v>3</v>
      </c>
      <c r="K3129" s="2">
        <v>7.01</v>
      </c>
    </row>
    <row r="3130" spans="1:11" x14ac:dyDescent="0.35">
      <c r="A3130" s="1">
        <v>43072</v>
      </c>
      <c r="B3130" s="3">
        <f t="shared" si="96"/>
        <v>2017</v>
      </c>
      <c r="C3130" s="3">
        <f t="shared" si="97"/>
        <v>12</v>
      </c>
      <c r="D3130" t="s">
        <v>1171</v>
      </c>
      <c r="E3130" t="s">
        <v>103</v>
      </c>
      <c r="F3130" t="s">
        <v>18</v>
      </c>
      <c r="G3130" t="s">
        <v>36</v>
      </c>
      <c r="H3130" t="s">
        <v>1034</v>
      </c>
      <c r="I3130" s="2">
        <v>16.72</v>
      </c>
      <c r="J3130" s="3">
        <v>5</v>
      </c>
      <c r="K3130" s="2">
        <v>3.34</v>
      </c>
    </row>
    <row r="3131" spans="1:11" x14ac:dyDescent="0.35">
      <c r="A3131" s="1">
        <v>43072</v>
      </c>
      <c r="B3131" s="3">
        <f t="shared" si="96"/>
        <v>2017</v>
      </c>
      <c r="C3131" s="3">
        <f t="shared" si="97"/>
        <v>12</v>
      </c>
      <c r="D3131" t="s">
        <v>1171</v>
      </c>
      <c r="E3131" t="s">
        <v>103</v>
      </c>
      <c r="F3131" t="s">
        <v>18</v>
      </c>
      <c r="G3131" t="s">
        <v>36</v>
      </c>
      <c r="H3131" t="s">
        <v>2223</v>
      </c>
      <c r="I3131" s="2">
        <v>16.190000000000001</v>
      </c>
      <c r="J3131" s="3">
        <v>1</v>
      </c>
      <c r="K3131" s="2">
        <v>4.66</v>
      </c>
    </row>
    <row r="3132" spans="1:11" x14ac:dyDescent="0.35">
      <c r="A3132" s="1">
        <v>42770</v>
      </c>
      <c r="B3132" s="3">
        <f t="shared" si="96"/>
        <v>2017</v>
      </c>
      <c r="C3132" s="3">
        <f t="shared" si="97"/>
        <v>2</v>
      </c>
      <c r="D3132" t="s">
        <v>1653</v>
      </c>
      <c r="E3132" t="s">
        <v>22</v>
      </c>
      <c r="F3132" t="s">
        <v>28</v>
      </c>
      <c r="G3132" t="s">
        <v>58</v>
      </c>
      <c r="H3132" t="s">
        <v>176</v>
      </c>
      <c r="I3132" s="2">
        <v>32.67</v>
      </c>
      <c r="J3132" s="3">
        <v>3</v>
      </c>
      <c r="K3132" s="2">
        <v>8.49</v>
      </c>
    </row>
    <row r="3133" spans="1:11" x14ac:dyDescent="0.35">
      <c r="A3133" s="1">
        <v>42798</v>
      </c>
      <c r="B3133" s="3">
        <f t="shared" si="96"/>
        <v>2017</v>
      </c>
      <c r="C3133" s="3">
        <f t="shared" si="97"/>
        <v>3</v>
      </c>
      <c r="D3133" t="s">
        <v>1288</v>
      </c>
      <c r="E3133" t="s">
        <v>45</v>
      </c>
      <c r="F3133" t="s">
        <v>28</v>
      </c>
      <c r="G3133" t="s">
        <v>64</v>
      </c>
      <c r="H3133" t="s">
        <v>1443</v>
      </c>
      <c r="I3133" s="2">
        <v>9.32</v>
      </c>
      <c r="J3133" s="3">
        <v>4</v>
      </c>
      <c r="K3133" s="2">
        <v>2.7</v>
      </c>
    </row>
    <row r="3134" spans="1:11" x14ac:dyDescent="0.35">
      <c r="A3134" s="1">
        <v>42798</v>
      </c>
      <c r="B3134" s="3">
        <f t="shared" si="96"/>
        <v>2017</v>
      </c>
      <c r="C3134" s="3">
        <f t="shared" si="97"/>
        <v>3</v>
      </c>
      <c r="D3134" t="s">
        <v>1288</v>
      </c>
      <c r="E3134" t="s">
        <v>45</v>
      </c>
      <c r="F3134" t="s">
        <v>28</v>
      </c>
      <c r="G3134" t="s">
        <v>158</v>
      </c>
      <c r="H3134" t="s">
        <v>1394</v>
      </c>
      <c r="I3134" s="2">
        <v>15.25</v>
      </c>
      <c r="J3134" s="3">
        <v>1</v>
      </c>
      <c r="K3134" s="2">
        <v>7.02</v>
      </c>
    </row>
    <row r="3135" spans="1:11" x14ac:dyDescent="0.35">
      <c r="A3135" s="1">
        <v>42798</v>
      </c>
      <c r="B3135" s="3">
        <f t="shared" si="96"/>
        <v>2017</v>
      </c>
      <c r="C3135" s="3">
        <f t="shared" si="97"/>
        <v>3</v>
      </c>
      <c r="D3135" t="s">
        <v>257</v>
      </c>
      <c r="E3135" t="s">
        <v>32</v>
      </c>
      <c r="F3135" t="s">
        <v>28</v>
      </c>
      <c r="G3135" t="s">
        <v>29</v>
      </c>
      <c r="H3135" t="s">
        <v>126</v>
      </c>
      <c r="I3135" s="2">
        <v>89.57</v>
      </c>
      <c r="J3135" s="3">
        <v>2</v>
      </c>
      <c r="K3135" s="2">
        <v>32.47</v>
      </c>
    </row>
    <row r="3136" spans="1:11" x14ac:dyDescent="0.35">
      <c r="A3136" s="1">
        <v>42798</v>
      </c>
      <c r="B3136" s="3">
        <f t="shared" si="96"/>
        <v>2017</v>
      </c>
      <c r="C3136" s="3">
        <f t="shared" si="97"/>
        <v>3</v>
      </c>
      <c r="D3136" t="s">
        <v>1458</v>
      </c>
      <c r="E3136" t="s">
        <v>32</v>
      </c>
      <c r="F3136" t="s">
        <v>18</v>
      </c>
      <c r="G3136" t="s">
        <v>36</v>
      </c>
      <c r="H3136" t="s">
        <v>1568</v>
      </c>
      <c r="I3136" s="2">
        <v>103.5</v>
      </c>
      <c r="J3136" s="3">
        <v>5</v>
      </c>
      <c r="K3136" s="2">
        <v>-77.63</v>
      </c>
    </row>
    <row r="3137" spans="1:11" x14ac:dyDescent="0.35">
      <c r="A3137" s="1">
        <v>42798</v>
      </c>
      <c r="B3137" s="3">
        <f t="shared" si="96"/>
        <v>2017</v>
      </c>
      <c r="C3137" s="3">
        <f t="shared" si="97"/>
        <v>3</v>
      </c>
      <c r="D3137" t="s">
        <v>1458</v>
      </c>
      <c r="E3137" t="s">
        <v>32</v>
      </c>
      <c r="F3137" t="s">
        <v>28</v>
      </c>
      <c r="G3137" t="s">
        <v>46</v>
      </c>
      <c r="H3137" t="s">
        <v>2224</v>
      </c>
      <c r="I3137" s="2">
        <v>2.46</v>
      </c>
      <c r="J3137" s="3">
        <v>1</v>
      </c>
      <c r="K3137" s="2">
        <v>0.86</v>
      </c>
    </row>
    <row r="3138" spans="1:11" x14ac:dyDescent="0.35">
      <c r="A3138" s="1">
        <v>42798</v>
      </c>
      <c r="B3138" s="3">
        <f t="shared" ref="B3138:B3201" si="98">YEAR(A3138)</f>
        <v>2017</v>
      </c>
      <c r="C3138" s="3">
        <f t="shared" ref="C3138:C3201" si="99">MONTH(A3138)</f>
        <v>3</v>
      </c>
      <c r="D3138" t="s">
        <v>1458</v>
      </c>
      <c r="E3138" t="s">
        <v>32</v>
      </c>
      <c r="F3138" t="s">
        <v>28</v>
      </c>
      <c r="G3138" t="s">
        <v>38</v>
      </c>
      <c r="H3138" t="s">
        <v>1748</v>
      </c>
      <c r="I3138" s="2">
        <v>8.7200000000000006</v>
      </c>
      <c r="J3138" s="3">
        <v>1</v>
      </c>
      <c r="K3138" s="2">
        <v>0.65</v>
      </c>
    </row>
    <row r="3139" spans="1:11" x14ac:dyDescent="0.35">
      <c r="A3139" s="1">
        <v>42829</v>
      </c>
      <c r="B3139" s="3">
        <f t="shared" si="98"/>
        <v>2017</v>
      </c>
      <c r="C3139" s="3">
        <f t="shared" si="99"/>
        <v>4</v>
      </c>
      <c r="D3139" t="s">
        <v>2225</v>
      </c>
      <c r="E3139" t="s">
        <v>26</v>
      </c>
      <c r="F3139" t="s">
        <v>13</v>
      </c>
      <c r="G3139" t="s">
        <v>23</v>
      </c>
      <c r="H3139" t="s">
        <v>1953</v>
      </c>
      <c r="I3139" s="2">
        <v>383.84</v>
      </c>
      <c r="J3139" s="3">
        <v>4</v>
      </c>
      <c r="K3139" s="2">
        <v>47.98</v>
      </c>
    </row>
    <row r="3140" spans="1:11" x14ac:dyDescent="0.35">
      <c r="A3140" s="1">
        <v>42829</v>
      </c>
      <c r="B3140" s="3">
        <f t="shared" si="98"/>
        <v>2017</v>
      </c>
      <c r="C3140" s="3">
        <f t="shared" si="99"/>
        <v>4</v>
      </c>
      <c r="D3140" t="s">
        <v>777</v>
      </c>
      <c r="E3140" t="s">
        <v>22</v>
      </c>
      <c r="F3140" t="s">
        <v>13</v>
      </c>
      <c r="G3140" t="s">
        <v>23</v>
      </c>
      <c r="H3140" t="s">
        <v>2226</v>
      </c>
      <c r="I3140" s="2">
        <v>41.22</v>
      </c>
      <c r="J3140" s="3">
        <v>1</v>
      </c>
      <c r="K3140" s="2">
        <v>11.13</v>
      </c>
    </row>
    <row r="3141" spans="1:11" x14ac:dyDescent="0.35">
      <c r="A3141" s="1">
        <v>42829</v>
      </c>
      <c r="B3141" s="3">
        <f t="shared" si="98"/>
        <v>2017</v>
      </c>
      <c r="C3141" s="3">
        <f t="shared" si="99"/>
        <v>4</v>
      </c>
      <c r="D3141" t="s">
        <v>777</v>
      </c>
      <c r="E3141" t="s">
        <v>22</v>
      </c>
      <c r="F3141" t="s">
        <v>28</v>
      </c>
      <c r="G3141" t="s">
        <v>215</v>
      </c>
      <c r="H3141" t="s">
        <v>1833</v>
      </c>
      <c r="I3141" s="2">
        <v>240.37</v>
      </c>
      <c r="J3141" s="3">
        <v>1</v>
      </c>
      <c r="K3141" s="2">
        <v>7.21</v>
      </c>
    </row>
    <row r="3142" spans="1:11" x14ac:dyDescent="0.35">
      <c r="A3142" s="1">
        <v>42829</v>
      </c>
      <c r="B3142" s="3">
        <f t="shared" si="98"/>
        <v>2017</v>
      </c>
      <c r="C3142" s="3">
        <f t="shared" si="99"/>
        <v>4</v>
      </c>
      <c r="D3142" t="s">
        <v>777</v>
      </c>
      <c r="E3142" t="s">
        <v>22</v>
      </c>
      <c r="F3142" t="s">
        <v>13</v>
      </c>
      <c r="G3142" t="s">
        <v>23</v>
      </c>
      <c r="H3142" t="s">
        <v>1604</v>
      </c>
      <c r="I3142" s="2">
        <v>119.02</v>
      </c>
      <c r="J3142" s="3">
        <v>2</v>
      </c>
      <c r="K3142" s="2">
        <v>33.33</v>
      </c>
    </row>
    <row r="3143" spans="1:11" x14ac:dyDescent="0.35">
      <c r="A3143" s="1">
        <v>42829</v>
      </c>
      <c r="B3143" s="3">
        <f t="shared" si="98"/>
        <v>2017</v>
      </c>
      <c r="C3143" s="3">
        <f t="shared" si="99"/>
        <v>4</v>
      </c>
      <c r="D3143" t="s">
        <v>1929</v>
      </c>
      <c r="E3143" t="s">
        <v>22</v>
      </c>
      <c r="F3143" t="s">
        <v>28</v>
      </c>
      <c r="G3143" t="s">
        <v>158</v>
      </c>
      <c r="H3143" t="s">
        <v>1103</v>
      </c>
      <c r="I3143" s="2">
        <v>16.98</v>
      </c>
      <c r="J3143" s="3">
        <v>1</v>
      </c>
      <c r="K3143" s="2">
        <v>8.49</v>
      </c>
    </row>
    <row r="3144" spans="1:11" x14ac:dyDescent="0.35">
      <c r="A3144" s="1">
        <v>42829</v>
      </c>
      <c r="B3144" s="3">
        <f t="shared" si="98"/>
        <v>2017</v>
      </c>
      <c r="C3144" s="3">
        <f t="shared" si="99"/>
        <v>4</v>
      </c>
      <c r="D3144" t="s">
        <v>1007</v>
      </c>
      <c r="E3144" t="s">
        <v>22</v>
      </c>
      <c r="F3144" t="s">
        <v>28</v>
      </c>
      <c r="G3144" t="s">
        <v>64</v>
      </c>
      <c r="H3144" t="s">
        <v>1592</v>
      </c>
      <c r="I3144" s="2">
        <v>7.04</v>
      </c>
      <c r="J3144" s="3">
        <v>4</v>
      </c>
      <c r="K3144" s="2">
        <v>2.04</v>
      </c>
    </row>
    <row r="3145" spans="1:11" x14ac:dyDescent="0.35">
      <c r="A3145" s="1">
        <v>42859</v>
      </c>
      <c r="B3145" s="3">
        <f t="shared" si="98"/>
        <v>2017</v>
      </c>
      <c r="C3145" s="3">
        <f t="shared" si="99"/>
        <v>5</v>
      </c>
      <c r="D3145" t="s">
        <v>1838</v>
      </c>
      <c r="E3145" t="s">
        <v>45</v>
      </c>
      <c r="F3145" t="s">
        <v>13</v>
      </c>
      <c r="G3145" t="s">
        <v>23</v>
      </c>
      <c r="H3145" t="s">
        <v>2227</v>
      </c>
      <c r="I3145" s="2">
        <v>183.96</v>
      </c>
      <c r="J3145" s="3">
        <v>5</v>
      </c>
      <c r="K3145" s="2">
        <v>20.7</v>
      </c>
    </row>
    <row r="3146" spans="1:11" x14ac:dyDescent="0.35">
      <c r="A3146" s="1">
        <v>42859</v>
      </c>
      <c r="B3146" s="3">
        <f t="shared" si="98"/>
        <v>2017</v>
      </c>
      <c r="C3146" s="3">
        <f t="shared" si="99"/>
        <v>5</v>
      </c>
      <c r="D3146" t="s">
        <v>1838</v>
      </c>
      <c r="E3146" t="s">
        <v>45</v>
      </c>
      <c r="F3146" t="s">
        <v>28</v>
      </c>
      <c r="G3146" t="s">
        <v>29</v>
      </c>
      <c r="H3146" t="s">
        <v>1120</v>
      </c>
      <c r="I3146" s="2">
        <v>17.61</v>
      </c>
      <c r="J3146" s="3">
        <v>3</v>
      </c>
      <c r="K3146" s="2">
        <v>8.4499999999999993</v>
      </c>
    </row>
    <row r="3147" spans="1:11" x14ac:dyDescent="0.35">
      <c r="A3147" s="1">
        <v>42859</v>
      </c>
      <c r="B3147" s="3">
        <f t="shared" si="98"/>
        <v>2017</v>
      </c>
      <c r="C3147" s="3">
        <f t="shared" si="99"/>
        <v>5</v>
      </c>
      <c r="D3147" t="s">
        <v>1838</v>
      </c>
      <c r="E3147" t="s">
        <v>45</v>
      </c>
      <c r="F3147" t="s">
        <v>18</v>
      </c>
      <c r="G3147" t="s">
        <v>42</v>
      </c>
      <c r="H3147" t="s">
        <v>1029</v>
      </c>
      <c r="I3147" s="2">
        <v>300.89999999999998</v>
      </c>
      <c r="J3147" s="3">
        <v>1</v>
      </c>
      <c r="K3147" s="2">
        <v>11.28</v>
      </c>
    </row>
    <row r="3148" spans="1:11" x14ac:dyDescent="0.35">
      <c r="A3148" s="1">
        <v>42859</v>
      </c>
      <c r="B3148" s="3">
        <f t="shared" si="98"/>
        <v>2017</v>
      </c>
      <c r="C3148" s="3">
        <f t="shared" si="99"/>
        <v>5</v>
      </c>
      <c r="D3148" t="s">
        <v>1716</v>
      </c>
      <c r="E3148" t="s">
        <v>173</v>
      </c>
      <c r="F3148" t="s">
        <v>28</v>
      </c>
      <c r="G3148" t="s">
        <v>29</v>
      </c>
      <c r="H3148" t="s">
        <v>1632</v>
      </c>
      <c r="I3148" s="2">
        <v>9.11</v>
      </c>
      <c r="J3148" s="3">
        <v>1</v>
      </c>
      <c r="K3148" s="2">
        <v>4.0999999999999996</v>
      </c>
    </row>
    <row r="3149" spans="1:11" x14ac:dyDescent="0.35">
      <c r="A3149" s="1">
        <v>42859</v>
      </c>
      <c r="B3149" s="3">
        <f t="shared" si="98"/>
        <v>2017</v>
      </c>
      <c r="C3149" s="3">
        <f t="shared" si="99"/>
        <v>5</v>
      </c>
      <c r="D3149" t="s">
        <v>1716</v>
      </c>
      <c r="E3149" t="s">
        <v>173</v>
      </c>
      <c r="F3149" t="s">
        <v>28</v>
      </c>
      <c r="G3149" t="s">
        <v>38</v>
      </c>
      <c r="H3149" t="s">
        <v>1538</v>
      </c>
      <c r="I3149" s="2">
        <v>571.44000000000005</v>
      </c>
      <c r="J3149" s="3">
        <v>4</v>
      </c>
      <c r="K3149" s="2">
        <v>165.72</v>
      </c>
    </row>
    <row r="3150" spans="1:11" x14ac:dyDescent="0.35">
      <c r="A3150" s="1">
        <v>42859</v>
      </c>
      <c r="B3150" s="3">
        <f t="shared" si="98"/>
        <v>2017</v>
      </c>
      <c r="C3150" s="3">
        <f t="shared" si="99"/>
        <v>5</v>
      </c>
      <c r="D3150" t="s">
        <v>1716</v>
      </c>
      <c r="E3150" t="s">
        <v>173</v>
      </c>
      <c r="F3150" t="s">
        <v>28</v>
      </c>
      <c r="G3150" t="s">
        <v>29</v>
      </c>
      <c r="H3150" t="s">
        <v>1931</v>
      </c>
      <c r="I3150" s="2">
        <v>32.4</v>
      </c>
      <c r="J3150" s="3">
        <v>5</v>
      </c>
      <c r="K3150" s="2">
        <v>15.55</v>
      </c>
    </row>
    <row r="3151" spans="1:11" x14ac:dyDescent="0.35">
      <c r="A3151" s="1">
        <v>42859</v>
      </c>
      <c r="B3151" s="3">
        <f t="shared" si="98"/>
        <v>2017</v>
      </c>
      <c r="C3151" s="3">
        <f t="shared" si="99"/>
        <v>5</v>
      </c>
      <c r="D3151" t="s">
        <v>1716</v>
      </c>
      <c r="E3151" t="s">
        <v>173</v>
      </c>
      <c r="F3151" t="s">
        <v>28</v>
      </c>
      <c r="G3151" t="s">
        <v>38</v>
      </c>
      <c r="H3151" t="s">
        <v>2228</v>
      </c>
      <c r="I3151" s="2">
        <v>16.91</v>
      </c>
      <c r="J3151" s="3">
        <v>1</v>
      </c>
      <c r="K3151" s="2">
        <v>4.57</v>
      </c>
    </row>
    <row r="3152" spans="1:11" x14ac:dyDescent="0.35">
      <c r="A3152" s="1">
        <v>42859</v>
      </c>
      <c r="B3152" s="3">
        <f t="shared" si="98"/>
        <v>2017</v>
      </c>
      <c r="C3152" s="3">
        <f t="shared" si="99"/>
        <v>5</v>
      </c>
      <c r="D3152" t="s">
        <v>229</v>
      </c>
      <c r="E3152" t="s">
        <v>131</v>
      </c>
      <c r="F3152" t="s">
        <v>28</v>
      </c>
      <c r="G3152" t="s">
        <v>48</v>
      </c>
      <c r="H3152" t="s">
        <v>757</v>
      </c>
      <c r="I3152" s="2">
        <v>2.31</v>
      </c>
      <c r="J3152" s="3">
        <v>1</v>
      </c>
      <c r="K3152" s="2">
        <v>-1.93</v>
      </c>
    </row>
    <row r="3153" spans="1:11" x14ac:dyDescent="0.35">
      <c r="A3153" s="1">
        <v>42859</v>
      </c>
      <c r="B3153" s="3">
        <f t="shared" si="98"/>
        <v>2017</v>
      </c>
      <c r="C3153" s="3">
        <f t="shared" si="99"/>
        <v>5</v>
      </c>
      <c r="D3153" t="s">
        <v>1647</v>
      </c>
      <c r="E3153" t="s">
        <v>89</v>
      </c>
      <c r="F3153" t="s">
        <v>28</v>
      </c>
      <c r="G3153" t="s">
        <v>48</v>
      </c>
      <c r="H3153" t="s">
        <v>2066</v>
      </c>
      <c r="I3153" s="2">
        <v>2.2000000000000002</v>
      </c>
      <c r="J3153" s="3">
        <v>2</v>
      </c>
      <c r="K3153" s="2">
        <v>-1.54</v>
      </c>
    </row>
    <row r="3154" spans="1:11" x14ac:dyDescent="0.35">
      <c r="A3154" s="1">
        <v>42859</v>
      </c>
      <c r="B3154" s="3">
        <f t="shared" si="98"/>
        <v>2017</v>
      </c>
      <c r="C3154" s="3">
        <f t="shared" si="99"/>
        <v>5</v>
      </c>
      <c r="D3154" t="s">
        <v>1647</v>
      </c>
      <c r="E3154" t="s">
        <v>89</v>
      </c>
      <c r="F3154" t="s">
        <v>28</v>
      </c>
      <c r="G3154" t="s">
        <v>48</v>
      </c>
      <c r="H3154" t="s">
        <v>2131</v>
      </c>
      <c r="I3154" s="2">
        <v>9.4</v>
      </c>
      <c r="J3154" s="3">
        <v>3</v>
      </c>
      <c r="K3154" s="2">
        <v>-7.52</v>
      </c>
    </row>
    <row r="3155" spans="1:11" x14ac:dyDescent="0.35">
      <c r="A3155" s="1">
        <v>42859</v>
      </c>
      <c r="B3155" s="3">
        <f t="shared" si="98"/>
        <v>2017</v>
      </c>
      <c r="C3155" s="3">
        <f t="shared" si="99"/>
        <v>5</v>
      </c>
      <c r="D3155" t="s">
        <v>401</v>
      </c>
      <c r="E3155" t="s">
        <v>45</v>
      </c>
      <c r="F3155" t="s">
        <v>28</v>
      </c>
      <c r="G3155" t="s">
        <v>58</v>
      </c>
      <c r="H3155" t="s">
        <v>1487</v>
      </c>
      <c r="I3155" s="2">
        <v>243.16</v>
      </c>
      <c r="J3155" s="3">
        <v>2</v>
      </c>
      <c r="K3155" s="2">
        <v>72.95</v>
      </c>
    </row>
    <row r="3156" spans="1:11" x14ac:dyDescent="0.35">
      <c r="A3156" s="1">
        <v>42890</v>
      </c>
      <c r="B3156" s="3">
        <f t="shared" si="98"/>
        <v>2017</v>
      </c>
      <c r="C3156" s="3">
        <f t="shared" si="99"/>
        <v>6</v>
      </c>
      <c r="D3156" t="s">
        <v>1838</v>
      </c>
      <c r="E3156" t="s">
        <v>81</v>
      </c>
      <c r="F3156" t="s">
        <v>18</v>
      </c>
      <c r="G3156" t="s">
        <v>36</v>
      </c>
      <c r="H3156" t="s">
        <v>488</v>
      </c>
      <c r="I3156" s="2">
        <v>31.98</v>
      </c>
      <c r="J3156" s="3">
        <v>2</v>
      </c>
      <c r="K3156" s="2">
        <v>2</v>
      </c>
    </row>
    <row r="3157" spans="1:11" x14ac:dyDescent="0.35">
      <c r="A3157" s="1">
        <v>42890</v>
      </c>
      <c r="B3157" s="3">
        <f t="shared" si="98"/>
        <v>2017</v>
      </c>
      <c r="C3157" s="3">
        <f t="shared" si="99"/>
        <v>6</v>
      </c>
      <c r="D3157" t="s">
        <v>1838</v>
      </c>
      <c r="E3157" t="s">
        <v>81</v>
      </c>
      <c r="F3157" t="s">
        <v>13</v>
      </c>
      <c r="G3157" t="s">
        <v>23</v>
      </c>
      <c r="H3157" t="s">
        <v>2229</v>
      </c>
      <c r="I3157" s="2">
        <v>71.98</v>
      </c>
      <c r="J3157" s="3">
        <v>2</v>
      </c>
      <c r="K3157" s="2">
        <v>25.19</v>
      </c>
    </row>
    <row r="3158" spans="1:11" x14ac:dyDescent="0.35">
      <c r="A3158" s="1">
        <v>42890</v>
      </c>
      <c r="B3158" s="3">
        <f t="shared" si="98"/>
        <v>2017</v>
      </c>
      <c r="C3158" s="3">
        <f t="shared" si="99"/>
        <v>6</v>
      </c>
      <c r="D3158" t="s">
        <v>460</v>
      </c>
      <c r="E3158" t="s">
        <v>607</v>
      </c>
      <c r="F3158" t="s">
        <v>28</v>
      </c>
      <c r="G3158" t="s">
        <v>29</v>
      </c>
      <c r="H3158" t="s">
        <v>2230</v>
      </c>
      <c r="I3158" s="2">
        <v>12.48</v>
      </c>
      <c r="J3158" s="3">
        <v>2</v>
      </c>
      <c r="K3158" s="2">
        <v>5.62</v>
      </c>
    </row>
    <row r="3159" spans="1:11" x14ac:dyDescent="0.35">
      <c r="A3159" s="1">
        <v>42890</v>
      </c>
      <c r="B3159" s="3">
        <f t="shared" si="98"/>
        <v>2017</v>
      </c>
      <c r="C3159" s="3">
        <f t="shared" si="99"/>
        <v>6</v>
      </c>
      <c r="D3159" t="s">
        <v>614</v>
      </c>
      <c r="E3159" t="s">
        <v>55</v>
      </c>
      <c r="F3159" t="s">
        <v>28</v>
      </c>
      <c r="G3159" t="s">
        <v>64</v>
      </c>
      <c r="H3159" t="s">
        <v>2231</v>
      </c>
      <c r="I3159" s="2">
        <v>8.64</v>
      </c>
      <c r="J3159" s="3">
        <v>3</v>
      </c>
      <c r="K3159" s="2">
        <v>2.5099999999999998</v>
      </c>
    </row>
    <row r="3160" spans="1:11" x14ac:dyDescent="0.35">
      <c r="A3160" s="1">
        <v>42890</v>
      </c>
      <c r="B3160" s="3">
        <f t="shared" si="98"/>
        <v>2017</v>
      </c>
      <c r="C3160" s="3">
        <f t="shared" si="99"/>
        <v>6</v>
      </c>
      <c r="D3160" t="s">
        <v>2232</v>
      </c>
      <c r="E3160" t="s">
        <v>32</v>
      </c>
      <c r="F3160" t="s">
        <v>28</v>
      </c>
      <c r="G3160" t="s">
        <v>48</v>
      </c>
      <c r="H3160" t="s">
        <v>560</v>
      </c>
      <c r="I3160" s="2">
        <v>6.37</v>
      </c>
      <c r="J3160" s="3">
        <v>7</v>
      </c>
      <c r="K3160" s="2">
        <v>-9.56</v>
      </c>
    </row>
    <row r="3161" spans="1:11" x14ac:dyDescent="0.35">
      <c r="A3161" s="1">
        <v>42890</v>
      </c>
      <c r="B3161" s="3">
        <f t="shared" si="98"/>
        <v>2017</v>
      </c>
      <c r="C3161" s="3">
        <f t="shared" si="99"/>
        <v>6</v>
      </c>
      <c r="D3161" t="s">
        <v>664</v>
      </c>
      <c r="E3161" t="s">
        <v>67</v>
      </c>
      <c r="F3161" t="s">
        <v>28</v>
      </c>
      <c r="G3161" t="s">
        <v>48</v>
      </c>
      <c r="H3161" t="s">
        <v>1717</v>
      </c>
      <c r="I3161" s="2">
        <v>108.08</v>
      </c>
      <c r="J3161" s="3">
        <v>7</v>
      </c>
      <c r="K3161" s="2">
        <v>54.04</v>
      </c>
    </row>
    <row r="3162" spans="1:11" x14ac:dyDescent="0.35">
      <c r="A3162" s="1">
        <v>42890</v>
      </c>
      <c r="B3162" s="3">
        <f t="shared" si="98"/>
        <v>2017</v>
      </c>
      <c r="C3162" s="3">
        <f t="shared" si="99"/>
        <v>6</v>
      </c>
      <c r="D3162" t="s">
        <v>664</v>
      </c>
      <c r="E3162" t="s">
        <v>67</v>
      </c>
      <c r="F3162" t="s">
        <v>28</v>
      </c>
      <c r="G3162" t="s">
        <v>48</v>
      </c>
      <c r="H3162" t="s">
        <v>2050</v>
      </c>
      <c r="I3162" s="2">
        <v>9.5399999999999991</v>
      </c>
      <c r="J3162" s="3">
        <v>3</v>
      </c>
      <c r="K3162" s="2">
        <v>4.3899999999999997</v>
      </c>
    </row>
    <row r="3163" spans="1:11" x14ac:dyDescent="0.35">
      <c r="A3163" s="1">
        <v>42890</v>
      </c>
      <c r="B3163" s="3">
        <f t="shared" si="98"/>
        <v>2017</v>
      </c>
      <c r="C3163" s="3">
        <f t="shared" si="99"/>
        <v>6</v>
      </c>
      <c r="D3163" t="s">
        <v>2233</v>
      </c>
      <c r="E3163" t="s">
        <v>32</v>
      </c>
      <c r="F3163" t="s">
        <v>18</v>
      </c>
      <c r="G3163" t="s">
        <v>36</v>
      </c>
      <c r="H3163" t="s">
        <v>805</v>
      </c>
      <c r="I3163" s="2">
        <v>30.34</v>
      </c>
      <c r="J3163" s="3">
        <v>6</v>
      </c>
      <c r="K3163" s="2">
        <v>-17.440000000000001</v>
      </c>
    </row>
    <row r="3164" spans="1:11" x14ac:dyDescent="0.35">
      <c r="A3164" s="1">
        <v>42951</v>
      </c>
      <c r="B3164" s="3">
        <f t="shared" si="98"/>
        <v>2017</v>
      </c>
      <c r="C3164" s="3">
        <f t="shared" si="99"/>
        <v>8</v>
      </c>
      <c r="D3164" t="s">
        <v>1253</v>
      </c>
      <c r="E3164" t="s">
        <v>103</v>
      </c>
      <c r="F3164" t="s">
        <v>28</v>
      </c>
      <c r="G3164" t="s">
        <v>29</v>
      </c>
      <c r="H3164" t="s">
        <v>2234</v>
      </c>
      <c r="I3164" s="2">
        <v>7.97</v>
      </c>
      <c r="J3164" s="3">
        <v>2</v>
      </c>
      <c r="K3164" s="2">
        <v>2.89</v>
      </c>
    </row>
    <row r="3165" spans="1:11" x14ac:dyDescent="0.35">
      <c r="A3165" s="1">
        <v>42951</v>
      </c>
      <c r="B3165" s="3">
        <f t="shared" si="98"/>
        <v>2017</v>
      </c>
      <c r="C3165" s="3">
        <f t="shared" si="99"/>
        <v>8</v>
      </c>
      <c r="D3165" t="s">
        <v>1253</v>
      </c>
      <c r="E3165" t="s">
        <v>103</v>
      </c>
      <c r="F3165" t="s">
        <v>28</v>
      </c>
      <c r="G3165" t="s">
        <v>158</v>
      </c>
      <c r="H3165" t="s">
        <v>2073</v>
      </c>
      <c r="I3165" s="2">
        <v>8.7799999999999994</v>
      </c>
      <c r="J3165" s="3">
        <v>1</v>
      </c>
      <c r="K3165" s="2">
        <v>3.18</v>
      </c>
    </row>
    <row r="3166" spans="1:11" x14ac:dyDescent="0.35">
      <c r="A3166" s="1">
        <v>42951</v>
      </c>
      <c r="B3166" s="3">
        <f t="shared" si="98"/>
        <v>2017</v>
      </c>
      <c r="C3166" s="3">
        <f t="shared" si="99"/>
        <v>8</v>
      </c>
      <c r="D3166" t="s">
        <v>1253</v>
      </c>
      <c r="E3166" t="s">
        <v>32</v>
      </c>
      <c r="F3166" t="s">
        <v>28</v>
      </c>
      <c r="G3166" t="s">
        <v>48</v>
      </c>
      <c r="H3166" t="s">
        <v>261</v>
      </c>
      <c r="I3166" s="2">
        <v>3.32</v>
      </c>
      <c r="J3166" s="3">
        <v>3</v>
      </c>
      <c r="K3166" s="2">
        <v>-5.64</v>
      </c>
    </row>
    <row r="3167" spans="1:11" x14ac:dyDescent="0.35">
      <c r="A3167" s="1">
        <v>42982</v>
      </c>
      <c r="B3167" s="3">
        <f t="shared" si="98"/>
        <v>2017</v>
      </c>
      <c r="C3167" s="3">
        <f t="shared" si="99"/>
        <v>9</v>
      </c>
      <c r="D3167" t="s">
        <v>1109</v>
      </c>
      <c r="E3167" t="s">
        <v>32</v>
      </c>
      <c r="F3167" t="s">
        <v>28</v>
      </c>
      <c r="G3167" t="s">
        <v>64</v>
      </c>
      <c r="H3167" t="s">
        <v>2051</v>
      </c>
      <c r="I3167" s="2">
        <v>10.19</v>
      </c>
      <c r="J3167" s="3">
        <v>7</v>
      </c>
      <c r="K3167" s="2">
        <v>3.19</v>
      </c>
    </row>
    <row r="3168" spans="1:11" x14ac:dyDescent="0.35">
      <c r="A3168" s="1">
        <v>42982</v>
      </c>
      <c r="B3168" s="3">
        <f t="shared" si="98"/>
        <v>2017</v>
      </c>
      <c r="C3168" s="3">
        <f t="shared" si="99"/>
        <v>9</v>
      </c>
      <c r="D3168" t="s">
        <v>1109</v>
      </c>
      <c r="E3168" t="s">
        <v>32</v>
      </c>
      <c r="F3168" t="s">
        <v>28</v>
      </c>
      <c r="G3168" t="s">
        <v>38</v>
      </c>
      <c r="H3168" t="s">
        <v>819</v>
      </c>
      <c r="I3168" s="2">
        <v>16.78</v>
      </c>
      <c r="J3168" s="3">
        <v>1</v>
      </c>
      <c r="K3168" s="2">
        <v>-0.21</v>
      </c>
    </row>
    <row r="3169" spans="1:11" x14ac:dyDescent="0.35">
      <c r="A3169" s="1">
        <v>42982</v>
      </c>
      <c r="B3169" s="3">
        <f t="shared" si="98"/>
        <v>2017</v>
      </c>
      <c r="C3169" s="3">
        <f t="shared" si="99"/>
        <v>9</v>
      </c>
      <c r="D3169" t="s">
        <v>1109</v>
      </c>
      <c r="E3169" t="s">
        <v>32</v>
      </c>
      <c r="F3169" t="s">
        <v>28</v>
      </c>
      <c r="G3169" t="s">
        <v>64</v>
      </c>
      <c r="H3169" t="s">
        <v>2235</v>
      </c>
      <c r="I3169" s="2">
        <v>13.12</v>
      </c>
      <c r="J3169" s="3">
        <v>5</v>
      </c>
      <c r="K3169" s="2">
        <v>3.77</v>
      </c>
    </row>
    <row r="3170" spans="1:11" x14ac:dyDescent="0.35">
      <c r="A3170" s="1">
        <v>42982</v>
      </c>
      <c r="B3170" s="3">
        <f t="shared" si="98"/>
        <v>2017</v>
      </c>
      <c r="C3170" s="3">
        <f t="shared" si="99"/>
        <v>9</v>
      </c>
      <c r="D3170" t="s">
        <v>424</v>
      </c>
      <c r="E3170" t="s">
        <v>22</v>
      </c>
      <c r="F3170" t="s">
        <v>13</v>
      </c>
      <c r="G3170" t="s">
        <v>14</v>
      </c>
      <c r="H3170" t="s">
        <v>1206</v>
      </c>
      <c r="I3170" s="2">
        <v>91.96</v>
      </c>
      <c r="J3170" s="3">
        <v>4</v>
      </c>
      <c r="K3170" s="2">
        <v>39.54</v>
      </c>
    </row>
    <row r="3171" spans="1:11" x14ac:dyDescent="0.35">
      <c r="A3171" s="1">
        <v>42982</v>
      </c>
      <c r="B3171" s="3">
        <f t="shared" si="98"/>
        <v>2017</v>
      </c>
      <c r="C3171" s="3">
        <f t="shared" si="99"/>
        <v>9</v>
      </c>
      <c r="D3171" t="s">
        <v>432</v>
      </c>
      <c r="E3171" t="s">
        <v>45</v>
      </c>
      <c r="F3171" t="s">
        <v>18</v>
      </c>
      <c r="G3171" t="s">
        <v>42</v>
      </c>
      <c r="H3171" t="s">
        <v>2157</v>
      </c>
      <c r="I3171" s="2">
        <v>1322.35</v>
      </c>
      <c r="J3171" s="3">
        <v>3</v>
      </c>
      <c r="K3171" s="2">
        <v>-99.18</v>
      </c>
    </row>
    <row r="3172" spans="1:11" x14ac:dyDescent="0.35">
      <c r="A3172" s="1">
        <v>42982</v>
      </c>
      <c r="B3172" s="3">
        <f t="shared" si="98"/>
        <v>2017</v>
      </c>
      <c r="C3172" s="3">
        <f t="shared" si="99"/>
        <v>9</v>
      </c>
      <c r="D3172" t="s">
        <v>2205</v>
      </c>
      <c r="E3172" t="s">
        <v>45</v>
      </c>
      <c r="F3172" t="s">
        <v>28</v>
      </c>
      <c r="G3172" t="s">
        <v>29</v>
      </c>
      <c r="H3172" t="s">
        <v>1003</v>
      </c>
      <c r="I3172" s="2">
        <v>12.96</v>
      </c>
      <c r="J3172" s="3">
        <v>2</v>
      </c>
      <c r="K3172" s="2">
        <v>6.22</v>
      </c>
    </row>
    <row r="3173" spans="1:11" x14ac:dyDescent="0.35">
      <c r="A3173" s="1">
        <v>42982</v>
      </c>
      <c r="B3173" s="3">
        <f t="shared" si="98"/>
        <v>2017</v>
      </c>
      <c r="C3173" s="3">
        <f t="shared" si="99"/>
        <v>9</v>
      </c>
      <c r="D3173" t="s">
        <v>2205</v>
      </c>
      <c r="E3173" t="s">
        <v>45</v>
      </c>
      <c r="F3173" t="s">
        <v>13</v>
      </c>
      <c r="G3173" t="s">
        <v>23</v>
      </c>
      <c r="H3173" t="s">
        <v>624</v>
      </c>
      <c r="I3173" s="2">
        <v>43.18</v>
      </c>
      <c r="J3173" s="3">
        <v>3</v>
      </c>
      <c r="K3173" s="2">
        <v>15.11</v>
      </c>
    </row>
    <row r="3174" spans="1:11" x14ac:dyDescent="0.35">
      <c r="A3174" s="1">
        <v>42982</v>
      </c>
      <c r="B3174" s="3">
        <f t="shared" si="98"/>
        <v>2017</v>
      </c>
      <c r="C3174" s="3">
        <f t="shared" si="99"/>
        <v>9</v>
      </c>
      <c r="D3174" t="s">
        <v>2107</v>
      </c>
      <c r="E3174" t="s">
        <v>26</v>
      </c>
      <c r="F3174" t="s">
        <v>18</v>
      </c>
      <c r="G3174" t="s">
        <v>237</v>
      </c>
      <c r="H3174" t="s">
        <v>2236</v>
      </c>
      <c r="I3174" s="2">
        <v>825.17</v>
      </c>
      <c r="J3174" s="3">
        <v>9</v>
      </c>
      <c r="K3174" s="2">
        <v>-117.88</v>
      </c>
    </row>
    <row r="3175" spans="1:11" x14ac:dyDescent="0.35">
      <c r="A3175" s="1">
        <v>42982</v>
      </c>
      <c r="B3175" s="3">
        <f t="shared" si="98"/>
        <v>2017</v>
      </c>
      <c r="C3175" s="3">
        <f t="shared" si="99"/>
        <v>9</v>
      </c>
      <c r="D3175" t="s">
        <v>2107</v>
      </c>
      <c r="E3175" t="s">
        <v>26</v>
      </c>
      <c r="F3175" t="s">
        <v>28</v>
      </c>
      <c r="G3175" t="s">
        <v>29</v>
      </c>
      <c r="H3175" t="s">
        <v>1306</v>
      </c>
      <c r="I3175" s="2">
        <v>17.760000000000002</v>
      </c>
      <c r="J3175" s="3">
        <v>3</v>
      </c>
      <c r="K3175" s="2">
        <v>5.55</v>
      </c>
    </row>
    <row r="3176" spans="1:11" x14ac:dyDescent="0.35">
      <c r="A3176" s="1">
        <v>42982</v>
      </c>
      <c r="B3176" s="3">
        <f t="shared" si="98"/>
        <v>2017</v>
      </c>
      <c r="C3176" s="3">
        <f t="shared" si="99"/>
        <v>9</v>
      </c>
      <c r="D3176" t="s">
        <v>2107</v>
      </c>
      <c r="E3176" t="s">
        <v>26</v>
      </c>
      <c r="F3176" t="s">
        <v>28</v>
      </c>
      <c r="G3176" t="s">
        <v>64</v>
      </c>
      <c r="H3176" t="s">
        <v>1414</v>
      </c>
      <c r="I3176" s="2">
        <v>6.91</v>
      </c>
      <c r="J3176" s="3">
        <v>3</v>
      </c>
      <c r="K3176" s="2">
        <v>0.86</v>
      </c>
    </row>
    <row r="3177" spans="1:11" x14ac:dyDescent="0.35">
      <c r="A3177" s="1">
        <v>42982</v>
      </c>
      <c r="B3177" s="3">
        <f t="shared" si="98"/>
        <v>2017</v>
      </c>
      <c r="C3177" s="3">
        <f t="shared" si="99"/>
        <v>9</v>
      </c>
      <c r="D3177" t="s">
        <v>497</v>
      </c>
      <c r="E3177" t="s">
        <v>131</v>
      </c>
      <c r="F3177" t="s">
        <v>28</v>
      </c>
      <c r="G3177" t="s">
        <v>64</v>
      </c>
      <c r="H3177" t="s">
        <v>308</v>
      </c>
      <c r="I3177" s="2">
        <v>8.26</v>
      </c>
      <c r="J3177" s="3">
        <v>4</v>
      </c>
      <c r="K3177" s="2">
        <v>0.62</v>
      </c>
    </row>
    <row r="3178" spans="1:11" x14ac:dyDescent="0.35">
      <c r="A3178" s="1">
        <v>42982</v>
      </c>
      <c r="B3178" s="3">
        <f t="shared" si="98"/>
        <v>2017</v>
      </c>
      <c r="C3178" s="3">
        <f t="shared" si="99"/>
        <v>9</v>
      </c>
      <c r="D3178" t="s">
        <v>497</v>
      </c>
      <c r="E3178" t="s">
        <v>131</v>
      </c>
      <c r="F3178" t="s">
        <v>28</v>
      </c>
      <c r="G3178" t="s">
        <v>48</v>
      </c>
      <c r="H3178" t="s">
        <v>1483</v>
      </c>
      <c r="I3178" s="2">
        <v>25.56</v>
      </c>
      <c r="J3178" s="3">
        <v>5</v>
      </c>
      <c r="K3178" s="2">
        <v>-20.45</v>
      </c>
    </row>
    <row r="3179" spans="1:11" x14ac:dyDescent="0.35">
      <c r="A3179" s="1">
        <v>42982</v>
      </c>
      <c r="B3179" s="3">
        <f t="shared" si="98"/>
        <v>2017</v>
      </c>
      <c r="C3179" s="3">
        <f t="shared" si="99"/>
        <v>9</v>
      </c>
      <c r="D3179" t="s">
        <v>497</v>
      </c>
      <c r="E3179" t="s">
        <v>131</v>
      </c>
      <c r="F3179" t="s">
        <v>28</v>
      </c>
      <c r="G3179" t="s">
        <v>48</v>
      </c>
      <c r="H3179" t="s">
        <v>1484</v>
      </c>
      <c r="I3179" s="2">
        <v>4.37</v>
      </c>
      <c r="J3179" s="3">
        <v>2</v>
      </c>
      <c r="K3179" s="2">
        <v>-3.06</v>
      </c>
    </row>
    <row r="3180" spans="1:11" x14ac:dyDescent="0.35">
      <c r="A3180" s="1">
        <v>42982</v>
      </c>
      <c r="B3180" s="3">
        <f t="shared" si="98"/>
        <v>2017</v>
      </c>
      <c r="C3180" s="3">
        <f t="shared" si="99"/>
        <v>9</v>
      </c>
      <c r="D3180" t="s">
        <v>497</v>
      </c>
      <c r="E3180" t="s">
        <v>131</v>
      </c>
      <c r="F3180" t="s">
        <v>28</v>
      </c>
      <c r="G3180" t="s">
        <v>29</v>
      </c>
      <c r="H3180" t="s">
        <v>2237</v>
      </c>
      <c r="I3180" s="2">
        <v>11.52</v>
      </c>
      <c r="J3180" s="3">
        <v>4</v>
      </c>
      <c r="K3180" s="2">
        <v>3.74</v>
      </c>
    </row>
    <row r="3181" spans="1:11" x14ac:dyDescent="0.35">
      <c r="A3181" s="1">
        <v>42982</v>
      </c>
      <c r="B3181" s="3">
        <f t="shared" si="98"/>
        <v>2017</v>
      </c>
      <c r="C3181" s="3">
        <f t="shared" si="99"/>
        <v>9</v>
      </c>
      <c r="D3181" t="s">
        <v>1794</v>
      </c>
      <c r="E3181" t="s">
        <v>45</v>
      </c>
      <c r="F3181" t="s">
        <v>28</v>
      </c>
      <c r="G3181" t="s">
        <v>48</v>
      </c>
      <c r="H3181" t="s">
        <v>525</v>
      </c>
      <c r="I3181" s="2">
        <v>487.98</v>
      </c>
      <c r="J3181" s="3">
        <v>2</v>
      </c>
      <c r="K3181" s="2">
        <v>152.5</v>
      </c>
    </row>
    <row r="3182" spans="1:11" x14ac:dyDescent="0.35">
      <c r="A3182" s="1">
        <v>42982</v>
      </c>
      <c r="B3182" s="3">
        <f t="shared" si="98"/>
        <v>2017</v>
      </c>
      <c r="C3182" s="3">
        <f t="shared" si="99"/>
        <v>9</v>
      </c>
      <c r="D3182" t="s">
        <v>1794</v>
      </c>
      <c r="E3182" t="s">
        <v>45</v>
      </c>
      <c r="F3182" t="s">
        <v>13</v>
      </c>
      <c r="G3182" t="s">
        <v>23</v>
      </c>
      <c r="H3182" t="s">
        <v>2238</v>
      </c>
      <c r="I3182" s="2">
        <v>5.56</v>
      </c>
      <c r="J3182" s="3">
        <v>1</v>
      </c>
      <c r="K3182" s="2">
        <v>1.74</v>
      </c>
    </row>
    <row r="3183" spans="1:11" x14ac:dyDescent="0.35">
      <c r="A3183" s="1">
        <v>42982</v>
      </c>
      <c r="B3183" s="3">
        <f t="shared" si="98"/>
        <v>2017</v>
      </c>
      <c r="C3183" s="3">
        <f t="shared" si="99"/>
        <v>9</v>
      </c>
      <c r="D3183" t="s">
        <v>1794</v>
      </c>
      <c r="E3183" t="s">
        <v>45</v>
      </c>
      <c r="F3183" t="s">
        <v>28</v>
      </c>
      <c r="G3183" t="s">
        <v>38</v>
      </c>
      <c r="H3183" t="s">
        <v>408</v>
      </c>
      <c r="I3183" s="2">
        <v>217.85</v>
      </c>
      <c r="J3183" s="3">
        <v>5</v>
      </c>
      <c r="K3183" s="2">
        <v>65.36</v>
      </c>
    </row>
    <row r="3184" spans="1:11" x14ac:dyDescent="0.35">
      <c r="A3184" s="1">
        <v>42982</v>
      </c>
      <c r="B3184" s="3">
        <f t="shared" si="98"/>
        <v>2017</v>
      </c>
      <c r="C3184" s="3">
        <f t="shared" si="99"/>
        <v>9</v>
      </c>
      <c r="D3184" t="s">
        <v>1515</v>
      </c>
      <c r="E3184" t="s">
        <v>89</v>
      </c>
      <c r="F3184" t="s">
        <v>13</v>
      </c>
      <c r="G3184" t="s">
        <v>14</v>
      </c>
      <c r="H3184" t="s">
        <v>255</v>
      </c>
      <c r="I3184" s="2">
        <v>19.04</v>
      </c>
      <c r="J3184" s="3">
        <v>4</v>
      </c>
      <c r="K3184" s="2">
        <v>-1.43</v>
      </c>
    </row>
    <row r="3185" spans="1:11" x14ac:dyDescent="0.35">
      <c r="A3185" s="1">
        <v>42982</v>
      </c>
      <c r="B3185" s="3">
        <f t="shared" si="98"/>
        <v>2017</v>
      </c>
      <c r="C3185" s="3">
        <f t="shared" si="99"/>
        <v>9</v>
      </c>
      <c r="D3185" t="s">
        <v>420</v>
      </c>
      <c r="E3185" t="s">
        <v>45</v>
      </c>
      <c r="F3185" t="s">
        <v>28</v>
      </c>
      <c r="G3185" t="s">
        <v>38</v>
      </c>
      <c r="H3185" t="s">
        <v>1608</v>
      </c>
      <c r="I3185" s="2">
        <v>54.32</v>
      </c>
      <c r="J3185" s="3">
        <v>4</v>
      </c>
      <c r="K3185" s="2">
        <v>0.54</v>
      </c>
    </row>
    <row r="3186" spans="1:11" x14ac:dyDescent="0.35">
      <c r="A3186" s="1">
        <v>42982</v>
      </c>
      <c r="B3186" s="3">
        <f t="shared" si="98"/>
        <v>2017</v>
      </c>
      <c r="C3186" s="3">
        <f t="shared" si="99"/>
        <v>9</v>
      </c>
      <c r="D3186" t="s">
        <v>945</v>
      </c>
      <c r="E3186" t="s">
        <v>45</v>
      </c>
      <c r="F3186" t="s">
        <v>28</v>
      </c>
      <c r="G3186" t="s">
        <v>48</v>
      </c>
      <c r="H3186" t="s">
        <v>1517</v>
      </c>
      <c r="I3186" s="2">
        <v>13.34</v>
      </c>
      <c r="J3186" s="3">
        <v>6</v>
      </c>
      <c r="K3186" s="2">
        <v>4.34</v>
      </c>
    </row>
    <row r="3187" spans="1:11" x14ac:dyDescent="0.35">
      <c r="A3187" s="1">
        <v>42982</v>
      </c>
      <c r="B3187" s="3">
        <f t="shared" si="98"/>
        <v>2017</v>
      </c>
      <c r="C3187" s="3">
        <f t="shared" si="99"/>
        <v>9</v>
      </c>
      <c r="D3187" t="s">
        <v>945</v>
      </c>
      <c r="E3187" t="s">
        <v>45</v>
      </c>
      <c r="F3187" t="s">
        <v>18</v>
      </c>
      <c r="G3187" t="s">
        <v>42</v>
      </c>
      <c r="H3187" t="s">
        <v>1996</v>
      </c>
      <c r="I3187" s="2">
        <v>1478.27</v>
      </c>
      <c r="J3187" s="3">
        <v>8</v>
      </c>
      <c r="K3187" s="2">
        <v>92.39</v>
      </c>
    </row>
    <row r="3188" spans="1:11" x14ac:dyDescent="0.35">
      <c r="A3188" s="1">
        <v>42982</v>
      </c>
      <c r="B3188" s="3">
        <f t="shared" si="98"/>
        <v>2017</v>
      </c>
      <c r="C3188" s="3">
        <f t="shared" si="99"/>
        <v>9</v>
      </c>
      <c r="D3188" t="s">
        <v>2074</v>
      </c>
      <c r="E3188" t="s">
        <v>1213</v>
      </c>
      <c r="F3188" t="s">
        <v>28</v>
      </c>
      <c r="G3188" t="s">
        <v>33</v>
      </c>
      <c r="H3188" t="s">
        <v>111</v>
      </c>
      <c r="I3188" s="2">
        <v>14.82</v>
      </c>
      <c r="J3188" s="3">
        <v>6</v>
      </c>
      <c r="K3188" s="2">
        <v>6.97</v>
      </c>
    </row>
    <row r="3189" spans="1:11" x14ac:dyDescent="0.35">
      <c r="A3189" s="1">
        <v>42982</v>
      </c>
      <c r="B3189" s="3">
        <f t="shared" si="98"/>
        <v>2017</v>
      </c>
      <c r="C3189" s="3">
        <f t="shared" si="99"/>
        <v>9</v>
      </c>
      <c r="D3189" t="s">
        <v>272</v>
      </c>
      <c r="E3189" t="s">
        <v>45</v>
      </c>
      <c r="F3189" t="s">
        <v>28</v>
      </c>
      <c r="G3189" t="s">
        <v>38</v>
      </c>
      <c r="H3189" t="s">
        <v>2239</v>
      </c>
      <c r="I3189" s="2">
        <v>421.1</v>
      </c>
      <c r="J3189" s="3">
        <v>2</v>
      </c>
      <c r="K3189" s="2">
        <v>105.28</v>
      </c>
    </row>
    <row r="3190" spans="1:11" x14ac:dyDescent="0.35">
      <c r="A3190" s="1">
        <v>42982</v>
      </c>
      <c r="B3190" s="3">
        <f t="shared" si="98"/>
        <v>2017</v>
      </c>
      <c r="C3190" s="3">
        <f t="shared" si="99"/>
        <v>9</v>
      </c>
      <c r="D3190" t="s">
        <v>1398</v>
      </c>
      <c r="E3190" t="s">
        <v>77</v>
      </c>
      <c r="F3190" t="s">
        <v>18</v>
      </c>
      <c r="G3190" t="s">
        <v>19</v>
      </c>
      <c r="H3190" t="s">
        <v>473</v>
      </c>
      <c r="I3190" s="2">
        <v>97.18</v>
      </c>
      <c r="J3190" s="3">
        <v>2</v>
      </c>
      <c r="K3190" s="2">
        <v>6.07</v>
      </c>
    </row>
    <row r="3191" spans="1:11" x14ac:dyDescent="0.35">
      <c r="A3191" s="1">
        <v>42982</v>
      </c>
      <c r="B3191" s="3">
        <f t="shared" si="98"/>
        <v>2017</v>
      </c>
      <c r="C3191" s="3">
        <f t="shared" si="99"/>
        <v>9</v>
      </c>
      <c r="D3191" t="s">
        <v>1398</v>
      </c>
      <c r="E3191" t="s">
        <v>77</v>
      </c>
      <c r="F3191" t="s">
        <v>28</v>
      </c>
      <c r="G3191" t="s">
        <v>29</v>
      </c>
      <c r="H3191" t="s">
        <v>974</v>
      </c>
      <c r="I3191" s="2">
        <v>10.37</v>
      </c>
      <c r="J3191" s="3">
        <v>2</v>
      </c>
      <c r="K3191" s="2">
        <v>3.63</v>
      </c>
    </row>
    <row r="3192" spans="1:11" x14ac:dyDescent="0.35">
      <c r="A3192" s="1">
        <v>42982</v>
      </c>
      <c r="B3192" s="3">
        <f t="shared" si="98"/>
        <v>2017</v>
      </c>
      <c r="C3192" s="3">
        <f t="shared" si="99"/>
        <v>9</v>
      </c>
      <c r="D3192" t="s">
        <v>227</v>
      </c>
      <c r="E3192" t="s">
        <v>32</v>
      </c>
      <c r="F3192" t="s">
        <v>28</v>
      </c>
      <c r="G3192" t="s">
        <v>64</v>
      </c>
      <c r="H3192" t="s">
        <v>719</v>
      </c>
      <c r="I3192" s="2">
        <v>30.38</v>
      </c>
      <c r="J3192" s="3">
        <v>1</v>
      </c>
      <c r="K3192" s="2">
        <v>3.8</v>
      </c>
    </row>
    <row r="3193" spans="1:11" x14ac:dyDescent="0.35">
      <c r="A3193" s="1">
        <v>42982</v>
      </c>
      <c r="B3193" s="3">
        <f t="shared" si="98"/>
        <v>2017</v>
      </c>
      <c r="C3193" s="3">
        <f t="shared" si="99"/>
        <v>9</v>
      </c>
      <c r="D3193" t="s">
        <v>1664</v>
      </c>
      <c r="E3193" t="s">
        <v>45</v>
      </c>
      <c r="F3193" t="s">
        <v>28</v>
      </c>
      <c r="G3193" t="s">
        <v>48</v>
      </c>
      <c r="H3193" t="s">
        <v>1133</v>
      </c>
      <c r="I3193" s="2">
        <v>11.81</v>
      </c>
      <c r="J3193" s="3">
        <v>3</v>
      </c>
      <c r="K3193" s="2">
        <v>4.13</v>
      </c>
    </row>
    <row r="3194" spans="1:11" x14ac:dyDescent="0.35">
      <c r="A3194" s="1">
        <v>42982</v>
      </c>
      <c r="B3194" s="3">
        <f t="shared" si="98"/>
        <v>2017</v>
      </c>
      <c r="C3194" s="3">
        <f t="shared" si="99"/>
        <v>9</v>
      </c>
      <c r="D3194" t="s">
        <v>2110</v>
      </c>
      <c r="E3194" t="s">
        <v>107</v>
      </c>
      <c r="F3194" t="s">
        <v>28</v>
      </c>
      <c r="G3194" t="s">
        <v>48</v>
      </c>
      <c r="H3194" t="s">
        <v>2240</v>
      </c>
      <c r="I3194" s="2">
        <v>88.07</v>
      </c>
      <c r="J3194" s="3">
        <v>7</v>
      </c>
      <c r="K3194" s="2">
        <v>-58.72</v>
      </c>
    </row>
    <row r="3195" spans="1:11" x14ac:dyDescent="0.35">
      <c r="A3195" s="1">
        <v>43012</v>
      </c>
      <c r="B3195" s="3">
        <f t="shared" si="98"/>
        <v>2017</v>
      </c>
      <c r="C3195" s="3">
        <f t="shared" si="99"/>
        <v>10</v>
      </c>
      <c r="D3195" t="s">
        <v>1558</v>
      </c>
      <c r="E3195" t="s">
        <v>249</v>
      </c>
      <c r="F3195" t="s">
        <v>18</v>
      </c>
      <c r="G3195" t="s">
        <v>36</v>
      </c>
      <c r="H3195" t="s">
        <v>1119</v>
      </c>
      <c r="I3195" s="2">
        <v>19.98</v>
      </c>
      <c r="J3195" s="3">
        <v>1</v>
      </c>
      <c r="K3195" s="2">
        <v>8.59</v>
      </c>
    </row>
    <row r="3196" spans="1:11" x14ac:dyDescent="0.35">
      <c r="A3196" s="1">
        <v>43043</v>
      </c>
      <c r="B3196" s="3">
        <f t="shared" si="98"/>
        <v>2017</v>
      </c>
      <c r="C3196" s="3">
        <f t="shared" si="99"/>
        <v>11</v>
      </c>
      <c r="D3196" t="s">
        <v>552</v>
      </c>
      <c r="E3196" t="s">
        <v>81</v>
      </c>
      <c r="F3196" t="s">
        <v>13</v>
      </c>
      <c r="G3196" t="s">
        <v>204</v>
      </c>
      <c r="H3196" t="s">
        <v>2241</v>
      </c>
      <c r="I3196" s="2">
        <v>7999.98</v>
      </c>
      <c r="J3196" s="3">
        <v>4</v>
      </c>
      <c r="K3196" s="2">
        <v>-3839.99</v>
      </c>
    </row>
    <row r="3197" spans="1:11" x14ac:dyDescent="0.35">
      <c r="A3197" s="1">
        <v>43043</v>
      </c>
      <c r="B3197" s="3">
        <f t="shared" si="98"/>
        <v>2017</v>
      </c>
      <c r="C3197" s="3">
        <f t="shared" si="99"/>
        <v>11</v>
      </c>
      <c r="D3197" t="s">
        <v>552</v>
      </c>
      <c r="E3197" t="s">
        <v>81</v>
      </c>
      <c r="F3197" t="s">
        <v>28</v>
      </c>
      <c r="G3197" t="s">
        <v>58</v>
      </c>
      <c r="H3197" t="s">
        <v>1667</v>
      </c>
      <c r="I3197" s="2">
        <v>167.44</v>
      </c>
      <c r="J3197" s="3">
        <v>2</v>
      </c>
      <c r="K3197" s="2">
        <v>14.65</v>
      </c>
    </row>
    <row r="3198" spans="1:11" x14ac:dyDescent="0.35">
      <c r="A3198" s="1">
        <v>43043</v>
      </c>
      <c r="B3198" s="3">
        <f t="shared" si="98"/>
        <v>2017</v>
      </c>
      <c r="C3198" s="3">
        <f t="shared" si="99"/>
        <v>11</v>
      </c>
      <c r="D3198" t="s">
        <v>1258</v>
      </c>
      <c r="E3198" t="s">
        <v>326</v>
      </c>
      <c r="F3198" t="s">
        <v>28</v>
      </c>
      <c r="G3198" t="s">
        <v>29</v>
      </c>
      <c r="H3198" t="s">
        <v>2242</v>
      </c>
      <c r="I3198" s="2">
        <v>9.66</v>
      </c>
      <c r="J3198" s="3">
        <v>2</v>
      </c>
      <c r="K3198" s="2">
        <v>3.26</v>
      </c>
    </row>
    <row r="3199" spans="1:11" x14ac:dyDescent="0.35">
      <c r="A3199" s="1">
        <v>43043</v>
      </c>
      <c r="B3199" s="3">
        <f t="shared" si="98"/>
        <v>2017</v>
      </c>
      <c r="C3199" s="3">
        <f t="shared" si="99"/>
        <v>11</v>
      </c>
      <c r="D3199" t="s">
        <v>418</v>
      </c>
      <c r="E3199" t="s">
        <v>32</v>
      </c>
      <c r="F3199" t="s">
        <v>28</v>
      </c>
      <c r="G3199" t="s">
        <v>46</v>
      </c>
      <c r="H3199" t="s">
        <v>793</v>
      </c>
      <c r="I3199" s="2">
        <v>23.68</v>
      </c>
      <c r="J3199" s="3">
        <v>2</v>
      </c>
      <c r="K3199" s="2">
        <v>8.8800000000000008</v>
      </c>
    </row>
    <row r="3200" spans="1:11" x14ac:dyDescent="0.35">
      <c r="A3200" s="1">
        <v>43043</v>
      </c>
      <c r="B3200" s="3">
        <f t="shared" si="98"/>
        <v>2017</v>
      </c>
      <c r="C3200" s="3">
        <f t="shared" si="99"/>
        <v>11</v>
      </c>
      <c r="D3200" t="s">
        <v>1898</v>
      </c>
      <c r="E3200" t="s">
        <v>81</v>
      </c>
      <c r="F3200" t="s">
        <v>18</v>
      </c>
      <c r="G3200" t="s">
        <v>42</v>
      </c>
      <c r="H3200" t="s">
        <v>980</v>
      </c>
      <c r="I3200" s="2">
        <v>523.76</v>
      </c>
      <c r="J3200" s="3">
        <v>3</v>
      </c>
      <c r="K3200" s="2">
        <v>-192.05</v>
      </c>
    </row>
    <row r="3201" spans="1:11" x14ac:dyDescent="0.35">
      <c r="A3201" s="1">
        <v>43043</v>
      </c>
      <c r="B3201" s="3">
        <f t="shared" si="98"/>
        <v>2017</v>
      </c>
      <c r="C3201" s="3">
        <f t="shared" si="99"/>
        <v>11</v>
      </c>
      <c r="D3201" t="s">
        <v>1898</v>
      </c>
      <c r="E3201" t="s">
        <v>81</v>
      </c>
      <c r="F3201" t="s">
        <v>13</v>
      </c>
      <c r="G3201" t="s">
        <v>23</v>
      </c>
      <c r="H3201" t="s">
        <v>2243</v>
      </c>
      <c r="I3201" s="2">
        <v>1359.96</v>
      </c>
      <c r="J3201" s="3">
        <v>5</v>
      </c>
      <c r="K3201" s="2">
        <v>119</v>
      </c>
    </row>
    <row r="3202" spans="1:11" x14ac:dyDescent="0.35">
      <c r="A3202" s="1">
        <v>43043</v>
      </c>
      <c r="B3202" s="3">
        <f t="shared" ref="B3202:B3265" si="100">YEAR(A3202)</f>
        <v>2017</v>
      </c>
      <c r="C3202" s="3">
        <f t="shared" ref="C3202:C3265" si="101">MONTH(A3202)</f>
        <v>11</v>
      </c>
      <c r="D3202" t="s">
        <v>1909</v>
      </c>
      <c r="E3202" t="s">
        <v>326</v>
      </c>
      <c r="F3202" t="s">
        <v>13</v>
      </c>
      <c r="G3202" t="s">
        <v>14</v>
      </c>
      <c r="H3202" t="s">
        <v>762</v>
      </c>
      <c r="I3202" s="2">
        <v>95.98</v>
      </c>
      <c r="J3202" s="3">
        <v>3</v>
      </c>
      <c r="K3202" s="2">
        <v>15.6</v>
      </c>
    </row>
    <row r="3203" spans="1:11" x14ac:dyDescent="0.35">
      <c r="A3203" s="1">
        <v>43043</v>
      </c>
      <c r="B3203" s="3">
        <f t="shared" si="100"/>
        <v>2017</v>
      </c>
      <c r="C3203" s="3">
        <f t="shared" si="101"/>
        <v>11</v>
      </c>
      <c r="D3203" t="s">
        <v>1909</v>
      </c>
      <c r="E3203" t="s">
        <v>326</v>
      </c>
      <c r="F3203" t="s">
        <v>13</v>
      </c>
      <c r="G3203" t="s">
        <v>23</v>
      </c>
      <c r="H3203" t="s">
        <v>2244</v>
      </c>
      <c r="I3203" s="2">
        <v>143.93</v>
      </c>
      <c r="J3203" s="3">
        <v>9</v>
      </c>
      <c r="K3203" s="2">
        <v>-32.380000000000003</v>
      </c>
    </row>
    <row r="3204" spans="1:11" x14ac:dyDescent="0.35">
      <c r="A3204" s="1">
        <v>43043</v>
      </c>
      <c r="B3204" s="3">
        <f t="shared" si="100"/>
        <v>2017</v>
      </c>
      <c r="C3204" s="3">
        <f t="shared" si="101"/>
        <v>11</v>
      </c>
      <c r="D3204" t="s">
        <v>1909</v>
      </c>
      <c r="E3204" t="s">
        <v>326</v>
      </c>
      <c r="F3204" t="s">
        <v>28</v>
      </c>
      <c r="G3204" t="s">
        <v>48</v>
      </c>
      <c r="H3204" t="s">
        <v>454</v>
      </c>
      <c r="I3204" s="2">
        <v>3.56</v>
      </c>
      <c r="J3204" s="3">
        <v>2</v>
      </c>
      <c r="K3204" s="2">
        <v>-2.97</v>
      </c>
    </row>
    <row r="3205" spans="1:11" x14ac:dyDescent="0.35">
      <c r="A3205" s="1">
        <v>43043</v>
      </c>
      <c r="B3205" s="3">
        <f t="shared" si="100"/>
        <v>2017</v>
      </c>
      <c r="C3205" s="3">
        <f t="shared" si="101"/>
        <v>11</v>
      </c>
      <c r="D3205" t="s">
        <v>1909</v>
      </c>
      <c r="E3205" t="s">
        <v>326</v>
      </c>
      <c r="F3205" t="s">
        <v>28</v>
      </c>
      <c r="G3205" t="s">
        <v>46</v>
      </c>
      <c r="H3205" t="s">
        <v>278</v>
      </c>
      <c r="I3205" s="2">
        <v>4.93</v>
      </c>
      <c r="J3205" s="3">
        <v>2</v>
      </c>
      <c r="K3205" s="2">
        <v>1.72</v>
      </c>
    </row>
    <row r="3206" spans="1:11" x14ac:dyDescent="0.35">
      <c r="A3206" s="1">
        <v>43043</v>
      </c>
      <c r="B3206" s="3">
        <f t="shared" si="100"/>
        <v>2017</v>
      </c>
      <c r="C3206" s="3">
        <f t="shared" si="101"/>
        <v>11</v>
      </c>
      <c r="D3206" t="s">
        <v>1360</v>
      </c>
      <c r="E3206" t="s">
        <v>32</v>
      </c>
      <c r="F3206" t="s">
        <v>28</v>
      </c>
      <c r="G3206" t="s">
        <v>48</v>
      </c>
      <c r="H3206" t="s">
        <v>1565</v>
      </c>
      <c r="I3206" s="2">
        <v>7.54</v>
      </c>
      <c r="J3206" s="3">
        <v>6</v>
      </c>
      <c r="K3206" s="2">
        <v>-13.19</v>
      </c>
    </row>
    <row r="3207" spans="1:11" x14ac:dyDescent="0.35">
      <c r="A3207" s="1">
        <v>43043</v>
      </c>
      <c r="B3207" s="3">
        <f t="shared" si="100"/>
        <v>2017</v>
      </c>
      <c r="C3207" s="3">
        <f t="shared" si="101"/>
        <v>11</v>
      </c>
      <c r="D3207" t="s">
        <v>1360</v>
      </c>
      <c r="E3207" t="s">
        <v>32</v>
      </c>
      <c r="F3207" t="s">
        <v>28</v>
      </c>
      <c r="G3207" t="s">
        <v>48</v>
      </c>
      <c r="H3207" t="s">
        <v>984</v>
      </c>
      <c r="I3207" s="2">
        <v>1.41</v>
      </c>
      <c r="J3207" s="3">
        <v>2</v>
      </c>
      <c r="K3207" s="2">
        <v>-2.3199999999999998</v>
      </c>
    </row>
    <row r="3208" spans="1:11" x14ac:dyDescent="0.35">
      <c r="A3208" s="1">
        <v>43043</v>
      </c>
      <c r="B3208" s="3">
        <f t="shared" si="100"/>
        <v>2017</v>
      </c>
      <c r="C3208" s="3">
        <f t="shared" si="101"/>
        <v>11</v>
      </c>
      <c r="D3208" t="s">
        <v>1360</v>
      </c>
      <c r="E3208" t="s">
        <v>32</v>
      </c>
      <c r="F3208" t="s">
        <v>28</v>
      </c>
      <c r="G3208" t="s">
        <v>48</v>
      </c>
      <c r="H3208" t="s">
        <v>1006</v>
      </c>
      <c r="I3208" s="2">
        <v>4.1399999999999997</v>
      </c>
      <c r="J3208" s="3">
        <v>4</v>
      </c>
      <c r="K3208" s="2">
        <v>-6.42</v>
      </c>
    </row>
    <row r="3209" spans="1:11" x14ac:dyDescent="0.35">
      <c r="A3209" s="1">
        <v>43043</v>
      </c>
      <c r="B3209" s="3">
        <f t="shared" si="100"/>
        <v>2017</v>
      </c>
      <c r="C3209" s="3">
        <f t="shared" si="101"/>
        <v>11</v>
      </c>
      <c r="D3209" t="s">
        <v>1360</v>
      </c>
      <c r="E3209" t="s">
        <v>32</v>
      </c>
      <c r="F3209" t="s">
        <v>28</v>
      </c>
      <c r="G3209" t="s">
        <v>38</v>
      </c>
      <c r="H3209" t="s">
        <v>585</v>
      </c>
      <c r="I3209" s="2">
        <v>52.75</v>
      </c>
      <c r="J3209" s="3">
        <v>3</v>
      </c>
      <c r="K3209" s="2">
        <v>-12.53</v>
      </c>
    </row>
    <row r="3210" spans="1:11" x14ac:dyDescent="0.35">
      <c r="A3210" s="1">
        <v>43043</v>
      </c>
      <c r="B3210" s="3">
        <f t="shared" si="100"/>
        <v>2017</v>
      </c>
      <c r="C3210" s="3">
        <f t="shared" si="101"/>
        <v>11</v>
      </c>
      <c r="D3210" t="s">
        <v>1462</v>
      </c>
      <c r="E3210" t="s">
        <v>131</v>
      </c>
      <c r="F3210" t="s">
        <v>13</v>
      </c>
      <c r="G3210" t="s">
        <v>14</v>
      </c>
      <c r="H3210" t="s">
        <v>1069</v>
      </c>
      <c r="I3210" s="2">
        <v>70.72</v>
      </c>
      <c r="J3210" s="3">
        <v>4</v>
      </c>
      <c r="K3210" s="2">
        <v>-6.19</v>
      </c>
    </row>
    <row r="3211" spans="1:11" x14ac:dyDescent="0.35">
      <c r="A3211" s="1">
        <v>43043</v>
      </c>
      <c r="B3211" s="3">
        <f t="shared" si="100"/>
        <v>2017</v>
      </c>
      <c r="C3211" s="3">
        <f t="shared" si="101"/>
        <v>11</v>
      </c>
      <c r="D3211" t="s">
        <v>1462</v>
      </c>
      <c r="E3211" t="s">
        <v>131</v>
      </c>
      <c r="F3211" t="s">
        <v>28</v>
      </c>
      <c r="G3211" t="s">
        <v>38</v>
      </c>
      <c r="H3211" t="s">
        <v>598</v>
      </c>
      <c r="I3211" s="2">
        <v>194.35</v>
      </c>
      <c r="J3211" s="3">
        <v>3</v>
      </c>
      <c r="K3211" s="2">
        <v>-43.73</v>
      </c>
    </row>
    <row r="3212" spans="1:11" x14ac:dyDescent="0.35">
      <c r="A3212" s="1">
        <v>43043</v>
      </c>
      <c r="B3212" s="3">
        <f t="shared" si="100"/>
        <v>2017</v>
      </c>
      <c r="C3212" s="3">
        <f t="shared" si="101"/>
        <v>11</v>
      </c>
      <c r="D3212" t="s">
        <v>1345</v>
      </c>
      <c r="E3212" t="s">
        <v>67</v>
      </c>
      <c r="F3212" t="s">
        <v>28</v>
      </c>
      <c r="G3212" t="s">
        <v>64</v>
      </c>
      <c r="H3212" t="s">
        <v>1439</v>
      </c>
      <c r="I3212" s="2">
        <v>4.3</v>
      </c>
      <c r="J3212" s="3">
        <v>2</v>
      </c>
      <c r="K3212" s="2">
        <v>1.42</v>
      </c>
    </row>
    <row r="3213" spans="1:11" x14ac:dyDescent="0.35">
      <c r="A3213" s="1">
        <v>43073</v>
      </c>
      <c r="B3213" s="3">
        <f t="shared" si="100"/>
        <v>2017</v>
      </c>
      <c r="C3213" s="3">
        <f t="shared" si="101"/>
        <v>12</v>
      </c>
      <c r="D3213" t="s">
        <v>2245</v>
      </c>
      <c r="E3213" t="s">
        <v>89</v>
      </c>
      <c r="F3213" t="s">
        <v>28</v>
      </c>
      <c r="G3213" t="s">
        <v>48</v>
      </c>
      <c r="H3213" t="s">
        <v>454</v>
      </c>
      <c r="I3213" s="2">
        <v>5.35</v>
      </c>
      <c r="J3213" s="3">
        <v>3</v>
      </c>
      <c r="K3213" s="2">
        <v>-4.46</v>
      </c>
    </row>
    <row r="3214" spans="1:11" x14ac:dyDescent="0.35">
      <c r="A3214" s="1">
        <v>43073</v>
      </c>
      <c r="B3214" s="3">
        <f t="shared" si="100"/>
        <v>2017</v>
      </c>
      <c r="C3214" s="3">
        <f t="shared" si="101"/>
        <v>12</v>
      </c>
      <c r="D3214" t="s">
        <v>2076</v>
      </c>
      <c r="E3214" t="s">
        <v>89</v>
      </c>
      <c r="F3214" t="s">
        <v>18</v>
      </c>
      <c r="G3214" t="s">
        <v>19</v>
      </c>
      <c r="H3214" t="s">
        <v>983</v>
      </c>
      <c r="I3214" s="2">
        <v>188.55</v>
      </c>
      <c r="J3214" s="3">
        <v>7</v>
      </c>
      <c r="K3214" s="2">
        <v>-2.69</v>
      </c>
    </row>
    <row r="3215" spans="1:11" x14ac:dyDescent="0.35">
      <c r="A3215" s="1">
        <v>43073</v>
      </c>
      <c r="B3215" s="3">
        <f t="shared" si="100"/>
        <v>2017</v>
      </c>
      <c r="C3215" s="3">
        <f t="shared" si="101"/>
        <v>12</v>
      </c>
      <c r="D3215" t="s">
        <v>1250</v>
      </c>
      <c r="E3215" t="s">
        <v>89</v>
      </c>
      <c r="F3215" t="s">
        <v>18</v>
      </c>
      <c r="G3215" t="s">
        <v>19</v>
      </c>
      <c r="H3215" t="s">
        <v>1559</v>
      </c>
      <c r="I3215" s="2">
        <v>239.96</v>
      </c>
      <c r="J3215" s="3">
        <v>10</v>
      </c>
      <c r="K3215" s="2">
        <v>-10.28</v>
      </c>
    </row>
    <row r="3216" spans="1:11" x14ac:dyDescent="0.35">
      <c r="A3216" s="1">
        <v>43073</v>
      </c>
      <c r="B3216" s="3">
        <f t="shared" si="100"/>
        <v>2017</v>
      </c>
      <c r="C3216" s="3">
        <f t="shared" si="101"/>
        <v>12</v>
      </c>
      <c r="D3216" t="s">
        <v>1250</v>
      </c>
      <c r="E3216" t="s">
        <v>89</v>
      </c>
      <c r="F3216" t="s">
        <v>18</v>
      </c>
      <c r="G3216" t="s">
        <v>36</v>
      </c>
      <c r="H3216" t="s">
        <v>1162</v>
      </c>
      <c r="I3216" s="2">
        <v>54.77</v>
      </c>
      <c r="J3216" s="3">
        <v>2</v>
      </c>
      <c r="K3216" s="2">
        <v>6.85</v>
      </c>
    </row>
    <row r="3217" spans="1:11" x14ac:dyDescent="0.35">
      <c r="A3217" s="1">
        <v>43073</v>
      </c>
      <c r="B3217" s="3">
        <f t="shared" si="100"/>
        <v>2017</v>
      </c>
      <c r="C3217" s="3">
        <f t="shared" si="101"/>
        <v>12</v>
      </c>
      <c r="D3217" t="s">
        <v>1250</v>
      </c>
      <c r="E3217" t="s">
        <v>89</v>
      </c>
      <c r="F3217" t="s">
        <v>28</v>
      </c>
      <c r="G3217" t="s">
        <v>64</v>
      </c>
      <c r="H3217" t="s">
        <v>188</v>
      </c>
      <c r="I3217" s="2">
        <v>13.39</v>
      </c>
      <c r="J3217" s="3">
        <v>3</v>
      </c>
      <c r="K3217" s="2">
        <v>3.18</v>
      </c>
    </row>
    <row r="3218" spans="1:11" x14ac:dyDescent="0.35">
      <c r="A3218" s="1">
        <v>43073</v>
      </c>
      <c r="B3218" s="3">
        <f t="shared" si="100"/>
        <v>2017</v>
      </c>
      <c r="C3218" s="3">
        <f t="shared" si="101"/>
        <v>12</v>
      </c>
      <c r="D3218" t="s">
        <v>1250</v>
      </c>
      <c r="E3218" t="s">
        <v>89</v>
      </c>
      <c r="F3218" t="s">
        <v>28</v>
      </c>
      <c r="G3218" t="s">
        <v>29</v>
      </c>
      <c r="H3218" t="s">
        <v>2246</v>
      </c>
      <c r="I3218" s="2">
        <v>23.92</v>
      </c>
      <c r="J3218" s="3">
        <v>5</v>
      </c>
      <c r="K3218" s="2">
        <v>8.67</v>
      </c>
    </row>
    <row r="3219" spans="1:11" x14ac:dyDescent="0.35">
      <c r="A3219" s="1">
        <v>43073</v>
      </c>
      <c r="B3219" s="3">
        <f t="shared" si="100"/>
        <v>2017</v>
      </c>
      <c r="C3219" s="3">
        <f t="shared" si="101"/>
        <v>12</v>
      </c>
      <c r="D3219" t="s">
        <v>1250</v>
      </c>
      <c r="E3219" t="s">
        <v>89</v>
      </c>
      <c r="F3219" t="s">
        <v>13</v>
      </c>
      <c r="G3219" t="s">
        <v>14</v>
      </c>
      <c r="H3219" t="s">
        <v>2135</v>
      </c>
      <c r="I3219" s="2">
        <v>255.97</v>
      </c>
      <c r="J3219" s="3">
        <v>4</v>
      </c>
      <c r="K3219" s="2">
        <v>-28.8</v>
      </c>
    </row>
    <row r="3220" spans="1:11" x14ac:dyDescent="0.35">
      <c r="A3220" s="1">
        <v>43073</v>
      </c>
      <c r="B3220" s="3">
        <f t="shared" si="100"/>
        <v>2017</v>
      </c>
      <c r="C3220" s="3">
        <f t="shared" si="101"/>
        <v>12</v>
      </c>
      <c r="D3220" t="s">
        <v>1297</v>
      </c>
      <c r="E3220" t="s">
        <v>26</v>
      </c>
      <c r="F3220" t="s">
        <v>28</v>
      </c>
      <c r="G3220" t="s">
        <v>38</v>
      </c>
      <c r="H3220" t="s">
        <v>307</v>
      </c>
      <c r="I3220" s="2">
        <v>61.57</v>
      </c>
      <c r="J3220" s="3">
        <v>2</v>
      </c>
      <c r="K3220" s="2">
        <v>4.62</v>
      </c>
    </row>
    <row r="3221" spans="1:11" x14ac:dyDescent="0.35">
      <c r="A3221" s="1">
        <v>43073</v>
      </c>
      <c r="B3221" s="3">
        <f t="shared" si="100"/>
        <v>2017</v>
      </c>
      <c r="C3221" s="3">
        <f t="shared" si="101"/>
        <v>12</v>
      </c>
      <c r="D3221" t="s">
        <v>1873</v>
      </c>
      <c r="E3221" t="s">
        <v>55</v>
      </c>
      <c r="F3221" t="s">
        <v>28</v>
      </c>
      <c r="G3221" t="s">
        <v>64</v>
      </c>
      <c r="H3221" t="s">
        <v>1307</v>
      </c>
      <c r="I3221" s="2">
        <v>8.8000000000000007</v>
      </c>
      <c r="J3221" s="3">
        <v>5</v>
      </c>
      <c r="K3221" s="2">
        <v>2.5499999999999998</v>
      </c>
    </row>
    <row r="3222" spans="1:11" x14ac:dyDescent="0.35">
      <c r="A3222" s="1">
        <v>43073</v>
      </c>
      <c r="B3222" s="3">
        <f t="shared" si="100"/>
        <v>2017</v>
      </c>
      <c r="C3222" s="3">
        <f t="shared" si="101"/>
        <v>12</v>
      </c>
      <c r="D3222" t="s">
        <v>1873</v>
      </c>
      <c r="E3222" t="s">
        <v>55</v>
      </c>
      <c r="F3222" t="s">
        <v>13</v>
      </c>
      <c r="G3222" t="s">
        <v>14</v>
      </c>
      <c r="H3222" t="s">
        <v>2247</v>
      </c>
      <c r="I3222" s="2">
        <v>142.80000000000001</v>
      </c>
      <c r="J3222" s="3">
        <v>1</v>
      </c>
      <c r="K3222" s="2">
        <v>29.99</v>
      </c>
    </row>
    <row r="3223" spans="1:11" x14ac:dyDescent="0.35">
      <c r="A3223" s="1">
        <v>43073</v>
      </c>
      <c r="B3223" s="3">
        <f t="shared" si="100"/>
        <v>2017</v>
      </c>
      <c r="C3223" s="3">
        <f t="shared" si="101"/>
        <v>12</v>
      </c>
      <c r="D3223" t="s">
        <v>1873</v>
      </c>
      <c r="E3223" t="s">
        <v>55</v>
      </c>
      <c r="F3223" t="s">
        <v>13</v>
      </c>
      <c r="G3223" t="s">
        <v>14</v>
      </c>
      <c r="H3223" t="s">
        <v>2248</v>
      </c>
      <c r="I3223" s="2">
        <v>399.95</v>
      </c>
      <c r="J3223" s="3">
        <v>5</v>
      </c>
      <c r="K3223" s="2">
        <v>143.97999999999999</v>
      </c>
    </row>
    <row r="3224" spans="1:11" x14ac:dyDescent="0.35">
      <c r="A3224" s="1">
        <v>43073</v>
      </c>
      <c r="B3224" s="3">
        <f t="shared" si="100"/>
        <v>2017</v>
      </c>
      <c r="C3224" s="3">
        <f t="shared" si="101"/>
        <v>12</v>
      </c>
      <c r="D3224" t="s">
        <v>687</v>
      </c>
      <c r="E3224" t="s">
        <v>326</v>
      </c>
      <c r="F3224" t="s">
        <v>13</v>
      </c>
      <c r="G3224" t="s">
        <v>204</v>
      </c>
      <c r="H3224" t="s">
        <v>1701</v>
      </c>
      <c r="I3224" s="2">
        <v>649</v>
      </c>
      <c r="J3224" s="3">
        <v>2</v>
      </c>
      <c r="K3224" s="2">
        <v>-272.58</v>
      </c>
    </row>
    <row r="3225" spans="1:11" x14ac:dyDescent="0.35">
      <c r="A3225" s="1">
        <v>43073</v>
      </c>
      <c r="B3225" s="3">
        <f t="shared" si="100"/>
        <v>2017</v>
      </c>
      <c r="C3225" s="3">
        <f t="shared" si="101"/>
        <v>12</v>
      </c>
      <c r="D3225" t="s">
        <v>91</v>
      </c>
      <c r="E3225" t="s">
        <v>131</v>
      </c>
      <c r="F3225" t="s">
        <v>28</v>
      </c>
      <c r="G3225" t="s">
        <v>29</v>
      </c>
      <c r="H3225" t="s">
        <v>2065</v>
      </c>
      <c r="I3225" s="2">
        <v>74.349999999999994</v>
      </c>
      <c r="J3225" s="3">
        <v>3</v>
      </c>
      <c r="K3225" s="2">
        <v>23.24</v>
      </c>
    </row>
    <row r="3226" spans="1:11" x14ac:dyDescent="0.35">
      <c r="A3226" s="1">
        <v>43073</v>
      </c>
      <c r="B3226" s="3">
        <f t="shared" si="100"/>
        <v>2017</v>
      </c>
      <c r="C3226" s="3">
        <f t="shared" si="101"/>
        <v>12</v>
      </c>
      <c r="D3226" t="s">
        <v>594</v>
      </c>
      <c r="E3226" t="s">
        <v>45</v>
      </c>
      <c r="F3226" t="s">
        <v>28</v>
      </c>
      <c r="G3226" t="s">
        <v>29</v>
      </c>
      <c r="H3226" t="s">
        <v>212</v>
      </c>
      <c r="I3226" s="2">
        <v>11.76</v>
      </c>
      <c r="J3226" s="3">
        <v>2</v>
      </c>
      <c r="K3226" s="2">
        <v>5.76</v>
      </c>
    </row>
    <row r="3227" spans="1:11" x14ac:dyDescent="0.35">
      <c r="A3227" s="1">
        <v>43073</v>
      </c>
      <c r="B3227" s="3">
        <f t="shared" si="100"/>
        <v>2017</v>
      </c>
      <c r="C3227" s="3">
        <f t="shared" si="101"/>
        <v>12</v>
      </c>
      <c r="D3227" t="s">
        <v>1398</v>
      </c>
      <c r="E3227" t="s">
        <v>62</v>
      </c>
      <c r="F3227" t="s">
        <v>18</v>
      </c>
      <c r="G3227" t="s">
        <v>36</v>
      </c>
      <c r="H3227" t="s">
        <v>2249</v>
      </c>
      <c r="I3227" s="2">
        <v>12.99</v>
      </c>
      <c r="J3227" s="3">
        <v>1</v>
      </c>
      <c r="K3227" s="2">
        <v>1.56</v>
      </c>
    </row>
    <row r="3228" spans="1:11" x14ac:dyDescent="0.35">
      <c r="A3228" s="1">
        <v>43073</v>
      </c>
      <c r="B3228" s="3">
        <f t="shared" si="100"/>
        <v>2017</v>
      </c>
      <c r="C3228" s="3">
        <f t="shared" si="101"/>
        <v>12</v>
      </c>
      <c r="D3228" t="s">
        <v>1398</v>
      </c>
      <c r="E3228" t="s">
        <v>62</v>
      </c>
      <c r="F3228" t="s">
        <v>18</v>
      </c>
      <c r="G3228" t="s">
        <v>19</v>
      </c>
      <c r="H3228" t="s">
        <v>473</v>
      </c>
      <c r="I3228" s="2">
        <v>182.22</v>
      </c>
      <c r="J3228" s="3">
        <v>3</v>
      </c>
      <c r="K3228" s="2">
        <v>45.56</v>
      </c>
    </row>
    <row r="3229" spans="1:11" x14ac:dyDescent="0.35">
      <c r="A3229" s="1">
        <v>43073</v>
      </c>
      <c r="B3229" s="3">
        <f t="shared" si="100"/>
        <v>2017</v>
      </c>
      <c r="C3229" s="3">
        <f t="shared" si="101"/>
        <v>12</v>
      </c>
      <c r="D3229" t="s">
        <v>1398</v>
      </c>
      <c r="E3229" t="s">
        <v>62</v>
      </c>
      <c r="F3229" t="s">
        <v>18</v>
      </c>
      <c r="G3229" t="s">
        <v>19</v>
      </c>
      <c r="H3229" t="s">
        <v>1344</v>
      </c>
      <c r="I3229" s="2">
        <v>302.94</v>
      </c>
      <c r="J3229" s="3">
        <v>3</v>
      </c>
      <c r="K3229" s="2">
        <v>18.18</v>
      </c>
    </row>
    <row r="3230" spans="1:11" x14ac:dyDescent="0.35">
      <c r="A3230" s="1">
        <v>43073</v>
      </c>
      <c r="B3230" s="3">
        <f t="shared" si="100"/>
        <v>2017</v>
      </c>
      <c r="C3230" s="3">
        <f t="shared" si="101"/>
        <v>12</v>
      </c>
      <c r="D3230" t="s">
        <v>274</v>
      </c>
      <c r="E3230" t="s">
        <v>89</v>
      </c>
      <c r="F3230" t="s">
        <v>18</v>
      </c>
      <c r="G3230" t="s">
        <v>36</v>
      </c>
      <c r="H3230" t="s">
        <v>544</v>
      </c>
      <c r="I3230" s="2">
        <v>11.35</v>
      </c>
      <c r="J3230" s="3">
        <v>3</v>
      </c>
      <c r="K3230" s="2">
        <v>2.7</v>
      </c>
    </row>
    <row r="3231" spans="1:11" x14ac:dyDescent="0.35">
      <c r="A3231" s="1">
        <v>42771</v>
      </c>
      <c r="B3231" s="3">
        <f t="shared" si="100"/>
        <v>2017</v>
      </c>
      <c r="C3231" s="3">
        <f t="shared" si="101"/>
        <v>2</v>
      </c>
      <c r="D3231" t="s">
        <v>2250</v>
      </c>
      <c r="E3231" t="s">
        <v>32</v>
      </c>
      <c r="F3231" t="s">
        <v>28</v>
      </c>
      <c r="G3231" t="s">
        <v>48</v>
      </c>
      <c r="H3231" t="s">
        <v>525</v>
      </c>
      <c r="I3231" s="2">
        <v>243.99</v>
      </c>
      <c r="J3231" s="3">
        <v>4</v>
      </c>
      <c r="K3231" s="2">
        <v>-426.99</v>
      </c>
    </row>
    <row r="3232" spans="1:11" x14ac:dyDescent="0.35">
      <c r="A3232" s="1">
        <v>42771</v>
      </c>
      <c r="B3232" s="3">
        <f t="shared" si="100"/>
        <v>2017</v>
      </c>
      <c r="C3232" s="3">
        <f t="shared" si="101"/>
        <v>2</v>
      </c>
      <c r="D3232" t="s">
        <v>2250</v>
      </c>
      <c r="E3232" t="s">
        <v>32</v>
      </c>
      <c r="F3232" t="s">
        <v>28</v>
      </c>
      <c r="G3232" t="s">
        <v>64</v>
      </c>
      <c r="H3232" t="s">
        <v>1542</v>
      </c>
      <c r="I3232" s="2">
        <v>7.12</v>
      </c>
      <c r="J3232" s="3">
        <v>5</v>
      </c>
      <c r="K3232" s="2">
        <v>0.71</v>
      </c>
    </row>
    <row r="3233" spans="1:11" x14ac:dyDescent="0.35">
      <c r="A3233" s="1">
        <v>42771</v>
      </c>
      <c r="B3233" s="3">
        <f t="shared" si="100"/>
        <v>2017</v>
      </c>
      <c r="C3233" s="3">
        <f t="shared" si="101"/>
        <v>2</v>
      </c>
      <c r="D3233" t="s">
        <v>856</v>
      </c>
      <c r="E3233" t="s">
        <v>45</v>
      </c>
      <c r="F3233" t="s">
        <v>28</v>
      </c>
      <c r="G3233" t="s">
        <v>58</v>
      </c>
      <c r="H3233" t="s">
        <v>2251</v>
      </c>
      <c r="I3233" s="2">
        <v>1640.7</v>
      </c>
      <c r="J3233" s="3">
        <v>5</v>
      </c>
      <c r="K3233" s="2">
        <v>459.4</v>
      </c>
    </row>
    <row r="3234" spans="1:11" x14ac:dyDescent="0.35">
      <c r="A3234" s="1">
        <v>42771</v>
      </c>
      <c r="B3234" s="3">
        <f t="shared" si="100"/>
        <v>2017</v>
      </c>
      <c r="C3234" s="3">
        <f t="shared" si="101"/>
        <v>2</v>
      </c>
      <c r="D3234" t="s">
        <v>856</v>
      </c>
      <c r="E3234" t="s">
        <v>45</v>
      </c>
      <c r="F3234" t="s">
        <v>13</v>
      </c>
      <c r="G3234" t="s">
        <v>23</v>
      </c>
      <c r="H3234" t="s">
        <v>955</v>
      </c>
      <c r="I3234" s="2">
        <v>371.2</v>
      </c>
      <c r="J3234" s="3">
        <v>5</v>
      </c>
      <c r="K3234" s="2">
        <v>41.76</v>
      </c>
    </row>
    <row r="3235" spans="1:11" x14ac:dyDescent="0.35">
      <c r="A3235" s="1">
        <v>42799</v>
      </c>
      <c r="B3235" s="3">
        <f t="shared" si="100"/>
        <v>2017</v>
      </c>
      <c r="C3235" s="3">
        <f t="shared" si="101"/>
        <v>3</v>
      </c>
      <c r="D3235" t="s">
        <v>945</v>
      </c>
      <c r="E3235" t="s">
        <v>12</v>
      </c>
      <c r="F3235" t="s">
        <v>28</v>
      </c>
      <c r="G3235" t="s">
        <v>46</v>
      </c>
      <c r="H3235" t="s">
        <v>2252</v>
      </c>
      <c r="I3235" s="2">
        <v>25.06</v>
      </c>
      <c r="J3235" s="3">
        <v>2</v>
      </c>
      <c r="K3235" s="2">
        <v>11.78</v>
      </c>
    </row>
    <row r="3236" spans="1:11" x14ac:dyDescent="0.35">
      <c r="A3236" s="1">
        <v>42799</v>
      </c>
      <c r="B3236" s="3">
        <f t="shared" si="100"/>
        <v>2017</v>
      </c>
      <c r="C3236" s="3">
        <f t="shared" si="101"/>
        <v>3</v>
      </c>
      <c r="D3236" t="s">
        <v>2253</v>
      </c>
      <c r="E3236" t="s">
        <v>55</v>
      </c>
      <c r="F3236" t="s">
        <v>28</v>
      </c>
      <c r="G3236" t="s">
        <v>33</v>
      </c>
      <c r="H3236" t="s">
        <v>1479</v>
      </c>
      <c r="I3236" s="2">
        <v>7.9</v>
      </c>
      <c r="J3236" s="3">
        <v>2</v>
      </c>
      <c r="K3236" s="2">
        <v>2.5299999999999998</v>
      </c>
    </row>
    <row r="3237" spans="1:11" x14ac:dyDescent="0.35">
      <c r="A3237" s="1">
        <v>42799</v>
      </c>
      <c r="B3237" s="3">
        <f t="shared" si="100"/>
        <v>2017</v>
      </c>
      <c r="C3237" s="3">
        <f t="shared" si="101"/>
        <v>3</v>
      </c>
      <c r="D3237" t="s">
        <v>2253</v>
      </c>
      <c r="E3237" t="s">
        <v>55</v>
      </c>
      <c r="F3237" t="s">
        <v>28</v>
      </c>
      <c r="G3237" t="s">
        <v>38</v>
      </c>
      <c r="H3237" t="s">
        <v>288</v>
      </c>
      <c r="I3237" s="2">
        <v>221.16</v>
      </c>
      <c r="J3237" s="3">
        <v>4</v>
      </c>
      <c r="K3237" s="2">
        <v>57.5</v>
      </c>
    </row>
    <row r="3238" spans="1:11" x14ac:dyDescent="0.35">
      <c r="A3238" s="1">
        <v>42799</v>
      </c>
      <c r="B3238" s="3">
        <f t="shared" si="100"/>
        <v>2017</v>
      </c>
      <c r="C3238" s="3">
        <f t="shared" si="101"/>
        <v>3</v>
      </c>
      <c r="D3238" t="s">
        <v>2253</v>
      </c>
      <c r="E3238" t="s">
        <v>55</v>
      </c>
      <c r="F3238" t="s">
        <v>28</v>
      </c>
      <c r="G3238" t="s">
        <v>48</v>
      </c>
      <c r="H3238" t="s">
        <v>707</v>
      </c>
      <c r="I3238" s="2">
        <v>127.96</v>
      </c>
      <c r="J3238" s="3">
        <v>2</v>
      </c>
      <c r="K3238" s="2">
        <v>62.7</v>
      </c>
    </row>
    <row r="3239" spans="1:11" x14ac:dyDescent="0.35">
      <c r="A3239" s="1">
        <v>42799</v>
      </c>
      <c r="B3239" s="3">
        <f t="shared" si="100"/>
        <v>2017</v>
      </c>
      <c r="C3239" s="3">
        <f t="shared" si="101"/>
        <v>3</v>
      </c>
      <c r="D3239" t="s">
        <v>2253</v>
      </c>
      <c r="E3239" t="s">
        <v>55</v>
      </c>
      <c r="F3239" t="s">
        <v>28</v>
      </c>
      <c r="G3239" t="s">
        <v>48</v>
      </c>
      <c r="H3239" t="s">
        <v>792</v>
      </c>
      <c r="I3239" s="2">
        <v>18.690000000000001</v>
      </c>
      <c r="J3239" s="3">
        <v>3</v>
      </c>
      <c r="K3239" s="2">
        <v>9.16</v>
      </c>
    </row>
    <row r="3240" spans="1:11" x14ac:dyDescent="0.35">
      <c r="A3240" s="1">
        <v>42799</v>
      </c>
      <c r="B3240" s="3">
        <f t="shared" si="100"/>
        <v>2017</v>
      </c>
      <c r="C3240" s="3">
        <f t="shared" si="101"/>
        <v>3</v>
      </c>
      <c r="D3240" t="s">
        <v>1097</v>
      </c>
      <c r="E3240" t="s">
        <v>456</v>
      </c>
      <c r="F3240" t="s">
        <v>28</v>
      </c>
      <c r="G3240" t="s">
        <v>158</v>
      </c>
      <c r="H3240" t="s">
        <v>1802</v>
      </c>
      <c r="I3240" s="2">
        <v>42.68</v>
      </c>
      <c r="J3240" s="3">
        <v>4</v>
      </c>
      <c r="K3240" s="2">
        <v>19.63</v>
      </c>
    </row>
    <row r="3241" spans="1:11" x14ac:dyDescent="0.35">
      <c r="A3241" s="1">
        <v>42799</v>
      </c>
      <c r="B3241" s="3">
        <f t="shared" si="100"/>
        <v>2017</v>
      </c>
      <c r="C3241" s="3">
        <f t="shared" si="101"/>
        <v>3</v>
      </c>
      <c r="D3241" t="s">
        <v>1097</v>
      </c>
      <c r="E3241" t="s">
        <v>456</v>
      </c>
      <c r="F3241" t="s">
        <v>13</v>
      </c>
      <c r="G3241" t="s">
        <v>14</v>
      </c>
      <c r="H3241" t="s">
        <v>568</v>
      </c>
      <c r="I3241" s="2">
        <v>299.97000000000003</v>
      </c>
      <c r="J3241" s="3">
        <v>3</v>
      </c>
      <c r="K3241" s="2">
        <v>125.99</v>
      </c>
    </row>
    <row r="3242" spans="1:11" x14ac:dyDescent="0.35">
      <c r="A3242" s="1">
        <v>42799</v>
      </c>
      <c r="B3242" s="3">
        <f t="shared" si="100"/>
        <v>2017</v>
      </c>
      <c r="C3242" s="3">
        <f t="shared" si="101"/>
        <v>3</v>
      </c>
      <c r="D3242" t="s">
        <v>1097</v>
      </c>
      <c r="E3242" t="s">
        <v>456</v>
      </c>
      <c r="F3242" t="s">
        <v>28</v>
      </c>
      <c r="G3242" t="s">
        <v>58</v>
      </c>
      <c r="H3242" t="s">
        <v>2254</v>
      </c>
      <c r="I3242" s="2">
        <v>262.24</v>
      </c>
      <c r="J3242" s="3">
        <v>2</v>
      </c>
      <c r="K3242" s="2">
        <v>78.67</v>
      </c>
    </row>
    <row r="3243" spans="1:11" x14ac:dyDescent="0.35">
      <c r="A3243" s="1">
        <v>42799</v>
      </c>
      <c r="B3243" s="3">
        <f t="shared" si="100"/>
        <v>2017</v>
      </c>
      <c r="C3243" s="3">
        <f t="shared" si="101"/>
        <v>3</v>
      </c>
      <c r="D3243" t="s">
        <v>1097</v>
      </c>
      <c r="E3243" t="s">
        <v>456</v>
      </c>
      <c r="F3243" t="s">
        <v>28</v>
      </c>
      <c r="G3243" t="s">
        <v>48</v>
      </c>
      <c r="H3243" t="s">
        <v>1172</v>
      </c>
      <c r="I3243" s="2">
        <v>234.36</v>
      </c>
      <c r="J3243" s="3">
        <v>6</v>
      </c>
      <c r="K3243" s="2">
        <v>112.49</v>
      </c>
    </row>
    <row r="3244" spans="1:11" x14ac:dyDescent="0.35">
      <c r="A3244" s="1">
        <v>42860</v>
      </c>
      <c r="B3244" s="3">
        <f t="shared" si="100"/>
        <v>2017</v>
      </c>
      <c r="C3244" s="3">
        <f t="shared" si="101"/>
        <v>5</v>
      </c>
      <c r="D3244" t="s">
        <v>1128</v>
      </c>
      <c r="E3244" t="s">
        <v>45</v>
      </c>
      <c r="F3244" t="s">
        <v>28</v>
      </c>
      <c r="G3244" t="s">
        <v>158</v>
      </c>
      <c r="H3244" t="s">
        <v>2255</v>
      </c>
      <c r="I3244" s="2">
        <v>23.16</v>
      </c>
      <c r="J3244" s="3">
        <v>2</v>
      </c>
      <c r="K3244" s="2">
        <v>11.58</v>
      </c>
    </row>
    <row r="3245" spans="1:11" x14ac:dyDescent="0.35">
      <c r="A3245" s="1">
        <v>42860</v>
      </c>
      <c r="B3245" s="3">
        <f t="shared" si="100"/>
        <v>2017</v>
      </c>
      <c r="C3245" s="3">
        <f t="shared" si="101"/>
        <v>5</v>
      </c>
      <c r="D3245" t="s">
        <v>706</v>
      </c>
      <c r="E3245" t="s">
        <v>103</v>
      </c>
      <c r="F3245" t="s">
        <v>28</v>
      </c>
      <c r="G3245" t="s">
        <v>158</v>
      </c>
      <c r="H3245" t="s">
        <v>1335</v>
      </c>
      <c r="I3245" s="2">
        <v>21.24</v>
      </c>
      <c r="J3245" s="3">
        <v>9</v>
      </c>
      <c r="K3245" s="2">
        <v>7.43</v>
      </c>
    </row>
    <row r="3246" spans="1:11" x14ac:dyDescent="0.35">
      <c r="A3246" s="1">
        <v>42860</v>
      </c>
      <c r="B3246" s="3">
        <f t="shared" si="100"/>
        <v>2017</v>
      </c>
      <c r="C3246" s="3">
        <f t="shared" si="101"/>
        <v>5</v>
      </c>
      <c r="D3246" t="s">
        <v>706</v>
      </c>
      <c r="E3246" t="s">
        <v>103</v>
      </c>
      <c r="F3246" t="s">
        <v>28</v>
      </c>
      <c r="G3246" t="s">
        <v>48</v>
      </c>
      <c r="H3246" t="s">
        <v>1189</v>
      </c>
      <c r="I3246" s="2">
        <v>9.5500000000000007</v>
      </c>
      <c r="J3246" s="3">
        <v>8</v>
      </c>
      <c r="K3246" s="2">
        <v>-7.32</v>
      </c>
    </row>
    <row r="3247" spans="1:11" x14ac:dyDescent="0.35">
      <c r="A3247" s="1">
        <v>42860</v>
      </c>
      <c r="B3247" s="3">
        <f t="shared" si="100"/>
        <v>2017</v>
      </c>
      <c r="C3247" s="3">
        <f t="shared" si="101"/>
        <v>5</v>
      </c>
      <c r="D3247" t="s">
        <v>706</v>
      </c>
      <c r="E3247" t="s">
        <v>103</v>
      </c>
      <c r="F3247" t="s">
        <v>18</v>
      </c>
      <c r="G3247" t="s">
        <v>237</v>
      </c>
      <c r="H3247" t="s">
        <v>834</v>
      </c>
      <c r="I3247" s="2">
        <v>89.99</v>
      </c>
      <c r="J3247" s="3">
        <v>3</v>
      </c>
      <c r="K3247" s="2">
        <v>-152.97999999999999</v>
      </c>
    </row>
    <row r="3248" spans="1:11" x14ac:dyDescent="0.35">
      <c r="A3248" s="1">
        <v>42860</v>
      </c>
      <c r="B3248" s="3">
        <f t="shared" si="100"/>
        <v>2017</v>
      </c>
      <c r="C3248" s="3">
        <f t="shared" si="101"/>
        <v>5</v>
      </c>
      <c r="D3248" t="s">
        <v>1460</v>
      </c>
      <c r="E3248" t="s">
        <v>165</v>
      </c>
      <c r="F3248" t="s">
        <v>28</v>
      </c>
      <c r="G3248" t="s">
        <v>48</v>
      </c>
      <c r="H3248" t="s">
        <v>584</v>
      </c>
      <c r="I3248" s="2">
        <v>34.5</v>
      </c>
      <c r="J3248" s="3">
        <v>3</v>
      </c>
      <c r="K3248" s="2">
        <v>15.53</v>
      </c>
    </row>
    <row r="3249" spans="1:11" x14ac:dyDescent="0.35">
      <c r="A3249" s="1">
        <v>42860</v>
      </c>
      <c r="B3249" s="3">
        <f t="shared" si="100"/>
        <v>2017</v>
      </c>
      <c r="C3249" s="3">
        <f t="shared" si="101"/>
        <v>5</v>
      </c>
      <c r="D3249" t="s">
        <v>830</v>
      </c>
      <c r="E3249" t="s">
        <v>22</v>
      </c>
      <c r="F3249" t="s">
        <v>28</v>
      </c>
      <c r="G3249" t="s">
        <v>29</v>
      </c>
      <c r="H3249" t="s">
        <v>1946</v>
      </c>
      <c r="I3249" s="2">
        <v>6.68</v>
      </c>
      <c r="J3249" s="3">
        <v>1</v>
      </c>
      <c r="K3249" s="2">
        <v>3.21</v>
      </c>
    </row>
    <row r="3250" spans="1:11" x14ac:dyDescent="0.35">
      <c r="A3250" s="1">
        <v>42891</v>
      </c>
      <c r="B3250" s="3">
        <f t="shared" si="100"/>
        <v>2017</v>
      </c>
      <c r="C3250" s="3">
        <f t="shared" si="101"/>
        <v>6</v>
      </c>
      <c r="D3250" t="s">
        <v>1400</v>
      </c>
      <c r="E3250" t="s">
        <v>32</v>
      </c>
      <c r="F3250" t="s">
        <v>13</v>
      </c>
      <c r="G3250" t="s">
        <v>23</v>
      </c>
      <c r="H3250" t="s">
        <v>1357</v>
      </c>
      <c r="I3250" s="2">
        <v>470.38</v>
      </c>
      <c r="J3250" s="3">
        <v>3</v>
      </c>
      <c r="K3250" s="2">
        <v>52.92</v>
      </c>
    </row>
    <row r="3251" spans="1:11" x14ac:dyDescent="0.35">
      <c r="A3251" s="1">
        <v>42891</v>
      </c>
      <c r="B3251" s="3">
        <f t="shared" si="100"/>
        <v>2017</v>
      </c>
      <c r="C3251" s="3">
        <f t="shared" si="101"/>
        <v>6</v>
      </c>
      <c r="D3251" t="s">
        <v>1368</v>
      </c>
      <c r="E3251" t="s">
        <v>77</v>
      </c>
      <c r="F3251" t="s">
        <v>28</v>
      </c>
      <c r="G3251" t="s">
        <v>29</v>
      </c>
      <c r="H3251" t="s">
        <v>2015</v>
      </c>
      <c r="I3251" s="2">
        <v>20.74</v>
      </c>
      <c r="J3251" s="3">
        <v>4</v>
      </c>
      <c r="K3251" s="2">
        <v>7.26</v>
      </c>
    </row>
    <row r="3252" spans="1:11" x14ac:dyDescent="0.35">
      <c r="A3252" s="1">
        <v>42921</v>
      </c>
      <c r="B3252" s="3">
        <f t="shared" si="100"/>
        <v>2017</v>
      </c>
      <c r="C3252" s="3">
        <f t="shared" si="101"/>
        <v>7</v>
      </c>
      <c r="D3252" t="s">
        <v>2256</v>
      </c>
      <c r="E3252" t="s">
        <v>32</v>
      </c>
      <c r="F3252" t="s">
        <v>18</v>
      </c>
      <c r="G3252" t="s">
        <v>36</v>
      </c>
      <c r="H3252" t="s">
        <v>1685</v>
      </c>
      <c r="I3252" s="2">
        <v>332.03</v>
      </c>
      <c r="J3252" s="3">
        <v>9</v>
      </c>
      <c r="K3252" s="2">
        <v>-348.63</v>
      </c>
    </row>
    <row r="3253" spans="1:11" x14ac:dyDescent="0.35">
      <c r="A3253" s="1">
        <v>42921</v>
      </c>
      <c r="B3253" s="3">
        <f t="shared" si="100"/>
        <v>2017</v>
      </c>
      <c r="C3253" s="3">
        <f t="shared" si="101"/>
        <v>7</v>
      </c>
      <c r="D3253" t="s">
        <v>2256</v>
      </c>
      <c r="E3253" t="s">
        <v>32</v>
      </c>
      <c r="F3253" t="s">
        <v>28</v>
      </c>
      <c r="G3253" t="s">
        <v>48</v>
      </c>
      <c r="H3253" t="s">
        <v>266</v>
      </c>
      <c r="I3253" s="2">
        <v>11.39</v>
      </c>
      <c r="J3253" s="3">
        <v>9</v>
      </c>
      <c r="K3253" s="2">
        <v>-17.66</v>
      </c>
    </row>
    <row r="3254" spans="1:11" x14ac:dyDescent="0.35">
      <c r="A3254" s="1">
        <v>42921</v>
      </c>
      <c r="B3254" s="3">
        <f t="shared" si="100"/>
        <v>2017</v>
      </c>
      <c r="C3254" s="3">
        <f t="shared" si="101"/>
        <v>7</v>
      </c>
      <c r="D3254" t="s">
        <v>2256</v>
      </c>
      <c r="E3254" t="s">
        <v>32</v>
      </c>
      <c r="F3254" t="s">
        <v>28</v>
      </c>
      <c r="G3254" t="s">
        <v>29</v>
      </c>
      <c r="H3254" t="s">
        <v>2084</v>
      </c>
      <c r="I3254" s="2">
        <v>15.55</v>
      </c>
      <c r="J3254" s="3">
        <v>3</v>
      </c>
      <c r="K3254" s="2">
        <v>5.64</v>
      </c>
    </row>
    <row r="3255" spans="1:11" x14ac:dyDescent="0.35">
      <c r="A3255" s="1">
        <v>42921</v>
      </c>
      <c r="B3255" s="3">
        <f t="shared" si="100"/>
        <v>2017</v>
      </c>
      <c r="C3255" s="3">
        <f t="shared" si="101"/>
        <v>7</v>
      </c>
      <c r="D3255" t="s">
        <v>2256</v>
      </c>
      <c r="E3255" t="s">
        <v>32</v>
      </c>
      <c r="F3255" t="s">
        <v>28</v>
      </c>
      <c r="G3255" t="s">
        <v>29</v>
      </c>
      <c r="H3255" t="s">
        <v>366</v>
      </c>
      <c r="I3255" s="2">
        <v>31.1</v>
      </c>
      <c r="J3255" s="3">
        <v>6</v>
      </c>
      <c r="K3255" s="2">
        <v>11.28</v>
      </c>
    </row>
    <row r="3256" spans="1:11" x14ac:dyDescent="0.35">
      <c r="A3256" s="1">
        <v>42921</v>
      </c>
      <c r="B3256" s="3">
        <f t="shared" si="100"/>
        <v>2017</v>
      </c>
      <c r="C3256" s="3">
        <f t="shared" si="101"/>
        <v>7</v>
      </c>
      <c r="D3256" t="s">
        <v>2256</v>
      </c>
      <c r="E3256" t="s">
        <v>32</v>
      </c>
      <c r="F3256" t="s">
        <v>28</v>
      </c>
      <c r="G3256" t="s">
        <v>48</v>
      </c>
      <c r="H3256" t="s">
        <v>1574</v>
      </c>
      <c r="I3256" s="2">
        <v>6.32</v>
      </c>
      <c r="J3256" s="3">
        <v>1</v>
      </c>
      <c r="K3256" s="2">
        <v>-10.42</v>
      </c>
    </row>
    <row r="3257" spans="1:11" x14ac:dyDescent="0.35">
      <c r="A3257" s="1">
        <v>42921</v>
      </c>
      <c r="B3257" s="3">
        <f t="shared" si="100"/>
        <v>2017</v>
      </c>
      <c r="C3257" s="3">
        <f t="shared" si="101"/>
        <v>7</v>
      </c>
      <c r="D3257" t="s">
        <v>1354</v>
      </c>
      <c r="E3257" t="s">
        <v>334</v>
      </c>
      <c r="F3257" t="s">
        <v>13</v>
      </c>
      <c r="G3257" t="s">
        <v>23</v>
      </c>
      <c r="H3257" t="s">
        <v>1666</v>
      </c>
      <c r="I3257" s="2">
        <v>79.959999999999994</v>
      </c>
      <c r="J3257" s="3">
        <v>4</v>
      </c>
      <c r="K3257" s="2">
        <v>22.39</v>
      </c>
    </row>
    <row r="3258" spans="1:11" x14ac:dyDescent="0.35">
      <c r="A3258" s="1">
        <v>42952</v>
      </c>
      <c r="B3258" s="3">
        <f t="shared" si="100"/>
        <v>2017</v>
      </c>
      <c r="C3258" s="3">
        <f t="shared" si="101"/>
        <v>8</v>
      </c>
      <c r="D3258" t="s">
        <v>1164</v>
      </c>
      <c r="E3258" t="s">
        <v>118</v>
      </c>
      <c r="F3258" t="s">
        <v>28</v>
      </c>
      <c r="G3258" t="s">
        <v>29</v>
      </c>
      <c r="H3258" t="s">
        <v>1546</v>
      </c>
      <c r="I3258" s="2">
        <v>13.76</v>
      </c>
      <c r="J3258" s="3">
        <v>2</v>
      </c>
      <c r="K3258" s="2">
        <v>6.33</v>
      </c>
    </row>
    <row r="3259" spans="1:11" x14ac:dyDescent="0.35">
      <c r="A3259" s="1">
        <v>42952</v>
      </c>
      <c r="B3259" s="3">
        <f t="shared" si="100"/>
        <v>2017</v>
      </c>
      <c r="C3259" s="3">
        <f t="shared" si="101"/>
        <v>8</v>
      </c>
      <c r="D3259" t="s">
        <v>189</v>
      </c>
      <c r="E3259" t="s">
        <v>32</v>
      </c>
      <c r="F3259" t="s">
        <v>28</v>
      </c>
      <c r="G3259" t="s">
        <v>38</v>
      </c>
      <c r="H3259" t="s">
        <v>2257</v>
      </c>
      <c r="I3259" s="2">
        <v>151.06</v>
      </c>
      <c r="J3259" s="3">
        <v>9</v>
      </c>
      <c r="K3259" s="2">
        <v>7.55</v>
      </c>
    </row>
    <row r="3260" spans="1:11" x14ac:dyDescent="0.35">
      <c r="A3260" s="1">
        <v>42952</v>
      </c>
      <c r="B3260" s="3">
        <f t="shared" si="100"/>
        <v>2017</v>
      </c>
      <c r="C3260" s="3">
        <f t="shared" si="101"/>
        <v>8</v>
      </c>
      <c r="D3260" t="s">
        <v>2258</v>
      </c>
      <c r="E3260" t="s">
        <v>575</v>
      </c>
      <c r="F3260" t="s">
        <v>28</v>
      </c>
      <c r="G3260" t="s">
        <v>48</v>
      </c>
      <c r="H3260" t="s">
        <v>1860</v>
      </c>
      <c r="I3260" s="2">
        <v>125.88</v>
      </c>
      <c r="J3260" s="3">
        <v>6</v>
      </c>
      <c r="K3260" s="2">
        <v>60.42</v>
      </c>
    </row>
    <row r="3261" spans="1:11" x14ac:dyDescent="0.35">
      <c r="A3261" s="1">
        <v>42952</v>
      </c>
      <c r="B3261" s="3">
        <f t="shared" si="100"/>
        <v>2017</v>
      </c>
      <c r="C3261" s="3">
        <f t="shared" si="101"/>
        <v>8</v>
      </c>
      <c r="D3261" t="s">
        <v>2258</v>
      </c>
      <c r="E3261" t="s">
        <v>575</v>
      </c>
      <c r="F3261" t="s">
        <v>13</v>
      </c>
      <c r="G3261" t="s">
        <v>14</v>
      </c>
      <c r="H3261" t="s">
        <v>1707</v>
      </c>
      <c r="I3261" s="2">
        <v>79.78</v>
      </c>
      <c r="J3261" s="3">
        <v>2</v>
      </c>
      <c r="K3261" s="2">
        <v>29.52</v>
      </c>
    </row>
    <row r="3262" spans="1:11" x14ac:dyDescent="0.35">
      <c r="A3262" s="1">
        <v>42952</v>
      </c>
      <c r="B3262" s="3">
        <f t="shared" si="100"/>
        <v>2017</v>
      </c>
      <c r="C3262" s="3">
        <f t="shared" si="101"/>
        <v>8</v>
      </c>
      <c r="D3262" t="s">
        <v>2258</v>
      </c>
      <c r="E3262" t="s">
        <v>575</v>
      </c>
      <c r="F3262" t="s">
        <v>28</v>
      </c>
      <c r="G3262" t="s">
        <v>46</v>
      </c>
      <c r="H3262" t="s">
        <v>122</v>
      </c>
      <c r="I3262" s="2">
        <v>133.19999999999999</v>
      </c>
      <c r="J3262" s="3">
        <v>9</v>
      </c>
      <c r="K3262" s="2">
        <v>66.599999999999994</v>
      </c>
    </row>
    <row r="3263" spans="1:11" x14ac:dyDescent="0.35">
      <c r="A3263" s="1">
        <v>42983</v>
      </c>
      <c r="B3263" s="3">
        <f t="shared" si="100"/>
        <v>2017</v>
      </c>
      <c r="C3263" s="3">
        <f t="shared" si="101"/>
        <v>9</v>
      </c>
      <c r="D3263" t="s">
        <v>1131</v>
      </c>
      <c r="E3263" t="s">
        <v>17</v>
      </c>
      <c r="F3263" t="s">
        <v>28</v>
      </c>
      <c r="G3263" t="s">
        <v>64</v>
      </c>
      <c r="H3263" t="s">
        <v>1322</v>
      </c>
      <c r="I3263" s="2">
        <v>2.78</v>
      </c>
      <c r="J3263" s="3">
        <v>1</v>
      </c>
      <c r="K3263" s="2">
        <v>0.72</v>
      </c>
    </row>
    <row r="3264" spans="1:11" x14ac:dyDescent="0.35">
      <c r="A3264" s="1">
        <v>42983</v>
      </c>
      <c r="B3264" s="3">
        <f t="shared" si="100"/>
        <v>2017</v>
      </c>
      <c r="C3264" s="3">
        <f t="shared" si="101"/>
        <v>9</v>
      </c>
      <c r="D3264" t="s">
        <v>1964</v>
      </c>
      <c r="E3264" t="s">
        <v>77</v>
      </c>
      <c r="F3264" t="s">
        <v>28</v>
      </c>
      <c r="G3264" t="s">
        <v>38</v>
      </c>
      <c r="H3264" t="s">
        <v>461</v>
      </c>
      <c r="I3264" s="2">
        <v>147.18</v>
      </c>
      <c r="J3264" s="3">
        <v>2</v>
      </c>
      <c r="K3264" s="2">
        <v>-29.44</v>
      </c>
    </row>
    <row r="3265" spans="1:11" x14ac:dyDescent="0.35">
      <c r="A3265" s="1">
        <v>42983</v>
      </c>
      <c r="B3265" s="3">
        <f t="shared" si="100"/>
        <v>2017</v>
      </c>
      <c r="C3265" s="3">
        <f t="shared" si="101"/>
        <v>9</v>
      </c>
      <c r="D3265" t="s">
        <v>1713</v>
      </c>
      <c r="E3265" t="s">
        <v>326</v>
      </c>
      <c r="F3265" t="s">
        <v>13</v>
      </c>
      <c r="G3265" t="s">
        <v>14</v>
      </c>
      <c r="H3265" t="s">
        <v>2108</v>
      </c>
      <c r="I3265" s="2">
        <v>89.57</v>
      </c>
      <c r="J3265" s="3">
        <v>4</v>
      </c>
      <c r="K3265" s="2">
        <v>-1.1200000000000001</v>
      </c>
    </row>
    <row r="3266" spans="1:11" x14ac:dyDescent="0.35">
      <c r="A3266" s="1">
        <v>42983</v>
      </c>
      <c r="B3266" s="3">
        <f t="shared" ref="B3266:B3329" si="102">YEAR(A3266)</f>
        <v>2017</v>
      </c>
      <c r="C3266" s="3">
        <f t="shared" ref="C3266:C3329" si="103">MONTH(A3266)</f>
        <v>9</v>
      </c>
      <c r="D3266" t="s">
        <v>1713</v>
      </c>
      <c r="E3266" t="s">
        <v>326</v>
      </c>
      <c r="F3266" t="s">
        <v>28</v>
      </c>
      <c r="G3266" t="s">
        <v>64</v>
      </c>
      <c r="H3266" t="s">
        <v>104</v>
      </c>
      <c r="I3266" s="2">
        <v>71.959999999999994</v>
      </c>
      <c r="J3266" s="3">
        <v>5</v>
      </c>
      <c r="K3266" s="2">
        <v>7.2</v>
      </c>
    </row>
    <row r="3267" spans="1:11" x14ac:dyDescent="0.35">
      <c r="A3267" s="1">
        <v>42983</v>
      </c>
      <c r="B3267" s="3">
        <f t="shared" si="102"/>
        <v>2017</v>
      </c>
      <c r="C3267" s="3">
        <f t="shared" si="103"/>
        <v>9</v>
      </c>
      <c r="D3267" t="s">
        <v>1713</v>
      </c>
      <c r="E3267" t="s">
        <v>326</v>
      </c>
      <c r="F3267" t="s">
        <v>28</v>
      </c>
      <c r="G3267" t="s">
        <v>29</v>
      </c>
      <c r="H3267" t="s">
        <v>1003</v>
      </c>
      <c r="I3267" s="2">
        <v>15.55</v>
      </c>
      <c r="J3267" s="3">
        <v>3</v>
      </c>
      <c r="K3267" s="2">
        <v>5.44</v>
      </c>
    </row>
    <row r="3268" spans="1:11" x14ac:dyDescent="0.35">
      <c r="A3268" s="1">
        <v>43013</v>
      </c>
      <c r="B3268" s="3">
        <f t="shared" si="102"/>
        <v>2017</v>
      </c>
      <c r="C3268" s="3">
        <f t="shared" si="103"/>
        <v>10</v>
      </c>
      <c r="D3268" t="s">
        <v>342</v>
      </c>
      <c r="E3268" t="s">
        <v>22</v>
      </c>
      <c r="F3268" t="s">
        <v>13</v>
      </c>
      <c r="G3268" t="s">
        <v>23</v>
      </c>
      <c r="H3268" t="s">
        <v>1977</v>
      </c>
      <c r="I3268" s="2">
        <v>160.93</v>
      </c>
      <c r="J3268" s="3">
        <v>7</v>
      </c>
      <c r="K3268" s="2">
        <v>3.22</v>
      </c>
    </row>
    <row r="3269" spans="1:11" x14ac:dyDescent="0.35">
      <c r="A3269" s="1">
        <v>43013</v>
      </c>
      <c r="B3269" s="3">
        <f t="shared" si="102"/>
        <v>2017</v>
      </c>
      <c r="C3269" s="3">
        <f t="shared" si="103"/>
        <v>10</v>
      </c>
      <c r="D3269" t="s">
        <v>342</v>
      </c>
      <c r="E3269" t="s">
        <v>22</v>
      </c>
      <c r="F3269" t="s">
        <v>28</v>
      </c>
      <c r="G3269" t="s">
        <v>48</v>
      </c>
      <c r="H3269" t="s">
        <v>1574</v>
      </c>
      <c r="I3269" s="2">
        <v>75.790000000000006</v>
      </c>
      <c r="J3269" s="3">
        <v>3</v>
      </c>
      <c r="K3269" s="2">
        <v>25.58</v>
      </c>
    </row>
    <row r="3270" spans="1:11" x14ac:dyDescent="0.35">
      <c r="A3270" s="1">
        <v>43013</v>
      </c>
      <c r="B3270" s="3">
        <f t="shared" si="102"/>
        <v>2017</v>
      </c>
      <c r="C3270" s="3">
        <f t="shared" si="103"/>
        <v>10</v>
      </c>
      <c r="D3270" t="s">
        <v>1352</v>
      </c>
      <c r="E3270" t="s">
        <v>45</v>
      </c>
      <c r="F3270" t="s">
        <v>28</v>
      </c>
      <c r="G3270" t="s">
        <v>48</v>
      </c>
      <c r="H3270" t="s">
        <v>1896</v>
      </c>
      <c r="I3270" s="2">
        <v>39.92</v>
      </c>
      <c r="J3270" s="3">
        <v>5</v>
      </c>
      <c r="K3270" s="2">
        <v>13.47</v>
      </c>
    </row>
    <row r="3271" spans="1:11" x14ac:dyDescent="0.35">
      <c r="A3271" s="1">
        <v>43013</v>
      </c>
      <c r="B3271" s="3">
        <f t="shared" si="102"/>
        <v>2017</v>
      </c>
      <c r="C3271" s="3">
        <f t="shared" si="103"/>
        <v>10</v>
      </c>
      <c r="D3271" t="s">
        <v>1352</v>
      </c>
      <c r="E3271" t="s">
        <v>45</v>
      </c>
      <c r="F3271" t="s">
        <v>28</v>
      </c>
      <c r="G3271" t="s">
        <v>29</v>
      </c>
      <c r="H3271" t="s">
        <v>1427</v>
      </c>
      <c r="I3271" s="2">
        <v>61.96</v>
      </c>
      <c r="J3271" s="3">
        <v>2</v>
      </c>
      <c r="K3271" s="2">
        <v>27.88</v>
      </c>
    </row>
    <row r="3272" spans="1:11" x14ac:dyDescent="0.35">
      <c r="A3272" s="1">
        <v>43013</v>
      </c>
      <c r="B3272" s="3">
        <f t="shared" si="102"/>
        <v>2017</v>
      </c>
      <c r="C3272" s="3">
        <f t="shared" si="103"/>
        <v>10</v>
      </c>
      <c r="D3272" t="s">
        <v>1352</v>
      </c>
      <c r="E3272" t="s">
        <v>45</v>
      </c>
      <c r="F3272" t="s">
        <v>28</v>
      </c>
      <c r="G3272" t="s">
        <v>48</v>
      </c>
      <c r="H3272" t="s">
        <v>792</v>
      </c>
      <c r="I3272" s="2">
        <v>19.940000000000001</v>
      </c>
      <c r="J3272" s="3">
        <v>4</v>
      </c>
      <c r="K3272" s="2">
        <v>7.23</v>
      </c>
    </row>
    <row r="3273" spans="1:11" x14ac:dyDescent="0.35">
      <c r="A3273" s="1">
        <v>43013</v>
      </c>
      <c r="B3273" s="3">
        <f t="shared" si="102"/>
        <v>2017</v>
      </c>
      <c r="C3273" s="3">
        <f t="shared" si="103"/>
        <v>10</v>
      </c>
      <c r="D3273" t="s">
        <v>1572</v>
      </c>
      <c r="E3273" t="s">
        <v>22</v>
      </c>
      <c r="F3273" t="s">
        <v>13</v>
      </c>
      <c r="G3273" t="s">
        <v>23</v>
      </c>
      <c r="H3273" t="s">
        <v>738</v>
      </c>
      <c r="I3273" s="2">
        <v>87.8</v>
      </c>
      <c r="J3273" s="3">
        <v>4</v>
      </c>
      <c r="K3273" s="2">
        <v>43.9</v>
      </c>
    </row>
    <row r="3274" spans="1:11" x14ac:dyDescent="0.35">
      <c r="A3274" s="1">
        <v>43013</v>
      </c>
      <c r="B3274" s="3">
        <f t="shared" si="102"/>
        <v>2017</v>
      </c>
      <c r="C3274" s="3">
        <f t="shared" si="103"/>
        <v>10</v>
      </c>
      <c r="D3274" t="s">
        <v>1572</v>
      </c>
      <c r="E3274" t="s">
        <v>22</v>
      </c>
      <c r="F3274" t="s">
        <v>18</v>
      </c>
      <c r="G3274" t="s">
        <v>19</v>
      </c>
      <c r="H3274" t="s">
        <v>303</v>
      </c>
      <c r="I3274" s="2">
        <v>221.38</v>
      </c>
      <c r="J3274" s="3">
        <v>2</v>
      </c>
      <c r="K3274" s="2">
        <v>2.46</v>
      </c>
    </row>
    <row r="3275" spans="1:11" x14ac:dyDescent="0.35">
      <c r="A3275" s="1">
        <v>43013</v>
      </c>
      <c r="B3275" s="3">
        <f t="shared" si="102"/>
        <v>2017</v>
      </c>
      <c r="C3275" s="3">
        <f t="shared" si="103"/>
        <v>10</v>
      </c>
      <c r="D3275" t="s">
        <v>1572</v>
      </c>
      <c r="E3275" t="s">
        <v>22</v>
      </c>
      <c r="F3275" t="s">
        <v>13</v>
      </c>
      <c r="G3275" t="s">
        <v>204</v>
      </c>
      <c r="H3275" t="s">
        <v>2259</v>
      </c>
      <c r="I3275" s="2">
        <v>5199.96</v>
      </c>
      <c r="J3275" s="3">
        <v>4</v>
      </c>
      <c r="K3275" s="2">
        <v>1351.99</v>
      </c>
    </row>
    <row r="3276" spans="1:11" x14ac:dyDescent="0.35">
      <c r="A3276" s="1">
        <v>43013</v>
      </c>
      <c r="B3276" s="3">
        <f t="shared" si="102"/>
        <v>2017</v>
      </c>
      <c r="C3276" s="3">
        <f t="shared" si="103"/>
        <v>10</v>
      </c>
      <c r="D3276" t="s">
        <v>284</v>
      </c>
      <c r="E3276" t="s">
        <v>103</v>
      </c>
      <c r="F3276" t="s">
        <v>13</v>
      </c>
      <c r="G3276" t="s">
        <v>14</v>
      </c>
      <c r="H3276" t="s">
        <v>1707</v>
      </c>
      <c r="I3276" s="2">
        <v>63.82</v>
      </c>
      <c r="J3276" s="3">
        <v>2</v>
      </c>
      <c r="K3276" s="2">
        <v>13.56</v>
      </c>
    </row>
    <row r="3277" spans="1:11" x14ac:dyDescent="0.35">
      <c r="A3277" s="1">
        <v>43013</v>
      </c>
      <c r="B3277" s="3">
        <f t="shared" si="102"/>
        <v>2017</v>
      </c>
      <c r="C3277" s="3">
        <f t="shared" si="103"/>
        <v>10</v>
      </c>
      <c r="D3277" t="s">
        <v>1268</v>
      </c>
      <c r="E3277" t="s">
        <v>45</v>
      </c>
      <c r="F3277" t="s">
        <v>18</v>
      </c>
      <c r="G3277" t="s">
        <v>19</v>
      </c>
      <c r="H3277" t="s">
        <v>1757</v>
      </c>
      <c r="I3277" s="2">
        <v>435.17</v>
      </c>
      <c r="J3277" s="3">
        <v>4</v>
      </c>
      <c r="K3277" s="2">
        <v>-59.84</v>
      </c>
    </row>
    <row r="3278" spans="1:11" x14ac:dyDescent="0.35">
      <c r="A3278" s="1">
        <v>43013</v>
      </c>
      <c r="B3278" s="3">
        <f t="shared" si="102"/>
        <v>2017</v>
      </c>
      <c r="C3278" s="3">
        <f t="shared" si="103"/>
        <v>10</v>
      </c>
      <c r="D3278" t="s">
        <v>1268</v>
      </c>
      <c r="E3278" t="s">
        <v>45</v>
      </c>
      <c r="F3278" t="s">
        <v>28</v>
      </c>
      <c r="G3278" t="s">
        <v>33</v>
      </c>
      <c r="H3278" t="s">
        <v>111</v>
      </c>
      <c r="I3278" s="2">
        <v>14.9</v>
      </c>
      <c r="J3278" s="3">
        <v>5</v>
      </c>
      <c r="K3278" s="2">
        <v>6.85</v>
      </c>
    </row>
    <row r="3279" spans="1:11" x14ac:dyDescent="0.35">
      <c r="A3279" s="1">
        <v>43013</v>
      </c>
      <c r="B3279" s="3">
        <f t="shared" si="102"/>
        <v>2017</v>
      </c>
      <c r="C3279" s="3">
        <f t="shared" si="103"/>
        <v>10</v>
      </c>
      <c r="D3279" t="s">
        <v>1268</v>
      </c>
      <c r="E3279" t="s">
        <v>45</v>
      </c>
      <c r="F3279" t="s">
        <v>28</v>
      </c>
      <c r="G3279" t="s">
        <v>58</v>
      </c>
      <c r="H3279" t="s">
        <v>2260</v>
      </c>
      <c r="I3279" s="2">
        <v>15.8</v>
      </c>
      <c r="J3279" s="3">
        <v>4</v>
      </c>
      <c r="K3279" s="2">
        <v>4.1100000000000003</v>
      </c>
    </row>
    <row r="3280" spans="1:11" x14ac:dyDescent="0.35">
      <c r="A3280" s="1">
        <v>43013</v>
      </c>
      <c r="B3280" s="3">
        <f t="shared" si="102"/>
        <v>2017</v>
      </c>
      <c r="C3280" s="3">
        <f t="shared" si="103"/>
        <v>10</v>
      </c>
      <c r="D3280" t="s">
        <v>1268</v>
      </c>
      <c r="E3280" t="s">
        <v>45</v>
      </c>
      <c r="F3280" t="s">
        <v>18</v>
      </c>
      <c r="G3280" t="s">
        <v>36</v>
      </c>
      <c r="H3280" t="s">
        <v>1562</v>
      </c>
      <c r="I3280" s="2">
        <v>72.900000000000006</v>
      </c>
      <c r="J3280" s="3">
        <v>5</v>
      </c>
      <c r="K3280" s="2">
        <v>26.97</v>
      </c>
    </row>
    <row r="3281" spans="1:11" x14ac:dyDescent="0.35">
      <c r="A3281" s="1">
        <v>43013</v>
      </c>
      <c r="B3281" s="3">
        <f t="shared" si="102"/>
        <v>2017</v>
      </c>
      <c r="C3281" s="3">
        <f t="shared" si="103"/>
        <v>10</v>
      </c>
      <c r="D3281" t="s">
        <v>1268</v>
      </c>
      <c r="E3281" t="s">
        <v>45</v>
      </c>
      <c r="F3281" t="s">
        <v>18</v>
      </c>
      <c r="G3281" t="s">
        <v>42</v>
      </c>
      <c r="H3281" t="s">
        <v>283</v>
      </c>
      <c r="I3281" s="2">
        <v>206.35</v>
      </c>
      <c r="J3281" s="3">
        <v>3</v>
      </c>
      <c r="K3281" s="2">
        <v>5.16</v>
      </c>
    </row>
    <row r="3282" spans="1:11" x14ac:dyDescent="0.35">
      <c r="A3282" s="1">
        <v>43013</v>
      </c>
      <c r="B3282" s="3">
        <f t="shared" si="102"/>
        <v>2017</v>
      </c>
      <c r="C3282" s="3">
        <f t="shared" si="103"/>
        <v>10</v>
      </c>
      <c r="D3282" t="s">
        <v>1268</v>
      </c>
      <c r="E3282" t="s">
        <v>45</v>
      </c>
      <c r="F3282" t="s">
        <v>13</v>
      </c>
      <c r="G3282" t="s">
        <v>23</v>
      </c>
      <c r="H3282" t="s">
        <v>2198</v>
      </c>
      <c r="I3282" s="2">
        <v>7.99</v>
      </c>
      <c r="J3282" s="3">
        <v>1</v>
      </c>
      <c r="K3282" s="2">
        <v>2.7</v>
      </c>
    </row>
    <row r="3283" spans="1:11" x14ac:dyDescent="0.35">
      <c r="A3283" s="1">
        <v>43044</v>
      </c>
      <c r="B3283" s="3">
        <f t="shared" si="102"/>
        <v>2017</v>
      </c>
      <c r="C3283" s="3">
        <f t="shared" si="103"/>
        <v>11</v>
      </c>
      <c r="D3283" t="s">
        <v>1999</v>
      </c>
      <c r="E3283" t="s">
        <v>211</v>
      </c>
      <c r="F3283" t="s">
        <v>28</v>
      </c>
      <c r="G3283" t="s">
        <v>48</v>
      </c>
      <c r="H3283" t="s">
        <v>1189</v>
      </c>
      <c r="I3283" s="2">
        <v>2.39</v>
      </c>
      <c r="J3283" s="3">
        <v>2</v>
      </c>
      <c r="K3283" s="2">
        <v>-1.83</v>
      </c>
    </row>
    <row r="3284" spans="1:11" x14ac:dyDescent="0.35">
      <c r="A3284" s="1">
        <v>43044</v>
      </c>
      <c r="B3284" s="3">
        <f t="shared" si="102"/>
        <v>2017</v>
      </c>
      <c r="C3284" s="3">
        <f t="shared" si="103"/>
        <v>11</v>
      </c>
      <c r="D3284" t="s">
        <v>1999</v>
      </c>
      <c r="E3284" t="s">
        <v>211</v>
      </c>
      <c r="F3284" t="s">
        <v>28</v>
      </c>
      <c r="G3284" t="s">
        <v>38</v>
      </c>
      <c r="H3284" t="s">
        <v>408</v>
      </c>
      <c r="I3284" s="2">
        <v>243.99</v>
      </c>
      <c r="J3284" s="3">
        <v>7</v>
      </c>
      <c r="K3284" s="2">
        <v>30.5</v>
      </c>
    </row>
    <row r="3285" spans="1:11" x14ac:dyDescent="0.35">
      <c r="A3285" s="1">
        <v>43044</v>
      </c>
      <c r="B3285" s="3">
        <f t="shared" si="102"/>
        <v>2017</v>
      </c>
      <c r="C3285" s="3">
        <f t="shared" si="103"/>
        <v>11</v>
      </c>
      <c r="D3285" t="s">
        <v>669</v>
      </c>
      <c r="E3285" t="s">
        <v>857</v>
      </c>
      <c r="F3285" t="s">
        <v>13</v>
      </c>
      <c r="G3285" t="s">
        <v>14</v>
      </c>
      <c r="H3285" t="s">
        <v>457</v>
      </c>
      <c r="I3285" s="2">
        <v>159.99</v>
      </c>
      <c r="J3285" s="3">
        <v>1</v>
      </c>
      <c r="K3285" s="2">
        <v>54.4</v>
      </c>
    </row>
    <row r="3286" spans="1:11" x14ac:dyDescent="0.35">
      <c r="A3286" s="1">
        <v>43044</v>
      </c>
      <c r="B3286" s="3">
        <f t="shared" si="102"/>
        <v>2017</v>
      </c>
      <c r="C3286" s="3">
        <f t="shared" si="103"/>
        <v>11</v>
      </c>
      <c r="D3286" t="s">
        <v>2179</v>
      </c>
      <c r="E3286" t="s">
        <v>22</v>
      </c>
      <c r="F3286" t="s">
        <v>13</v>
      </c>
      <c r="G3286" t="s">
        <v>14</v>
      </c>
      <c r="H3286" t="s">
        <v>15</v>
      </c>
      <c r="I3286" s="2">
        <v>390.75</v>
      </c>
      <c r="J3286" s="3">
        <v>5</v>
      </c>
      <c r="K3286" s="2">
        <v>171.93</v>
      </c>
    </row>
    <row r="3287" spans="1:11" x14ac:dyDescent="0.35">
      <c r="A3287" s="1">
        <v>43044</v>
      </c>
      <c r="B3287" s="3">
        <f t="shared" si="102"/>
        <v>2017</v>
      </c>
      <c r="C3287" s="3">
        <f t="shared" si="103"/>
        <v>11</v>
      </c>
      <c r="D3287" t="s">
        <v>1262</v>
      </c>
      <c r="E3287" t="s">
        <v>26</v>
      </c>
      <c r="F3287" t="s">
        <v>28</v>
      </c>
      <c r="G3287" t="s">
        <v>48</v>
      </c>
      <c r="H3287" t="s">
        <v>637</v>
      </c>
      <c r="I3287" s="2">
        <v>16.03</v>
      </c>
      <c r="J3287" s="3">
        <v>5</v>
      </c>
      <c r="K3287" s="2">
        <v>-25.65</v>
      </c>
    </row>
    <row r="3288" spans="1:11" x14ac:dyDescent="0.35">
      <c r="A3288" s="1">
        <v>43044</v>
      </c>
      <c r="B3288" s="3">
        <f t="shared" si="102"/>
        <v>2017</v>
      </c>
      <c r="C3288" s="3">
        <f t="shared" si="103"/>
        <v>11</v>
      </c>
      <c r="D3288" t="s">
        <v>254</v>
      </c>
      <c r="E3288" t="s">
        <v>32</v>
      </c>
      <c r="F3288" t="s">
        <v>13</v>
      </c>
      <c r="G3288" t="s">
        <v>23</v>
      </c>
      <c r="H3288" t="s">
        <v>1418</v>
      </c>
      <c r="I3288" s="2">
        <v>492.77</v>
      </c>
      <c r="J3288" s="3">
        <v>4</v>
      </c>
      <c r="K3288" s="2">
        <v>55.44</v>
      </c>
    </row>
    <row r="3289" spans="1:11" x14ac:dyDescent="0.35">
      <c r="A3289" s="1">
        <v>43044</v>
      </c>
      <c r="B3289" s="3">
        <f t="shared" si="102"/>
        <v>2017</v>
      </c>
      <c r="C3289" s="3">
        <f t="shared" si="103"/>
        <v>11</v>
      </c>
      <c r="D3289" t="s">
        <v>150</v>
      </c>
      <c r="E3289" t="s">
        <v>45</v>
      </c>
      <c r="F3289" t="s">
        <v>28</v>
      </c>
      <c r="G3289" t="s">
        <v>29</v>
      </c>
      <c r="H3289" t="s">
        <v>2030</v>
      </c>
      <c r="I3289" s="2">
        <v>12.96</v>
      </c>
      <c r="J3289" s="3">
        <v>2</v>
      </c>
      <c r="K3289" s="2">
        <v>6.22</v>
      </c>
    </row>
    <row r="3290" spans="1:11" x14ac:dyDescent="0.35">
      <c r="A3290" s="1">
        <v>43044</v>
      </c>
      <c r="B3290" s="3">
        <f t="shared" si="102"/>
        <v>2017</v>
      </c>
      <c r="C3290" s="3">
        <f t="shared" si="103"/>
        <v>11</v>
      </c>
      <c r="D3290" t="s">
        <v>2261</v>
      </c>
      <c r="E3290" t="s">
        <v>22</v>
      </c>
      <c r="F3290" t="s">
        <v>28</v>
      </c>
      <c r="G3290" t="s">
        <v>48</v>
      </c>
      <c r="H3290" t="s">
        <v>1217</v>
      </c>
      <c r="I3290" s="2">
        <v>164.69</v>
      </c>
      <c r="J3290" s="3">
        <v>6</v>
      </c>
      <c r="K3290" s="2">
        <v>55.58</v>
      </c>
    </row>
    <row r="3291" spans="1:11" x14ac:dyDescent="0.35">
      <c r="A3291" s="1">
        <v>43044</v>
      </c>
      <c r="B3291" s="3">
        <f t="shared" si="102"/>
        <v>2017</v>
      </c>
      <c r="C3291" s="3">
        <f t="shared" si="103"/>
        <v>11</v>
      </c>
      <c r="D3291" t="s">
        <v>2261</v>
      </c>
      <c r="E3291" t="s">
        <v>22</v>
      </c>
      <c r="F3291" t="s">
        <v>18</v>
      </c>
      <c r="G3291" t="s">
        <v>42</v>
      </c>
      <c r="H3291" t="s">
        <v>616</v>
      </c>
      <c r="I3291" s="2">
        <v>166.5</v>
      </c>
      <c r="J3291" s="3">
        <v>2</v>
      </c>
      <c r="K3291" s="2">
        <v>-66.599999999999994</v>
      </c>
    </row>
    <row r="3292" spans="1:11" x14ac:dyDescent="0.35">
      <c r="A3292" s="1">
        <v>43044</v>
      </c>
      <c r="B3292" s="3">
        <f t="shared" si="102"/>
        <v>2017</v>
      </c>
      <c r="C3292" s="3">
        <f t="shared" si="103"/>
        <v>11</v>
      </c>
      <c r="D3292" t="s">
        <v>2261</v>
      </c>
      <c r="E3292" t="s">
        <v>22</v>
      </c>
      <c r="F3292" t="s">
        <v>28</v>
      </c>
      <c r="G3292" t="s">
        <v>29</v>
      </c>
      <c r="H3292" t="s">
        <v>1138</v>
      </c>
      <c r="I3292" s="2">
        <v>12.96</v>
      </c>
      <c r="J3292" s="3">
        <v>2</v>
      </c>
      <c r="K3292" s="2">
        <v>6.22</v>
      </c>
    </row>
    <row r="3293" spans="1:11" x14ac:dyDescent="0.35">
      <c r="A3293" s="1">
        <v>43044</v>
      </c>
      <c r="B3293" s="3">
        <f t="shared" si="102"/>
        <v>2017</v>
      </c>
      <c r="C3293" s="3">
        <f t="shared" si="103"/>
        <v>11</v>
      </c>
      <c r="D3293" t="s">
        <v>2261</v>
      </c>
      <c r="E3293" t="s">
        <v>22</v>
      </c>
      <c r="F3293" t="s">
        <v>28</v>
      </c>
      <c r="G3293" t="s">
        <v>29</v>
      </c>
      <c r="H3293" t="s">
        <v>431</v>
      </c>
      <c r="I3293" s="2">
        <v>110.96</v>
      </c>
      <c r="J3293" s="3">
        <v>2</v>
      </c>
      <c r="K3293" s="2">
        <v>53.26</v>
      </c>
    </row>
    <row r="3294" spans="1:11" x14ac:dyDescent="0.35">
      <c r="A3294" s="1">
        <v>43044</v>
      </c>
      <c r="B3294" s="3">
        <f t="shared" si="102"/>
        <v>2017</v>
      </c>
      <c r="C3294" s="3">
        <f t="shared" si="103"/>
        <v>11</v>
      </c>
      <c r="D3294" t="s">
        <v>2261</v>
      </c>
      <c r="E3294" t="s">
        <v>22</v>
      </c>
      <c r="F3294" t="s">
        <v>13</v>
      </c>
      <c r="G3294" t="s">
        <v>23</v>
      </c>
      <c r="H3294" t="s">
        <v>1782</v>
      </c>
      <c r="I3294" s="2">
        <v>99.98</v>
      </c>
      <c r="J3294" s="3">
        <v>2</v>
      </c>
      <c r="K3294" s="2">
        <v>4</v>
      </c>
    </row>
    <row r="3295" spans="1:11" x14ac:dyDescent="0.35">
      <c r="A3295" s="1">
        <v>43044</v>
      </c>
      <c r="B3295" s="3">
        <f t="shared" si="102"/>
        <v>2017</v>
      </c>
      <c r="C3295" s="3">
        <f t="shared" si="103"/>
        <v>11</v>
      </c>
      <c r="D3295" t="s">
        <v>2261</v>
      </c>
      <c r="E3295" t="s">
        <v>22</v>
      </c>
      <c r="F3295" t="s">
        <v>28</v>
      </c>
      <c r="G3295" t="s">
        <v>48</v>
      </c>
      <c r="H3295" t="s">
        <v>1235</v>
      </c>
      <c r="I3295" s="2">
        <v>11.42</v>
      </c>
      <c r="J3295" s="3">
        <v>1</v>
      </c>
      <c r="K3295" s="2">
        <v>3.71</v>
      </c>
    </row>
    <row r="3296" spans="1:11" x14ac:dyDescent="0.35">
      <c r="A3296" s="1">
        <v>43044</v>
      </c>
      <c r="B3296" s="3">
        <f t="shared" si="102"/>
        <v>2017</v>
      </c>
      <c r="C3296" s="3">
        <f t="shared" si="103"/>
        <v>11</v>
      </c>
      <c r="D3296" t="s">
        <v>2261</v>
      </c>
      <c r="E3296" t="s">
        <v>22</v>
      </c>
      <c r="F3296" t="s">
        <v>18</v>
      </c>
      <c r="G3296" t="s">
        <v>19</v>
      </c>
      <c r="H3296" t="s">
        <v>1865</v>
      </c>
      <c r="I3296" s="2">
        <v>128.12</v>
      </c>
      <c r="J3296" s="3">
        <v>2</v>
      </c>
      <c r="K3296" s="2">
        <v>24.2</v>
      </c>
    </row>
    <row r="3297" spans="1:11" x14ac:dyDescent="0.35">
      <c r="A3297" s="1">
        <v>43044</v>
      </c>
      <c r="B3297" s="3">
        <f t="shared" si="102"/>
        <v>2017</v>
      </c>
      <c r="C3297" s="3">
        <f t="shared" si="103"/>
        <v>11</v>
      </c>
      <c r="D3297" t="s">
        <v>2261</v>
      </c>
      <c r="E3297" t="s">
        <v>22</v>
      </c>
      <c r="F3297" t="s">
        <v>18</v>
      </c>
      <c r="G3297" t="s">
        <v>36</v>
      </c>
      <c r="H3297" t="s">
        <v>2189</v>
      </c>
      <c r="I3297" s="2">
        <v>101.4</v>
      </c>
      <c r="J3297" s="3">
        <v>5</v>
      </c>
      <c r="K3297" s="2">
        <v>38.53</v>
      </c>
    </row>
    <row r="3298" spans="1:11" x14ac:dyDescent="0.35">
      <c r="A3298" s="1">
        <v>43044</v>
      </c>
      <c r="B3298" s="3">
        <f t="shared" si="102"/>
        <v>2017</v>
      </c>
      <c r="C3298" s="3">
        <f t="shared" si="103"/>
        <v>11</v>
      </c>
      <c r="D3298" t="s">
        <v>1661</v>
      </c>
      <c r="E3298" t="s">
        <v>575</v>
      </c>
      <c r="F3298" t="s">
        <v>28</v>
      </c>
      <c r="G3298" t="s">
        <v>29</v>
      </c>
      <c r="H3298" t="s">
        <v>1970</v>
      </c>
      <c r="I3298" s="2">
        <v>4.41</v>
      </c>
      <c r="J3298" s="3">
        <v>1</v>
      </c>
      <c r="K3298" s="2">
        <v>2.0299999999999998</v>
      </c>
    </row>
    <row r="3299" spans="1:11" x14ac:dyDescent="0.35">
      <c r="A3299" s="1">
        <v>43044</v>
      </c>
      <c r="B3299" s="3">
        <f t="shared" si="102"/>
        <v>2017</v>
      </c>
      <c r="C3299" s="3">
        <f t="shared" si="103"/>
        <v>11</v>
      </c>
      <c r="D3299" t="s">
        <v>1661</v>
      </c>
      <c r="E3299" t="s">
        <v>575</v>
      </c>
      <c r="F3299" t="s">
        <v>28</v>
      </c>
      <c r="G3299" t="s">
        <v>29</v>
      </c>
      <c r="H3299" t="s">
        <v>123</v>
      </c>
      <c r="I3299" s="2">
        <v>167.94</v>
      </c>
      <c r="J3299" s="3">
        <v>3</v>
      </c>
      <c r="K3299" s="2">
        <v>82.29</v>
      </c>
    </row>
    <row r="3300" spans="1:11" x14ac:dyDescent="0.35">
      <c r="A3300" s="1">
        <v>43044</v>
      </c>
      <c r="B3300" s="3">
        <f t="shared" si="102"/>
        <v>2017</v>
      </c>
      <c r="C3300" s="3">
        <f t="shared" si="103"/>
        <v>11</v>
      </c>
      <c r="D3300" t="s">
        <v>1661</v>
      </c>
      <c r="E3300" t="s">
        <v>575</v>
      </c>
      <c r="F3300" t="s">
        <v>28</v>
      </c>
      <c r="G3300" t="s">
        <v>29</v>
      </c>
      <c r="H3300" t="s">
        <v>2219</v>
      </c>
      <c r="I3300" s="2">
        <v>67.8</v>
      </c>
      <c r="J3300" s="3">
        <v>10</v>
      </c>
      <c r="K3300" s="2">
        <v>31.19</v>
      </c>
    </row>
    <row r="3301" spans="1:11" x14ac:dyDescent="0.35">
      <c r="A3301" s="1">
        <v>43074</v>
      </c>
      <c r="B3301" s="3">
        <f t="shared" si="102"/>
        <v>2017</v>
      </c>
      <c r="C3301" s="3">
        <f t="shared" si="103"/>
        <v>12</v>
      </c>
      <c r="D3301" t="s">
        <v>1749</v>
      </c>
      <c r="E3301" t="s">
        <v>575</v>
      </c>
      <c r="F3301" t="s">
        <v>28</v>
      </c>
      <c r="G3301" t="s">
        <v>58</v>
      </c>
      <c r="H3301" t="s">
        <v>846</v>
      </c>
      <c r="I3301" s="2">
        <v>61.44</v>
      </c>
      <c r="J3301" s="3">
        <v>3</v>
      </c>
      <c r="K3301" s="2">
        <v>16.59</v>
      </c>
    </row>
    <row r="3302" spans="1:11" x14ac:dyDescent="0.35">
      <c r="A3302" s="1">
        <v>43074</v>
      </c>
      <c r="B3302" s="3">
        <f t="shared" si="102"/>
        <v>2017</v>
      </c>
      <c r="C3302" s="3">
        <f t="shared" si="103"/>
        <v>12</v>
      </c>
      <c r="D3302" t="s">
        <v>1749</v>
      </c>
      <c r="E3302" t="s">
        <v>575</v>
      </c>
      <c r="F3302" t="s">
        <v>28</v>
      </c>
      <c r="G3302" t="s">
        <v>29</v>
      </c>
      <c r="H3302" t="s">
        <v>860</v>
      </c>
      <c r="I3302" s="2">
        <v>38.9</v>
      </c>
      <c r="J3302" s="3">
        <v>5</v>
      </c>
      <c r="K3302" s="2">
        <v>17.510000000000002</v>
      </c>
    </row>
    <row r="3303" spans="1:11" x14ac:dyDescent="0.35">
      <c r="A3303" s="1">
        <v>43074</v>
      </c>
      <c r="B3303" s="3">
        <f t="shared" si="102"/>
        <v>2017</v>
      </c>
      <c r="C3303" s="3">
        <f t="shared" si="103"/>
        <v>12</v>
      </c>
      <c r="D3303" t="s">
        <v>1749</v>
      </c>
      <c r="E3303" t="s">
        <v>575</v>
      </c>
      <c r="F3303" t="s">
        <v>13</v>
      </c>
      <c r="G3303" t="s">
        <v>14</v>
      </c>
      <c r="H3303" t="s">
        <v>1025</v>
      </c>
      <c r="I3303" s="2">
        <v>99.39</v>
      </c>
      <c r="J3303" s="3">
        <v>3</v>
      </c>
      <c r="K3303" s="2">
        <v>40.75</v>
      </c>
    </row>
    <row r="3304" spans="1:11" x14ac:dyDescent="0.35">
      <c r="A3304" s="1">
        <v>43074</v>
      </c>
      <c r="B3304" s="3">
        <f t="shared" si="102"/>
        <v>2017</v>
      </c>
      <c r="C3304" s="3">
        <f t="shared" si="103"/>
        <v>12</v>
      </c>
      <c r="D3304" t="s">
        <v>1336</v>
      </c>
      <c r="E3304" t="s">
        <v>45</v>
      </c>
      <c r="F3304" t="s">
        <v>28</v>
      </c>
      <c r="G3304" t="s">
        <v>29</v>
      </c>
      <c r="H3304" t="s">
        <v>1341</v>
      </c>
      <c r="I3304" s="2">
        <v>92.94</v>
      </c>
      <c r="J3304" s="3">
        <v>3</v>
      </c>
      <c r="K3304" s="2">
        <v>41.82</v>
      </c>
    </row>
    <row r="3305" spans="1:11" x14ac:dyDescent="0.35">
      <c r="A3305" s="1">
        <v>43074</v>
      </c>
      <c r="B3305" s="3">
        <f t="shared" si="102"/>
        <v>2017</v>
      </c>
      <c r="C3305" s="3">
        <f t="shared" si="103"/>
        <v>12</v>
      </c>
      <c r="D3305" t="s">
        <v>70</v>
      </c>
      <c r="E3305" t="s">
        <v>1395</v>
      </c>
      <c r="F3305" t="s">
        <v>13</v>
      </c>
      <c r="G3305" t="s">
        <v>14</v>
      </c>
      <c r="H3305" t="s">
        <v>910</v>
      </c>
      <c r="I3305" s="2">
        <v>205.03</v>
      </c>
      <c r="J3305" s="3">
        <v>7</v>
      </c>
      <c r="K3305" s="2">
        <v>67.66</v>
      </c>
    </row>
    <row r="3306" spans="1:11" x14ac:dyDescent="0.35">
      <c r="A3306" s="1">
        <v>43074</v>
      </c>
      <c r="B3306" s="3">
        <f t="shared" si="102"/>
        <v>2017</v>
      </c>
      <c r="C3306" s="3">
        <f t="shared" si="103"/>
        <v>12</v>
      </c>
      <c r="D3306" t="s">
        <v>115</v>
      </c>
      <c r="E3306" t="s">
        <v>22</v>
      </c>
      <c r="F3306" t="s">
        <v>18</v>
      </c>
      <c r="G3306" t="s">
        <v>36</v>
      </c>
      <c r="H3306" t="s">
        <v>570</v>
      </c>
      <c r="I3306" s="2">
        <v>20.94</v>
      </c>
      <c r="J3306" s="3">
        <v>3</v>
      </c>
      <c r="K3306" s="2">
        <v>6.07</v>
      </c>
    </row>
    <row r="3307" spans="1:11" x14ac:dyDescent="0.35">
      <c r="A3307" s="1">
        <v>43074</v>
      </c>
      <c r="B3307" s="3">
        <f t="shared" si="102"/>
        <v>2017</v>
      </c>
      <c r="C3307" s="3">
        <f t="shared" si="103"/>
        <v>12</v>
      </c>
      <c r="D3307" t="s">
        <v>115</v>
      </c>
      <c r="E3307" t="s">
        <v>22</v>
      </c>
      <c r="F3307" t="s">
        <v>18</v>
      </c>
      <c r="G3307" t="s">
        <v>36</v>
      </c>
      <c r="H3307" t="s">
        <v>2262</v>
      </c>
      <c r="I3307" s="2">
        <v>58.68</v>
      </c>
      <c r="J3307" s="3">
        <v>2</v>
      </c>
      <c r="K3307" s="2">
        <v>18.190000000000001</v>
      </c>
    </row>
    <row r="3308" spans="1:11" x14ac:dyDescent="0.35">
      <c r="A3308" s="1">
        <v>43074</v>
      </c>
      <c r="B3308" s="3">
        <f t="shared" si="102"/>
        <v>2017</v>
      </c>
      <c r="C3308" s="3">
        <f t="shared" si="103"/>
        <v>12</v>
      </c>
      <c r="D3308" t="s">
        <v>115</v>
      </c>
      <c r="E3308" t="s">
        <v>22</v>
      </c>
      <c r="F3308" t="s">
        <v>28</v>
      </c>
      <c r="G3308" t="s">
        <v>58</v>
      </c>
      <c r="H3308" t="s">
        <v>393</v>
      </c>
      <c r="I3308" s="2">
        <v>254.9</v>
      </c>
      <c r="J3308" s="3">
        <v>5</v>
      </c>
      <c r="K3308" s="2">
        <v>68.819999999999993</v>
      </c>
    </row>
    <row r="3309" spans="1:11" x14ac:dyDescent="0.35">
      <c r="A3309" s="1">
        <v>43074</v>
      </c>
      <c r="B3309" s="3">
        <f t="shared" si="102"/>
        <v>2017</v>
      </c>
      <c r="C3309" s="3">
        <f t="shared" si="103"/>
        <v>12</v>
      </c>
      <c r="D3309" t="s">
        <v>1522</v>
      </c>
      <c r="E3309" t="s">
        <v>17</v>
      </c>
      <c r="F3309" t="s">
        <v>28</v>
      </c>
      <c r="G3309" t="s">
        <v>48</v>
      </c>
      <c r="H3309" t="s">
        <v>428</v>
      </c>
      <c r="I3309" s="2">
        <v>24.82</v>
      </c>
      <c r="J3309" s="3">
        <v>3</v>
      </c>
      <c r="K3309" s="2">
        <v>8.3800000000000008</v>
      </c>
    </row>
    <row r="3310" spans="1:11" x14ac:dyDescent="0.35">
      <c r="A3310" s="1">
        <v>43074</v>
      </c>
      <c r="B3310" s="3">
        <f t="shared" si="102"/>
        <v>2017</v>
      </c>
      <c r="C3310" s="3">
        <f t="shared" si="103"/>
        <v>12</v>
      </c>
      <c r="D3310" t="s">
        <v>1522</v>
      </c>
      <c r="E3310" t="s">
        <v>17</v>
      </c>
      <c r="F3310" t="s">
        <v>28</v>
      </c>
      <c r="G3310" t="s">
        <v>48</v>
      </c>
      <c r="H3310" t="s">
        <v>53</v>
      </c>
      <c r="I3310" s="2">
        <v>14.98</v>
      </c>
      <c r="J3310" s="3">
        <v>6</v>
      </c>
      <c r="K3310" s="2">
        <v>5.43</v>
      </c>
    </row>
    <row r="3311" spans="1:11" x14ac:dyDescent="0.35">
      <c r="A3311" s="1">
        <v>43074</v>
      </c>
      <c r="B3311" s="3">
        <f t="shared" si="102"/>
        <v>2017</v>
      </c>
      <c r="C3311" s="3">
        <f t="shared" si="103"/>
        <v>12</v>
      </c>
      <c r="D3311" t="s">
        <v>678</v>
      </c>
      <c r="E3311" t="s">
        <v>22</v>
      </c>
      <c r="F3311" t="s">
        <v>18</v>
      </c>
      <c r="G3311" t="s">
        <v>36</v>
      </c>
      <c r="H3311" t="s">
        <v>2058</v>
      </c>
      <c r="I3311" s="2">
        <v>41.96</v>
      </c>
      <c r="J3311" s="3">
        <v>2</v>
      </c>
      <c r="K3311" s="2">
        <v>10.91</v>
      </c>
    </row>
    <row r="3312" spans="1:11" x14ac:dyDescent="0.35">
      <c r="A3312" s="1">
        <v>43074</v>
      </c>
      <c r="B3312" s="3">
        <f t="shared" si="102"/>
        <v>2017</v>
      </c>
      <c r="C3312" s="3">
        <f t="shared" si="103"/>
        <v>12</v>
      </c>
      <c r="D3312" t="s">
        <v>678</v>
      </c>
      <c r="E3312" t="s">
        <v>22</v>
      </c>
      <c r="F3312" t="s">
        <v>28</v>
      </c>
      <c r="G3312" t="s">
        <v>46</v>
      </c>
      <c r="H3312" t="s">
        <v>2263</v>
      </c>
      <c r="I3312" s="2">
        <v>9.4499999999999993</v>
      </c>
      <c r="J3312" s="3">
        <v>3</v>
      </c>
      <c r="K3312" s="2">
        <v>4.54</v>
      </c>
    </row>
    <row r="3313" spans="1:11" x14ac:dyDescent="0.35">
      <c r="A3313" s="1">
        <v>43074</v>
      </c>
      <c r="B3313" s="3">
        <f t="shared" si="102"/>
        <v>2017</v>
      </c>
      <c r="C3313" s="3">
        <f t="shared" si="103"/>
        <v>12</v>
      </c>
      <c r="D3313" t="s">
        <v>2264</v>
      </c>
      <c r="E3313" t="s">
        <v>17</v>
      </c>
      <c r="F3313" t="s">
        <v>28</v>
      </c>
      <c r="G3313" t="s">
        <v>48</v>
      </c>
      <c r="H3313" t="s">
        <v>1147</v>
      </c>
      <c r="I3313" s="2">
        <v>83.92</v>
      </c>
      <c r="J3313" s="3">
        <v>5</v>
      </c>
      <c r="K3313" s="2">
        <v>29.37</v>
      </c>
    </row>
    <row r="3314" spans="1:11" x14ac:dyDescent="0.35">
      <c r="A3314" s="1">
        <v>43074</v>
      </c>
      <c r="B3314" s="3">
        <f t="shared" si="102"/>
        <v>2017</v>
      </c>
      <c r="C3314" s="3">
        <f t="shared" si="103"/>
        <v>12</v>
      </c>
      <c r="D3314" t="s">
        <v>2264</v>
      </c>
      <c r="E3314" t="s">
        <v>17</v>
      </c>
      <c r="F3314" t="s">
        <v>18</v>
      </c>
      <c r="G3314" t="s">
        <v>36</v>
      </c>
      <c r="H3314" t="s">
        <v>1951</v>
      </c>
      <c r="I3314" s="2">
        <v>199.9</v>
      </c>
      <c r="J3314" s="3">
        <v>5</v>
      </c>
      <c r="K3314" s="2">
        <v>39.979999999999997</v>
      </c>
    </row>
    <row r="3315" spans="1:11" x14ac:dyDescent="0.35">
      <c r="A3315" s="1">
        <v>43074</v>
      </c>
      <c r="B3315" s="3">
        <f t="shared" si="102"/>
        <v>2017</v>
      </c>
      <c r="C3315" s="3">
        <f t="shared" si="103"/>
        <v>12</v>
      </c>
      <c r="D3315" t="s">
        <v>2264</v>
      </c>
      <c r="E3315" t="s">
        <v>17</v>
      </c>
      <c r="F3315" t="s">
        <v>13</v>
      </c>
      <c r="G3315" t="s">
        <v>23</v>
      </c>
      <c r="H3315" t="s">
        <v>1648</v>
      </c>
      <c r="I3315" s="2">
        <v>31.18</v>
      </c>
      <c r="J3315" s="3">
        <v>3</v>
      </c>
      <c r="K3315" s="2">
        <v>-7.01</v>
      </c>
    </row>
    <row r="3316" spans="1:11" x14ac:dyDescent="0.35">
      <c r="A3316" s="1">
        <v>43074</v>
      </c>
      <c r="B3316" s="3">
        <f t="shared" si="102"/>
        <v>2017</v>
      </c>
      <c r="C3316" s="3">
        <f t="shared" si="103"/>
        <v>12</v>
      </c>
      <c r="D3316" t="s">
        <v>2264</v>
      </c>
      <c r="E3316" t="s">
        <v>17</v>
      </c>
      <c r="F3316" t="s">
        <v>28</v>
      </c>
      <c r="G3316" t="s">
        <v>48</v>
      </c>
      <c r="H3316" t="s">
        <v>1935</v>
      </c>
      <c r="I3316" s="2">
        <v>172.75</v>
      </c>
      <c r="J3316" s="3">
        <v>6</v>
      </c>
      <c r="K3316" s="2">
        <v>60.46</v>
      </c>
    </row>
    <row r="3317" spans="1:11" x14ac:dyDescent="0.35">
      <c r="A3317" s="1">
        <v>43074</v>
      </c>
      <c r="B3317" s="3">
        <f t="shared" si="102"/>
        <v>2017</v>
      </c>
      <c r="C3317" s="3">
        <f t="shared" si="103"/>
        <v>12</v>
      </c>
      <c r="D3317" t="s">
        <v>2264</v>
      </c>
      <c r="E3317" t="s">
        <v>17</v>
      </c>
      <c r="F3317" t="s">
        <v>28</v>
      </c>
      <c r="G3317" t="s">
        <v>48</v>
      </c>
      <c r="H3317" t="s">
        <v>1765</v>
      </c>
      <c r="I3317" s="2">
        <v>9.3000000000000007</v>
      </c>
      <c r="J3317" s="3">
        <v>2</v>
      </c>
      <c r="K3317" s="2">
        <v>3.02</v>
      </c>
    </row>
    <row r="3318" spans="1:11" x14ac:dyDescent="0.35">
      <c r="A3318" s="1">
        <v>43074</v>
      </c>
      <c r="B3318" s="3">
        <f t="shared" si="102"/>
        <v>2017</v>
      </c>
      <c r="C3318" s="3">
        <f t="shared" si="103"/>
        <v>12</v>
      </c>
      <c r="D3318" t="s">
        <v>2265</v>
      </c>
      <c r="E3318" t="s">
        <v>22</v>
      </c>
      <c r="F3318" t="s">
        <v>28</v>
      </c>
      <c r="G3318" t="s">
        <v>29</v>
      </c>
      <c r="H3318" t="s">
        <v>2237</v>
      </c>
      <c r="I3318" s="2">
        <v>21.6</v>
      </c>
      <c r="J3318" s="3">
        <v>6</v>
      </c>
      <c r="K3318" s="2">
        <v>9.94</v>
      </c>
    </row>
    <row r="3319" spans="1:11" x14ac:dyDescent="0.35">
      <c r="A3319" s="1">
        <v>43074</v>
      </c>
      <c r="B3319" s="3">
        <f t="shared" si="102"/>
        <v>2017</v>
      </c>
      <c r="C3319" s="3">
        <f t="shared" si="103"/>
        <v>12</v>
      </c>
      <c r="D3319" t="s">
        <v>2265</v>
      </c>
      <c r="E3319" t="s">
        <v>22</v>
      </c>
      <c r="F3319" t="s">
        <v>28</v>
      </c>
      <c r="G3319" t="s">
        <v>46</v>
      </c>
      <c r="H3319" t="s">
        <v>1963</v>
      </c>
      <c r="I3319" s="2">
        <v>11.07</v>
      </c>
      <c r="J3319" s="3">
        <v>3</v>
      </c>
      <c r="K3319" s="2">
        <v>5.2</v>
      </c>
    </row>
    <row r="3320" spans="1:11" x14ac:dyDescent="0.35">
      <c r="A3320" s="1">
        <v>42741</v>
      </c>
      <c r="B3320" s="3">
        <f t="shared" si="102"/>
        <v>2017</v>
      </c>
      <c r="C3320" s="3">
        <f t="shared" si="103"/>
        <v>1</v>
      </c>
      <c r="D3320" t="s">
        <v>463</v>
      </c>
      <c r="E3320" t="s">
        <v>607</v>
      </c>
      <c r="F3320" t="s">
        <v>28</v>
      </c>
      <c r="G3320" t="s">
        <v>48</v>
      </c>
      <c r="H3320" t="s">
        <v>881</v>
      </c>
      <c r="I3320" s="2">
        <v>33.74</v>
      </c>
      <c r="J3320" s="3">
        <v>7</v>
      </c>
      <c r="K3320" s="2">
        <v>15.52</v>
      </c>
    </row>
    <row r="3321" spans="1:11" x14ac:dyDescent="0.35">
      <c r="A3321" s="1">
        <v>42772</v>
      </c>
      <c r="B3321" s="3">
        <f t="shared" si="102"/>
        <v>2017</v>
      </c>
      <c r="C3321" s="3">
        <f t="shared" si="103"/>
        <v>2</v>
      </c>
      <c r="D3321" t="s">
        <v>1850</v>
      </c>
      <c r="E3321" t="s">
        <v>173</v>
      </c>
      <c r="F3321" t="s">
        <v>18</v>
      </c>
      <c r="G3321" t="s">
        <v>237</v>
      </c>
      <c r="H3321" t="s">
        <v>1826</v>
      </c>
      <c r="I3321" s="2">
        <v>359.97</v>
      </c>
      <c r="J3321" s="3">
        <v>3</v>
      </c>
      <c r="K3321" s="2">
        <v>79.19</v>
      </c>
    </row>
    <row r="3322" spans="1:11" x14ac:dyDescent="0.35">
      <c r="A3322" s="1">
        <v>42772</v>
      </c>
      <c r="B3322" s="3">
        <f t="shared" si="102"/>
        <v>2017</v>
      </c>
      <c r="C3322" s="3">
        <f t="shared" si="103"/>
        <v>2</v>
      </c>
      <c r="D3322" t="s">
        <v>1687</v>
      </c>
      <c r="E3322" t="s">
        <v>22</v>
      </c>
      <c r="F3322" t="s">
        <v>18</v>
      </c>
      <c r="G3322" t="s">
        <v>237</v>
      </c>
      <c r="H3322" t="s">
        <v>1044</v>
      </c>
      <c r="I3322" s="2">
        <v>240.78</v>
      </c>
      <c r="J3322" s="3">
        <v>1</v>
      </c>
      <c r="K3322" s="2">
        <v>30.1</v>
      </c>
    </row>
    <row r="3323" spans="1:11" x14ac:dyDescent="0.35">
      <c r="A3323" s="1">
        <v>42772</v>
      </c>
      <c r="B3323" s="3">
        <f t="shared" si="102"/>
        <v>2017</v>
      </c>
      <c r="C3323" s="3">
        <f t="shared" si="103"/>
        <v>2</v>
      </c>
      <c r="D3323" t="s">
        <v>2002</v>
      </c>
      <c r="E3323" t="s">
        <v>22</v>
      </c>
      <c r="F3323" t="s">
        <v>13</v>
      </c>
      <c r="G3323" t="s">
        <v>23</v>
      </c>
      <c r="H3323" t="s">
        <v>1876</v>
      </c>
      <c r="I3323" s="2">
        <v>227.46</v>
      </c>
      <c r="J3323" s="3">
        <v>6</v>
      </c>
      <c r="K3323" s="2">
        <v>65.959999999999994</v>
      </c>
    </row>
    <row r="3324" spans="1:11" x14ac:dyDescent="0.35">
      <c r="A3324" s="1">
        <v>42772</v>
      </c>
      <c r="B3324" s="3">
        <f t="shared" si="102"/>
        <v>2017</v>
      </c>
      <c r="C3324" s="3">
        <f t="shared" si="103"/>
        <v>2</v>
      </c>
      <c r="D3324" t="s">
        <v>2002</v>
      </c>
      <c r="E3324" t="s">
        <v>22</v>
      </c>
      <c r="F3324" t="s">
        <v>28</v>
      </c>
      <c r="G3324" t="s">
        <v>48</v>
      </c>
      <c r="H3324" t="s">
        <v>2266</v>
      </c>
      <c r="I3324" s="2">
        <v>46.24</v>
      </c>
      <c r="J3324" s="3">
        <v>4</v>
      </c>
      <c r="K3324" s="2">
        <v>15.61</v>
      </c>
    </row>
    <row r="3325" spans="1:11" x14ac:dyDescent="0.35">
      <c r="A3325" s="1">
        <v>42772</v>
      </c>
      <c r="B3325" s="3">
        <f t="shared" si="102"/>
        <v>2017</v>
      </c>
      <c r="C3325" s="3">
        <f t="shared" si="103"/>
        <v>2</v>
      </c>
      <c r="D3325" t="s">
        <v>1583</v>
      </c>
      <c r="E3325" t="s">
        <v>45</v>
      </c>
      <c r="F3325" t="s">
        <v>28</v>
      </c>
      <c r="G3325" t="s">
        <v>29</v>
      </c>
      <c r="H3325" t="s">
        <v>171</v>
      </c>
      <c r="I3325" s="2">
        <v>29.9</v>
      </c>
      <c r="J3325" s="3">
        <v>5</v>
      </c>
      <c r="K3325" s="2">
        <v>13.46</v>
      </c>
    </row>
    <row r="3326" spans="1:11" x14ac:dyDescent="0.35">
      <c r="A3326" s="1">
        <v>42800</v>
      </c>
      <c r="B3326" s="3">
        <f t="shared" si="102"/>
        <v>2017</v>
      </c>
      <c r="C3326" s="3">
        <f t="shared" si="103"/>
        <v>3</v>
      </c>
      <c r="D3326" t="s">
        <v>2267</v>
      </c>
      <c r="E3326" t="s">
        <v>22</v>
      </c>
      <c r="F3326" t="s">
        <v>28</v>
      </c>
      <c r="G3326" t="s">
        <v>29</v>
      </c>
      <c r="H3326" t="s">
        <v>1547</v>
      </c>
      <c r="I3326" s="2">
        <v>26.38</v>
      </c>
      <c r="J3326" s="3">
        <v>1</v>
      </c>
      <c r="K3326" s="2">
        <v>12.13</v>
      </c>
    </row>
    <row r="3327" spans="1:11" x14ac:dyDescent="0.35">
      <c r="A3327" s="1">
        <v>42800</v>
      </c>
      <c r="B3327" s="3">
        <f t="shared" si="102"/>
        <v>2017</v>
      </c>
      <c r="C3327" s="3">
        <f t="shared" si="103"/>
        <v>3</v>
      </c>
      <c r="D3327" t="s">
        <v>2267</v>
      </c>
      <c r="E3327" t="s">
        <v>22</v>
      </c>
      <c r="F3327" t="s">
        <v>18</v>
      </c>
      <c r="G3327" t="s">
        <v>36</v>
      </c>
      <c r="H3327" t="s">
        <v>2195</v>
      </c>
      <c r="I3327" s="2">
        <v>71.97</v>
      </c>
      <c r="J3327" s="3">
        <v>3</v>
      </c>
      <c r="K3327" s="2">
        <v>16.55</v>
      </c>
    </row>
    <row r="3328" spans="1:11" x14ac:dyDescent="0.35">
      <c r="A3328" s="1">
        <v>42800</v>
      </c>
      <c r="B3328" s="3">
        <f t="shared" si="102"/>
        <v>2017</v>
      </c>
      <c r="C3328" s="3">
        <f t="shared" si="103"/>
        <v>3</v>
      </c>
      <c r="D3328" t="s">
        <v>981</v>
      </c>
      <c r="E3328" t="s">
        <v>45</v>
      </c>
      <c r="F3328" t="s">
        <v>28</v>
      </c>
      <c r="G3328" t="s">
        <v>48</v>
      </c>
      <c r="H3328" t="s">
        <v>2268</v>
      </c>
      <c r="I3328" s="2">
        <v>14.98</v>
      </c>
      <c r="J3328" s="3">
        <v>9</v>
      </c>
      <c r="K3328" s="2">
        <v>5.43</v>
      </c>
    </row>
    <row r="3329" spans="1:11" x14ac:dyDescent="0.35">
      <c r="A3329" s="1">
        <v>42800</v>
      </c>
      <c r="B3329" s="3">
        <f t="shared" si="102"/>
        <v>2017</v>
      </c>
      <c r="C3329" s="3">
        <f t="shared" si="103"/>
        <v>3</v>
      </c>
      <c r="D3329" t="s">
        <v>870</v>
      </c>
      <c r="E3329" t="s">
        <v>45</v>
      </c>
      <c r="F3329" t="s">
        <v>28</v>
      </c>
      <c r="G3329" t="s">
        <v>38</v>
      </c>
      <c r="H3329" t="s">
        <v>2269</v>
      </c>
      <c r="I3329" s="2">
        <v>67.78</v>
      </c>
      <c r="J3329" s="3">
        <v>2</v>
      </c>
      <c r="K3329" s="2">
        <v>16.95</v>
      </c>
    </row>
    <row r="3330" spans="1:11" x14ac:dyDescent="0.35">
      <c r="A3330" s="1">
        <v>42800</v>
      </c>
      <c r="B3330" s="3">
        <f t="shared" ref="B3330:B3393" si="104">YEAR(A3330)</f>
        <v>2017</v>
      </c>
      <c r="C3330" s="3">
        <f t="shared" ref="C3330:C3393" si="105">MONTH(A3330)</f>
        <v>3</v>
      </c>
      <c r="D3330" t="s">
        <v>1548</v>
      </c>
      <c r="E3330" t="s">
        <v>45</v>
      </c>
      <c r="F3330" t="s">
        <v>28</v>
      </c>
      <c r="G3330" t="s">
        <v>64</v>
      </c>
      <c r="H3330" t="s">
        <v>990</v>
      </c>
      <c r="I3330" s="2">
        <v>23.88</v>
      </c>
      <c r="J3330" s="3">
        <v>6</v>
      </c>
      <c r="K3330" s="2">
        <v>8.1199999999999992</v>
      </c>
    </row>
    <row r="3331" spans="1:11" x14ac:dyDescent="0.35">
      <c r="A3331" s="1">
        <v>42800</v>
      </c>
      <c r="B3331" s="3">
        <f t="shared" si="104"/>
        <v>2017</v>
      </c>
      <c r="C3331" s="3">
        <f t="shared" si="105"/>
        <v>3</v>
      </c>
      <c r="D3331" t="s">
        <v>1548</v>
      </c>
      <c r="E3331" t="s">
        <v>45</v>
      </c>
      <c r="F3331" t="s">
        <v>28</v>
      </c>
      <c r="G3331" t="s">
        <v>46</v>
      </c>
      <c r="H3331" t="s">
        <v>774</v>
      </c>
      <c r="I3331" s="2">
        <v>11.52</v>
      </c>
      <c r="J3331" s="3">
        <v>4</v>
      </c>
      <c r="K3331" s="2">
        <v>5.64</v>
      </c>
    </row>
    <row r="3332" spans="1:11" x14ac:dyDescent="0.35">
      <c r="A3332" s="1">
        <v>42800</v>
      </c>
      <c r="B3332" s="3">
        <f t="shared" si="104"/>
        <v>2017</v>
      </c>
      <c r="C3332" s="3">
        <f t="shared" si="105"/>
        <v>3</v>
      </c>
      <c r="D3332" t="s">
        <v>1548</v>
      </c>
      <c r="E3332" t="s">
        <v>45</v>
      </c>
      <c r="F3332" t="s">
        <v>28</v>
      </c>
      <c r="G3332" t="s">
        <v>29</v>
      </c>
      <c r="H3332" t="s">
        <v>512</v>
      </c>
      <c r="I3332" s="2">
        <v>286.93</v>
      </c>
      <c r="J3332" s="3">
        <v>7</v>
      </c>
      <c r="K3332" s="2">
        <v>140.6</v>
      </c>
    </row>
    <row r="3333" spans="1:11" x14ac:dyDescent="0.35">
      <c r="A3333" s="1">
        <v>42800</v>
      </c>
      <c r="B3333" s="3">
        <f t="shared" si="104"/>
        <v>2017</v>
      </c>
      <c r="C3333" s="3">
        <f t="shared" si="105"/>
        <v>3</v>
      </c>
      <c r="D3333" t="s">
        <v>1548</v>
      </c>
      <c r="E3333" t="s">
        <v>45</v>
      </c>
      <c r="F3333" t="s">
        <v>13</v>
      </c>
      <c r="G3333" t="s">
        <v>23</v>
      </c>
      <c r="H3333" t="s">
        <v>1409</v>
      </c>
      <c r="I3333" s="2">
        <v>206.38</v>
      </c>
      <c r="J3333" s="3">
        <v>2</v>
      </c>
      <c r="K3333" s="2">
        <v>23.22</v>
      </c>
    </row>
    <row r="3334" spans="1:11" x14ac:dyDescent="0.35">
      <c r="A3334" s="1">
        <v>42800</v>
      </c>
      <c r="B3334" s="3">
        <f t="shared" si="104"/>
        <v>2017</v>
      </c>
      <c r="C3334" s="3">
        <f t="shared" si="105"/>
        <v>3</v>
      </c>
      <c r="D3334" t="s">
        <v>1642</v>
      </c>
      <c r="E3334" t="s">
        <v>32</v>
      </c>
      <c r="F3334" t="s">
        <v>28</v>
      </c>
      <c r="G3334" t="s">
        <v>46</v>
      </c>
      <c r="H3334" t="s">
        <v>1926</v>
      </c>
      <c r="I3334" s="2">
        <v>4.93</v>
      </c>
      <c r="J3334" s="3">
        <v>2</v>
      </c>
      <c r="K3334" s="2">
        <v>1.72</v>
      </c>
    </row>
    <row r="3335" spans="1:11" x14ac:dyDescent="0.35">
      <c r="A3335" s="1">
        <v>42800</v>
      </c>
      <c r="B3335" s="3">
        <f t="shared" si="104"/>
        <v>2017</v>
      </c>
      <c r="C3335" s="3">
        <f t="shared" si="105"/>
        <v>3</v>
      </c>
      <c r="D3335" t="s">
        <v>1642</v>
      </c>
      <c r="E3335" t="s">
        <v>32</v>
      </c>
      <c r="F3335" t="s">
        <v>28</v>
      </c>
      <c r="G3335" t="s">
        <v>64</v>
      </c>
      <c r="H3335" t="s">
        <v>425</v>
      </c>
      <c r="I3335" s="2">
        <v>63.49</v>
      </c>
      <c r="J3335" s="3">
        <v>4</v>
      </c>
      <c r="K3335" s="2">
        <v>4.76</v>
      </c>
    </row>
    <row r="3336" spans="1:11" x14ac:dyDescent="0.35">
      <c r="A3336" s="1">
        <v>42831</v>
      </c>
      <c r="B3336" s="3">
        <f t="shared" si="104"/>
        <v>2017</v>
      </c>
      <c r="C3336" s="3">
        <f t="shared" si="105"/>
        <v>4</v>
      </c>
      <c r="D3336" t="s">
        <v>1792</v>
      </c>
      <c r="E3336" t="s">
        <v>1451</v>
      </c>
      <c r="F3336" t="s">
        <v>28</v>
      </c>
      <c r="G3336" t="s">
        <v>29</v>
      </c>
      <c r="H3336" t="s">
        <v>123</v>
      </c>
      <c r="I3336" s="2">
        <v>106.32</v>
      </c>
      <c r="J3336" s="3">
        <v>3</v>
      </c>
      <c r="K3336" s="2">
        <v>49.97</v>
      </c>
    </row>
    <row r="3337" spans="1:11" x14ac:dyDescent="0.35">
      <c r="A3337" s="1">
        <v>42831</v>
      </c>
      <c r="B3337" s="3">
        <f t="shared" si="104"/>
        <v>2017</v>
      </c>
      <c r="C3337" s="3">
        <f t="shared" si="105"/>
        <v>4</v>
      </c>
      <c r="D3337" t="s">
        <v>991</v>
      </c>
      <c r="E3337" t="s">
        <v>326</v>
      </c>
      <c r="F3337" t="s">
        <v>28</v>
      </c>
      <c r="G3337" t="s">
        <v>48</v>
      </c>
      <c r="H3337" t="s">
        <v>1569</v>
      </c>
      <c r="I3337" s="2">
        <v>8.1</v>
      </c>
      <c r="J3337" s="3">
        <v>5</v>
      </c>
      <c r="K3337" s="2">
        <v>-5.94</v>
      </c>
    </row>
    <row r="3338" spans="1:11" x14ac:dyDescent="0.35">
      <c r="A3338" s="1">
        <v>42861</v>
      </c>
      <c r="B3338" s="3">
        <f t="shared" si="104"/>
        <v>2017</v>
      </c>
      <c r="C3338" s="3">
        <f t="shared" si="105"/>
        <v>5</v>
      </c>
      <c r="D3338" t="s">
        <v>1792</v>
      </c>
      <c r="E3338" t="s">
        <v>26</v>
      </c>
      <c r="F3338" t="s">
        <v>28</v>
      </c>
      <c r="G3338" t="s">
        <v>64</v>
      </c>
      <c r="H3338" t="s">
        <v>1711</v>
      </c>
      <c r="I3338" s="2">
        <v>6.41</v>
      </c>
      <c r="J3338" s="3">
        <v>3</v>
      </c>
      <c r="K3338" s="2">
        <v>0.64</v>
      </c>
    </row>
    <row r="3339" spans="1:11" x14ac:dyDescent="0.35">
      <c r="A3339" s="1">
        <v>42861</v>
      </c>
      <c r="B3339" s="3">
        <f t="shared" si="104"/>
        <v>2017</v>
      </c>
      <c r="C3339" s="3">
        <f t="shared" si="105"/>
        <v>5</v>
      </c>
      <c r="D3339" t="s">
        <v>1792</v>
      </c>
      <c r="E3339" t="s">
        <v>26</v>
      </c>
      <c r="F3339" t="s">
        <v>13</v>
      </c>
      <c r="G3339" t="s">
        <v>14</v>
      </c>
      <c r="H3339" t="s">
        <v>507</v>
      </c>
      <c r="I3339" s="2">
        <v>408.74</v>
      </c>
      <c r="J3339" s="3">
        <v>7</v>
      </c>
      <c r="K3339" s="2">
        <v>76.64</v>
      </c>
    </row>
    <row r="3340" spans="1:11" x14ac:dyDescent="0.35">
      <c r="A3340" s="1">
        <v>42861</v>
      </c>
      <c r="B3340" s="3">
        <f t="shared" si="104"/>
        <v>2017</v>
      </c>
      <c r="C3340" s="3">
        <f t="shared" si="105"/>
        <v>5</v>
      </c>
      <c r="D3340" t="s">
        <v>1994</v>
      </c>
      <c r="E3340" t="s">
        <v>22</v>
      </c>
      <c r="F3340" t="s">
        <v>28</v>
      </c>
      <c r="G3340" t="s">
        <v>46</v>
      </c>
      <c r="H3340" t="s">
        <v>1093</v>
      </c>
      <c r="I3340" s="2">
        <v>59.2</v>
      </c>
      <c r="J3340" s="3">
        <v>4</v>
      </c>
      <c r="K3340" s="2">
        <v>29.6</v>
      </c>
    </row>
    <row r="3341" spans="1:11" x14ac:dyDescent="0.35">
      <c r="A3341" s="1">
        <v>42861</v>
      </c>
      <c r="B3341" s="3">
        <f t="shared" si="104"/>
        <v>2017</v>
      </c>
      <c r="C3341" s="3">
        <f t="shared" si="105"/>
        <v>5</v>
      </c>
      <c r="D3341" t="s">
        <v>483</v>
      </c>
      <c r="E3341" t="s">
        <v>173</v>
      </c>
      <c r="F3341" t="s">
        <v>28</v>
      </c>
      <c r="G3341" t="s">
        <v>64</v>
      </c>
      <c r="H3341" t="s">
        <v>635</v>
      </c>
      <c r="I3341" s="2">
        <v>54.66</v>
      </c>
      <c r="J3341" s="3">
        <v>6</v>
      </c>
      <c r="K3341" s="2">
        <v>18.04</v>
      </c>
    </row>
    <row r="3342" spans="1:11" x14ac:dyDescent="0.35">
      <c r="A3342" s="1">
        <v>42861</v>
      </c>
      <c r="B3342" s="3">
        <f t="shared" si="104"/>
        <v>2017</v>
      </c>
      <c r="C3342" s="3">
        <f t="shared" si="105"/>
        <v>5</v>
      </c>
      <c r="D3342" t="s">
        <v>942</v>
      </c>
      <c r="E3342" t="s">
        <v>32</v>
      </c>
      <c r="F3342" t="s">
        <v>28</v>
      </c>
      <c r="G3342" t="s">
        <v>48</v>
      </c>
      <c r="H3342" t="s">
        <v>261</v>
      </c>
      <c r="I3342" s="2">
        <v>11.06</v>
      </c>
      <c r="J3342" s="3">
        <v>10</v>
      </c>
      <c r="K3342" s="2">
        <v>-18.8</v>
      </c>
    </row>
    <row r="3343" spans="1:11" x14ac:dyDescent="0.35">
      <c r="A3343" s="1">
        <v>42861</v>
      </c>
      <c r="B3343" s="3">
        <f t="shared" si="104"/>
        <v>2017</v>
      </c>
      <c r="C3343" s="3">
        <f t="shared" si="105"/>
        <v>5</v>
      </c>
      <c r="D3343" t="s">
        <v>942</v>
      </c>
      <c r="E3343" t="s">
        <v>32</v>
      </c>
      <c r="F3343" t="s">
        <v>18</v>
      </c>
      <c r="G3343" t="s">
        <v>237</v>
      </c>
      <c r="H3343" t="s">
        <v>810</v>
      </c>
      <c r="I3343" s="2">
        <v>623.46</v>
      </c>
      <c r="J3343" s="3">
        <v>7</v>
      </c>
      <c r="K3343" s="2">
        <v>-119.19</v>
      </c>
    </row>
    <row r="3344" spans="1:11" x14ac:dyDescent="0.35">
      <c r="A3344" s="1">
        <v>42861</v>
      </c>
      <c r="B3344" s="3">
        <f t="shared" si="104"/>
        <v>2017</v>
      </c>
      <c r="C3344" s="3">
        <f t="shared" si="105"/>
        <v>5</v>
      </c>
      <c r="D3344" t="s">
        <v>942</v>
      </c>
      <c r="E3344" t="s">
        <v>32</v>
      </c>
      <c r="F3344" t="s">
        <v>28</v>
      </c>
      <c r="G3344" t="s">
        <v>38</v>
      </c>
      <c r="H3344" t="s">
        <v>576</v>
      </c>
      <c r="I3344" s="2">
        <v>772.68</v>
      </c>
      <c r="J3344" s="3">
        <v>5</v>
      </c>
      <c r="K3344" s="2">
        <v>-57.95</v>
      </c>
    </row>
    <row r="3345" spans="1:11" x14ac:dyDescent="0.35">
      <c r="A3345" s="1">
        <v>42861</v>
      </c>
      <c r="B3345" s="3">
        <f t="shared" si="104"/>
        <v>2017</v>
      </c>
      <c r="C3345" s="3">
        <f t="shared" si="105"/>
        <v>5</v>
      </c>
      <c r="D3345" t="s">
        <v>422</v>
      </c>
      <c r="E3345" t="s">
        <v>81</v>
      </c>
      <c r="F3345" t="s">
        <v>28</v>
      </c>
      <c r="G3345" t="s">
        <v>48</v>
      </c>
      <c r="H3345" t="s">
        <v>553</v>
      </c>
      <c r="I3345" s="2">
        <v>68.540000000000006</v>
      </c>
      <c r="J3345" s="3">
        <v>11</v>
      </c>
      <c r="K3345" s="2">
        <v>-52.55</v>
      </c>
    </row>
    <row r="3346" spans="1:11" x14ac:dyDescent="0.35">
      <c r="A3346" s="1">
        <v>42861</v>
      </c>
      <c r="B3346" s="3">
        <f t="shared" si="104"/>
        <v>2017</v>
      </c>
      <c r="C3346" s="3">
        <f t="shared" si="105"/>
        <v>5</v>
      </c>
      <c r="D3346" t="s">
        <v>422</v>
      </c>
      <c r="E3346" t="s">
        <v>81</v>
      </c>
      <c r="F3346" t="s">
        <v>13</v>
      </c>
      <c r="G3346" t="s">
        <v>23</v>
      </c>
      <c r="H3346" t="s">
        <v>527</v>
      </c>
      <c r="I3346" s="2">
        <v>627.16999999999996</v>
      </c>
      <c r="J3346" s="3">
        <v>4</v>
      </c>
      <c r="K3346" s="2">
        <v>70.56</v>
      </c>
    </row>
    <row r="3347" spans="1:11" x14ac:dyDescent="0.35">
      <c r="A3347" s="1">
        <v>42861</v>
      </c>
      <c r="B3347" s="3">
        <f t="shared" si="104"/>
        <v>2017</v>
      </c>
      <c r="C3347" s="3">
        <f t="shared" si="105"/>
        <v>5</v>
      </c>
      <c r="D3347" t="s">
        <v>422</v>
      </c>
      <c r="E3347" t="s">
        <v>81</v>
      </c>
      <c r="F3347" t="s">
        <v>28</v>
      </c>
      <c r="G3347" t="s">
        <v>46</v>
      </c>
      <c r="H3347" t="s">
        <v>2270</v>
      </c>
      <c r="I3347" s="2">
        <v>122.12</v>
      </c>
      <c r="J3347" s="3">
        <v>5</v>
      </c>
      <c r="K3347" s="2">
        <v>39.69</v>
      </c>
    </row>
    <row r="3348" spans="1:11" x14ac:dyDescent="0.35">
      <c r="A3348" s="1">
        <v>42861</v>
      </c>
      <c r="B3348" s="3">
        <f t="shared" si="104"/>
        <v>2017</v>
      </c>
      <c r="C3348" s="3">
        <f t="shared" si="105"/>
        <v>5</v>
      </c>
      <c r="D3348" t="s">
        <v>1310</v>
      </c>
      <c r="E3348" t="s">
        <v>45</v>
      </c>
      <c r="F3348" t="s">
        <v>28</v>
      </c>
      <c r="G3348" t="s">
        <v>58</v>
      </c>
      <c r="H3348" t="s">
        <v>393</v>
      </c>
      <c r="I3348" s="2">
        <v>152.94</v>
      </c>
      <c r="J3348" s="3">
        <v>3</v>
      </c>
      <c r="K3348" s="2">
        <v>41.29</v>
      </c>
    </row>
    <row r="3349" spans="1:11" x14ac:dyDescent="0.35">
      <c r="A3349" s="1">
        <v>42861</v>
      </c>
      <c r="B3349" s="3">
        <f t="shared" si="104"/>
        <v>2017</v>
      </c>
      <c r="C3349" s="3">
        <f t="shared" si="105"/>
        <v>5</v>
      </c>
      <c r="D3349" t="s">
        <v>1059</v>
      </c>
      <c r="E3349" t="s">
        <v>211</v>
      </c>
      <c r="F3349" t="s">
        <v>28</v>
      </c>
      <c r="G3349" t="s">
        <v>29</v>
      </c>
      <c r="H3349" t="s">
        <v>1547</v>
      </c>
      <c r="I3349" s="2">
        <v>84.42</v>
      </c>
      <c r="J3349" s="3">
        <v>4</v>
      </c>
      <c r="K3349" s="2">
        <v>27.44</v>
      </c>
    </row>
    <row r="3350" spans="1:11" x14ac:dyDescent="0.35">
      <c r="A3350" s="1">
        <v>42861</v>
      </c>
      <c r="B3350" s="3">
        <f t="shared" si="104"/>
        <v>2017</v>
      </c>
      <c r="C3350" s="3">
        <f t="shared" si="105"/>
        <v>5</v>
      </c>
      <c r="D3350" t="s">
        <v>1079</v>
      </c>
      <c r="E3350" t="s">
        <v>26</v>
      </c>
      <c r="F3350" t="s">
        <v>13</v>
      </c>
      <c r="G3350" t="s">
        <v>14</v>
      </c>
      <c r="H3350" t="s">
        <v>1947</v>
      </c>
      <c r="I3350" s="2">
        <v>191.97</v>
      </c>
      <c r="J3350" s="3">
        <v>4</v>
      </c>
      <c r="K3350" s="2">
        <v>28.8</v>
      </c>
    </row>
    <row r="3351" spans="1:11" x14ac:dyDescent="0.35">
      <c r="A3351" s="1">
        <v>42892</v>
      </c>
      <c r="B3351" s="3">
        <f t="shared" si="104"/>
        <v>2017</v>
      </c>
      <c r="C3351" s="3">
        <f t="shared" si="105"/>
        <v>6</v>
      </c>
      <c r="D3351" t="s">
        <v>296</v>
      </c>
      <c r="E3351" t="s">
        <v>45</v>
      </c>
      <c r="F3351" t="s">
        <v>18</v>
      </c>
      <c r="G3351" t="s">
        <v>36</v>
      </c>
      <c r="H3351" t="s">
        <v>2271</v>
      </c>
      <c r="I3351" s="2">
        <v>4.95</v>
      </c>
      <c r="J3351" s="3">
        <v>1</v>
      </c>
      <c r="K3351" s="2">
        <v>2.1800000000000002</v>
      </c>
    </row>
    <row r="3352" spans="1:11" x14ac:dyDescent="0.35">
      <c r="A3352" s="1">
        <v>42892</v>
      </c>
      <c r="B3352" s="3">
        <f t="shared" si="104"/>
        <v>2017</v>
      </c>
      <c r="C3352" s="3">
        <f t="shared" si="105"/>
        <v>6</v>
      </c>
      <c r="D3352" t="s">
        <v>296</v>
      </c>
      <c r="E3352" t="s">
        <v>45</v>
      </c>
      <c r="F3352" t="s">
        <v>28</v>
      </c>
      <c r="G3352" t="s">
        <v>38</v>
      </c>
      <c r="H3352" t="s">
        <v>1692</v>
      </c>
      <c r="I3352" s="2">
        <v>26.4</v>
      </c>
      <c r="J3352" s="3">
        <v>5</v>
      </c>
      <c r="K3352" s="2">
        <v>0</v>
      </c>
    </row>
    <row r="3353" spans="1:11" x14ac:dyDescent="0.35">
      <c r="A3353" s="1">
        <v>42922</v>
      </c>
      <c r="B3353" s="3">
        <f t="shared" si="104"/>
        <v>2017</v>
      </c>
      <c r="C3353" s="3">
        <f t="shared" si="105"/>
        <v>7</v>
      </c>
      <c r="D3353" t="s">
        <v>1200</v>
      </c>
      <c r="E3353" t="s">
        <v>89</v>
      </c>
      <c r="F3353" t="s">
        <v>28</v>
      </c>
      <c r="G3353" t="s">
        <v>48</v>
      </c>
      <c r="H3353" t="s">
        <v>1796</v>
      </c>
      <c r="I3353" s="2">
        <v>2.95</v>
      </c>
      <c r="J3353" s="3">
        <v>2</v>
      </c>
      <c r="K3353" s="2">
        <v>-2.2599999999999998</v>
      </c>
    </row>
    <row r="3354" spans="1:11" x14ac:dyDescent="0.35">
      <c r="A3354" s="1">
        <v>42922</v>
      </c>
      <c r="B3354" s="3">
        <f t="shared" si="104"/>
        <v>2017</v>
      </c>
      <c r="C3354" s="3">
        <f t="shared" si="105"/>
        <v>7</v>
      </c>
      <c r="D3354" t="s">
        <v>1200</v>
      </c>
      <c r="E3354" t="s">
        <v>89</v>
      </c>
      <c r="F3354" t="s">
        <v>28</v>
      </c>
      <c r="G3354" t="s">
        <v>29</v>
      </c>
      <c r="H3354" t="s">
        <v>2272</v>
      </c>
      <c r="I3354" s="2">
        <v>16.059999999999999</v>
      </c>
      <c r="J3354" s="3">
        <v>3</v>
      </c>
      <c r="K3354" s="2">
        <v>5.82</v>
      </c>
    </row>
    <row r="3355" spans="1:11" x14ac:dyDescent="0.35">
      <c r="A3355" s="1">
        <v>42922</v>
      </c>
      <c r="B3355" s="3">
        <f t="shared" si="104"/>
        <v>2017</v>
      </c>
      <c r="C3355" s="3">
        <f t="shared" si="105"/>
        <v>7</v>
      </c>
      <c r="D3355" t="s">
        <v>2273</v>
      </c>
      <c r="E3355" t="s">
        <v>77</v>
      </c>
      <c r="F3355" t="s">
        <v>18</v>
      </c>
      <c r="G3355" t="s">
        <v>19</v>
      </c>
      <c r="H3355" t="s">
        <v>565</v>
      </c>
      <c r="I3355" s="2">
        <v>239.24</v>
      </c>
      <c r="J3355" s="3">
        <v>1</v>
      </c>
      <c r="K3355" s="2">
        <v>23.92</v>
      </c>
    </row>
    <row r="3356" spans="1:11" x14ac:dyDescent="0.35">
      <c r="A3356" s="1">
        <v>42922</v>
      </c>
      <c r="B3356" s="3">
        <f t="shared" si="104"/>
        <v>2017</v>
      </c>
      <c r="C3356" s="3">
        <f t="shared" si="105"/>
        <v>7</v>
      </c>
      <c r="D3356" t="s">
        <v>222</v>
      </c>
      <c r="E3356" t="s">
        <v>45</v>
      </c>
      <c r="F3356" t="s">
        <v>18</v>
      </c>
      <c r="G3356" t="s">
        <v>19</v>
      </c>
      <c r="H3356" t="s">
        <v>1854</v>
      </c>
      <c r="I3356" s="2">
        <v>122.14</v>
      </c>
      <c r="J3356" s="3">
        <v>3</v>
      </c>
      <c r="K3356" s="2">
        <v>-13.74</v>
      </c>
    </row>
    <row r="3357" spans="1:11" x14ac:dyDescent="0.35">
      <c r="A3357" s="1">
        <v>42953</v>
      </c>
      <c r="B3357" s="3">
        <f t="shared" si="104"/>
        <v>2017</v>
      </c>
      <c r="C3357" s="3">
        <f t="shared" si="105"/>
        <v>8</v>
      </c>
      <c r="D3357" t="s">
        <v>875</v>
      </c>
      <c r="E3357" t="s">
        <v>362</v>
      </c>
      <c r="F3357" t="s">
        <v>18</v>
      </c>
      <c r="G3357" t="s">
        <v>237</v>
      </c>
      <c r="H3357" t="s">
        <v>699</v>
      </c>
      <c r="I3357" s="2">
        <v>145.74</v>
      </c>
      <c r="J3357" s="3">
        <v>3</v>
      </c>
      <c r="K3357" s="2">
        <v>23.32</v>
      </c>
    </row>
    <row r="3358" spans="1:11" x14ac:dyDescent="0.35">
      <c r="A3358" s="1">
        <v>42953</v>
      </c>
      <c r="B3358" s="3">
        <f t="shared" si="104"/>
        <v>2017</v>
      </c>
      <c r="C3358" s="3">
        <f t="shared" si="105"/>
        <v>8</v>
      </c>
      <c r="D3358" t="s">
        <v>875</v>
      </c>
      <c r="E3358" t="s">
        <v>362</v>
      </c>
      <c r="F3358" t="s">
        <v>18</v>
      </c>
      <c r="G3358" t="s">
        <v>36</v>
      </c>
      <c r="H3358" t="s">
        <v>1036</v>
      </c>
      <c r="I3358" s="2">
        <v>15.4</v>
      </c>
      <c r="J3358" s="3">
        <v>5</v>
      </c>
      <c r="K3358" s="2">
        <v>7.39</v>
      </c>
    </row>
    <row r="3359" spans="1:11" x14ac:dyDescent="0.35">
      <c r="A3359" s="1">
        <v>42953</v>
      </c>
      <c r="B3359" s="3">
        <f t="shared" si="104"/>
        <v>2017</v>
      </c>
      <c r="C3359" s="3">
        <f t="shared" si="105"/>
        <v>8</v>
      </c>
      <c r="D3359" t="s">
        <v>2274</v>
      </c>
      <c r="E3359" t="s">
        <v>32</v>
      </c>
      <c r="F3359" t="s">
        <v>28</v>
      </c>
      <c r="G3359" t="s">
        <v>29</v>
      </c>
      <c r="H3359" t="s">
        <v>1848</v>
      </c>
      <c r="I3359" s="2">
        <v>115.3</v>
      </c>
      <c r="J3359" s="3">
        <v>3</v>
      </c>
      <c r="K3359" s="2">
        <v>40.35</v>
      </c>
    </row>
    <row r="3360" spans="1:11" x14ac:dyDescent="0.35">
      <c r="A3360" s="1">
        <v>42953</v>
      </c>
      <c r="B3360" s="3">
        <f t="shared" si="104"/>
        <v>2017</v>
      </c>
      <c r="C3360" s="3">
        <f t="shared" si="105"/>
        <v>8</v>
      </c>
      <c r="D3360" t="s">
        <v>898</v>
      </c>
      <c r="E3360" t="s">
        <v>1213</v>
      </c>
      <c r="F3360" t="s">
        <v>13</v>
      </c>
      <c r="G3360" t="s">
        <v>23</v>
      </c>
      <c r="H3360" t="s">
        <v>1376</v>
      </c>
      <c r="I3360" s="2">
        <v>824.95</v>
      </c>
      <c r="J3360" s="3">
        <v>5</v>
      </c>
      <c r="K3360" s="2">
        <v>247.49</v>
      </c>
    </row>
    <row r="3361" spans="1:11" x14ac:dyDescent="0.35">
      <c r="A3361" s="1">
        <v>42953</v>
      </c>
      <c r="B3361" s="3">
        <f t="shared" si="104"/>
        <v>2017</v>
      </c>
      <c r="C3361" s="3">
        <f t="shared" si="105"/>
        <v>8</v>
      </c>
      <c r="D3361" t="s">
        <v>898</v>
      </c>
      <c r="E3361" t="s">
        <v>1213</v>
      </c>
      <c r="F3361" t="s">
        <v>28</v>
      </c>
      <c r="G3361" t="s">
        <v>46</v>
      </c>
      <c r="H3361" t="s">
        <v>278</v>
      </c>
      <c r="I3361" s="2">
        <v>24.64</v>
      </c>
      <c r="J3361" s="3">
        <v>8</v>
      </c>
      <c r="K3361" s="2">
        <v>11.83</v>
      </c>
    </row>
    <row r="3362" spans="1:11" x14ac:dyDescent="0.35">
      <c r="A3362" s="1">
        <v>42953</v>
      </c>
      <c r="B3362" s="3">
        <f t="shared" si="104"/>
        <v>2017</v>
      </c>
      <c r="C3362" s="3">
        <f t="shared" si="105"/>
        <v>8</v>
      </c>
      <c r="D3362" t="s">
        <v>898</v>
      </c>
      <c r="E3362" t="s">
        <v>1213</v>
      </c>
      <c r="F3362" t="s">
        <v>28</v>
      </c>
      <c r="G3362" t="s">
        <v>64</v>
      </c>
      <c r="H3362" t="s">
        <v>719</v>
      </c>
      <c r="I3362" s="2">
        <v>227.88</v>
      </c>
      <c r="J3362" s="3">
        <v>6</v>
      </c>
      <c r="K3362" s="2">
        <v>68.36</v>
      </c>
    </row>
    <row r="3363" spans="1:11" x14ac:dyDescent="0.35">
      <c r="A3363" s="1">
        <v>42953</v>
      </c>
      <c r="B3363" s="3">
        <f t="shared" si="104"/>
        <v>2017</v>
      </c>
      <c r="C3363" s="3">
        <f t="shared" si="105"/>
        <v>8</v>
      </c>
      <c r="D3363" t="s">
        <v>229</v>
      </c>
      <c r="E3363" t="s">
        <v>22</v>
      </c>
      <c r="F3363" t="s">
        <v>28</v>
      </c>
      <c r="G3363" t="s">
        <v>215</v>
      </c>
      <c r="H3363" t="s">
        <v>1053</v>
      </c>
      <c r="I3363" s="2">
        <v>70.12</v>
      </c>
      <c r="J3363" s="3">
        <v>4</v>
      </c>
      <c r="K3363" s="2">
        <v>21.04</v>
      </c>
    </row>
    <row r="3364" spans="1:11" x14ac:dyDescent="0.35">
      <c r="A3364" s="1">
        <v>43014</v>
      </c>
      <c r="B3364" s="3">
        <f t="shared" si="104"/>
        <v>2017</v>
      </c>
      <c r="C3364" s="3">
        <f t="shared" si="105"/>
        <v>10</v>
      </c>
      <c r="D3364" t="s">
        <v>189</v>
      </c>
      <c r="E3364" t="s">
        <v>871</v>
      </c>
      <c r="F3364" t="s">
        <v>18</v>
      </c>
      <c r="G3364" t="s">
        <v>36</v>
      </c>
      <c r="H3364" t="s">
        <v>1263</v>
      </c>
      <c r="I3364" s="2">
        <v>41.96</v>
      </c>
      <c r="J3364" s="3">
        <v>2</v>
      </c>
      <c r="K3364" s="2">
        <v>2.94</v>
      </c>
    </row>
    <row r="3365" spans="1:11" x14ac:dyDescent="0.35">
      <c r="A3365" s="1">
        <v>43014</v>
      </c>
      <c r="B3365" s="3">
        <f t="shared" si="104"/>
        <v>2017</v>
      </c>
      <c r="C3365" s="3">
        <f t="shared" si="105"/>
        <v>10</v>
      </c>
      <c r="D3365" t="s">
        <v>189</v>
      </c>
      <c r="E3365" t="s">
        <v>871</v>
      </c>
      <c r="F3365" t="s">
        <v>28</v>
      </c>
      <c r="G3365" t="s">
        <v>58</v>
      </c>
      <c r="H3365" t="s">
        <v>1436</v>
      </c>
      <c r="I3365" s="2">
        <v>227.84</v>
      </c>
      <c r="J3365" s="3">
        <v>4</v>
      </c>
      <c r="K3365" s="2">
        <v>66.069999999999993</v>
      </c>
    </row>
    <row r="3366" spans="1:11" x14ac:dyDescent="0.35">
      <c r="A3366" s="1">
        <v>43014</v>
      </c>
      <c r="B3366" s="3">
        <f t="shared" si="104"/>
        <v>2017</v>
      </c>
      <c r="C3366" s="3">
        <f t="shared" si="105"/>
        <v>10</v>
      </c>
      <c r="D3366" t="s">
        <v>189</v>
      </c>
      <c r="E3366" t="s">
        <v>871</v>
      </c>
      <c r="F3366" t="s">
        <v>28</v>
      </c>
      <c r="G3366" t="s">
        <v>29</v>
      </c>
      <c r="H3366" t="s">
        <v>1130</v>
      </c>
      <c r="I3366" s="2">
        <v>37.94</v>
      </c>
      <c r="J3366" s="3">
        <v>2</v>
      </c>
      <c r="K3366" s="2">
        <v>18.21</v>
      </c>
    </row>
    <row r="3367" spans="1:11" x14ac:dyDescent="0.35">
      <c r="A3367" s="1">
        <v>43014</v>
      </c>
      <c r="B3367" s="3">
        <f t="shared" si="104"/>
        <v>2017</v>
      </c>
      <c r="C3367" s="3">
        <f t="shared" si="105"/>
        <v>10</v>
      </c>
      <c r="D3367" t="s">
        <v>2275</v>
      </c>
      <c r="E3367" t="s">
        <v>22</v>
      </c>
      <c r="F3367" t="s">
        <v>13</v>
      </c>
      <c r="G3367" t="s">
        <v>14</v>
      </c>
      <c r="H3367" t="s">
        <v>2248</v>
      </c>
      <c r="I3367" s="2">
        <v>319.95999999999998</v>
      </c>
      <c r="J3367" s="3">
        <v>4</v>
      </c>
      <c r="K3367" s="2">
        <v>115.19</v>
      </c>
    </row>
    <row r="3368" spans="1:11" x14ac:dyDescent="0.35">
      <c r="A3368" s="1">
        <v>43014</v>
      </c>
      <c r="B3368" s="3">
        <f t="shared" si="104"/>
        <v>2017</v>
      </c>
      <c r="C3368" s="3">
        <f t="shared" si="105"/>
        <v>10</v>
      </c>
      <c r="D3368" t="s">
        <v>2275</v>
      </c>
      <c r="E3368" t="s">
        <v>22</v>
      </c>
      <c r="F3368" t="s">
        <v>28</v>
      </c>
      <c r="G3368" t="s">
        <v>29</v>
      </c>
      <c r="H3368" t="s">
        <v>2276</v>
      </c>
      <c r="I3368" s="2">
        <v>17.04</v>
      </c>
      <c r="J3368" s="3">
        <v>3</v>
      </c>
      <c r="K3368" s="2">
        <v>7.67</v>
      </c>
    </row>
    <row r="3369" spans="1:11" x14ac:dyDescent="0.35">
      <c r="A3369" s="1">
        <v>43014</v>
      </c>
      <c r="B3369" s="3">
        <f t="shared" si="104"/>
        <v>2017</v>
      </c>
      <c r="C3369" s="3">
        <f t="shared" si="105"/>
        <v>10</v>
      </c>
      <c r="D3369" t="s">
        <v>2275</v>
      </c>
      <c r="E3369" t="s">
        <v>22</v>
      </c>
      <c r="F3369" t="s">
        <v>28</v>
      </c>
      <c r="G3369" t="s">
        <v>38</v>
      </c>
      <c r="H3369" t="s">
        <v>444</v>
      </c>
      <c r="I3369" s="2">
        <v>344.91</v>
      </c>
      <c r="J3369" s="3">
        <v>3</v>
      </c>
      <c r="K3369" s="2">
        <v>10.35</v>
      </c>
    </row>
    <row r="3370" spans="1:11" x14ac:dyDescent="0.35">
      <c r="A3370" s="1">
        <v>43014</v>
      </c>
      <c r="B3370" s="3">
        <f t="shared" si="104"/>
        <v>2017</v>
      </c>
      <c r="C3370" s="3">
        <f t="shared" si="105"/>
        <v>10</v>
      </c>
      <c r="D3370" t="s">
        <v>2277</v>
      </c>
      <c r="E3370" t="s">
        <v>22</v>
      </c>
      <c r="F3370" t="s">
        <v>28</v>
      </c>
      <c r="G3370" t="s">
        <v>29</v>
      </c>
      <c r="H3370" t="s">
        <v>512</v>
      </c>
      <c r="I3370" s="2">
        <v>40.99</v>
      </c>
      <c r="J3370" s="3">
        <v>1</v>
      </c>
      <c r="K3370" s="2">
        <v>20.09</v>
      </c>
    </row>
    <row r="3371" spans="1:11" x14ac:dyDescent="0.35">
      <c r="A3371" s="1">
        <v>43014</v>
      </c>
      <c r="B3371" s="3">
        <f t="shared" si="104"/>
        <v>2017</v>
      </c>
      <c r="C3371" s="3">
        <f t="shared" si="105"/>
        <v>10</v>
      </c>
      <c r="D3371" t="s">
        <v>571</v>
      </c>
      <c r="E3371" t="s">
        <v>62</v>
      </c>
      <c r="F3371" t="s">
        <v>28</v>
      </c>
      <c r="G3371" t="s">
        <v>29</v>
      </c>
      <c r="H3371" t="s">
        <v>1399</v>
      </c>
      <c r="I3371" s="2">
        <v>143.69999999999999</v>
      </c>
      <c r="J3371" s="3">
        <v>3</v>
      </c>
      <c r="K3371" s="2">
        <v>68.98</v>
      </c>
    </row>
    <row r="3372" spans="1:11" x14ac:dyDescent="0.35">
      <c r="A3372" s="1">
        <v>43014</v>
      </c>
      <c r="B3372" s="3">
        <f t="shared" si="104"/>
        <v>2017</v>
      </c>
      <c r="C3372" s="3">
        <f t="shared" si="105"/>
        <v>10</v>
      </c>
      <c r="D3372" t="s">
        <v>571</v>
      </c>
      <c r="E3372" t="s">
        <v>62</v>
      </c>
      <c r="F3372" t="s">
        <v>28</v>
      </c>
      <c r="G3372" t="s">
        <v>29</v>
      </c>
      <c r="H3372" t="s">
        <v>2278</v>
      </c>
      <c r="I3372" s="2">
        <v>6.48</v>
      </c>
      <c r="J3372" s="3">
        <v>1</v>
      </c>
      <c r="K3372" s="2">
        <v>3.11</v>
      </c>
    </row>
    <row r="3373" spans="1:11" x14ac:dyDescent="0.35">
      <c r="A3373" s="1">
        <v>43014</v>
      </c>
      <c r="B3373" s="3">
        <f t="shared" si="104"/>
        <v>2017</v>
      </c>
      <c r="C3373" s="3">
        <f t="shared" si="105"/>
        <v>10</v>
      </c>
      <c r="D3373" t="s">
        <v>921</v>
      </c>
      <c r="E3373" t="s">
        <v>26</v>
      </c>
      <c r="F3373" t="s">
        <v>28</v>
      </c>
      <c r="G3373" t="s">
        <v>38</v>
      </c>
      <c r="H3373" t="s">
        <v>231</v>
      </c>
      <c r="I3373" s="2">
        <v>290.33999999999997</v>
      </c>
      <c r="J3373" s="3">
        <v>2</v>
      </c>
      <c r="K3373" s="2">
        <v>32.659999999999997</v>
      </c>
    </row>
    <row r="3374" spans="1:11" x14ac:dyDescent="0.35">
      <c r="A3374" s="1">
        <v>43014</v>
      </c>
      <c r="B3374" s="3">
        <f t="shared" si="104"/>
        <v>2017</v>
      </c>
      <c r="C3374" s="3">
        <f t="shared" si="105"/>
        <v>10</v>
      </c>
      <c r="D3374" t="s">
        <v>921</v>
      </c>
      <c r="E3374" t="s">
        <v>26</v>
      </c>
      <c r="F3374" t="s">
        <v>28</v>
      </c>
      <c r="G3374" t="s">
        <v>64</v>
      </c>
      <c r="H3374" t="s">
        <v>1542</v>
      </c>
      <c r="I3374" s="2">
        <v>19.149999999999999</v>
      </c>
      <c r="J3374" s="3">
        <v>2</v>
      </c>
      <c r="K3374" s="2">
        <v>1.2</v>
      </c>
    </row>
    <row r="3375" spans="1:11" x14ac:dyDescent="0.35">
      <c r="A3375" s="1">
        <v>43014</v>
      </c>
      <c r="B3375" s="3">
        <f t="shared" si="104"/>
        <v>2017</v>
      </c>
      <c r="C3375" s="3">
        <f t="shared" si="105"/>
        <v>10</v>
      </c>
      <c r="D3375" t="s">
        <v>262</v>
      </c>
      <c r="E3375" t="s">
        <v>211</v>
      </c>
      <c r="F3375" t="s">
        <v>28</v>
      </c>
      <c r="G3375" t="s">
        <v>64</v>
      </c>
      <c r="H3375" t="s">
        <v>1499</v>
      </c>
      <c r="I3375" s="2">
        <v>9.34</v>
      </c>
      <c r="J3375" s="3">
        <v>2</v>
      </c>
      <c r="K3375" s="2">
        <v>1.87</v>
      </c>
    </row>
    <row r="3376" spans="1:11" x14ac:dyDescent="0.35">
      <c r="A3376" s="1">
        <v>43045</v>
      </c>
      <c r="B3376" s="3">
        <f t="shared" si="104"/>
        <v>2017</v>
      </c>
      <c r="C3376" s="3">
        <f t="shared" si="105"/>
        <v>11</v>
      </c>
      <c r="D3376" t="s">
        <v>2279</v>
      </c>
      <c r="E3376" t="s">
        <v>107</v>
      </c>
      <c r="F3376" t="s">
        <v>28</v>
      </c>
      <c r="G3376" t="s">
        <v>48</v>
      </c>
      <c r="H3376" t="s">
        <v>2280</v>
      </c>
      <c r="I3376" s="2">
        <v>5.68</v>
      </c>
      <c r="J3376" s="3">
        <v>1</v>
      </c>
      <c r="K3376" s="2">
        <v>-3.79</v>
      </c>
    </row>
    <row r="3377" spans="1:11" x14ac:dyDescent="0.35">
      <c r="A3377" s="1">
        <v>43045</v>
      </c>
      <c r="B3377" s="3">
        <f t="shared" si="104"/>
        <v>2017</v>
      </c>
      <c r="C3377" s="3">
        <f t="shared" si="105"/>
        <v>11</v>
      </c>
      <c r="D3377" t="s">
        <v>611</v>
      </c>
      <c r="E3377" t="s">
        <v>62</v>
      </c>
      <c r="F3377" t="s">
        <v>28</v>
      </c>
      <c r="G3377" t="s">
        <v>38</v>
      </c>
      <c r="H3377" t="s">
        <v>2281</v>
      </c>
      <c r="I3377" s="2">
        <v>46.26</v>
      </c>
      <c r="J3377" s="3">
        <v>3</v>
      </c>
      <c r="K3377" s="2">
        <v>12.03</v>
      </c>
    </row>
    <row r="3378" spans="1:11" x14ac:dyDescent="0.35">
      <c r="A3378" s="1">
        <v>43045</v>
      </c>
      <c r="B3378" s="3">
        <f t="shared" si="104"/>
        <v>2017</v>
      </c>
      <c r="C3378" s="3">
        <f t="shared" si="105"/>
        <v>11</v>
      </c>
      <c r="D3378" t="s">
        <v>2282</v>
      </c>
      <c r="E3378" t="s">
        <v>118</v>
      </c>
      <c r="F3378" t="s">
        <v>28</v>
      </c>
      <c r="G3378" t="s">
        <v>29</v>
      </c>
      <c r="H3378" t="s">
        <v>817</v>
      </c>
      <c r="I3378" s="2">
        <v>5.78</v>
      </c>
      <c r="J3378" s="3">
        <v>1</v>
      </c>
      <c r="K3378" s="2">
        <v>2.83</v>
      </c>
    </row>
    <row r="3379" spans="1:11" x14ac:dyDescent="0.35">
      <c r="A3379" s="1">
        <v>43045</v>
      </c>
      <c r="B3379" s="3">
        <f t="shared" si="104"/>
        <v>2017</v>
      </c>
      <c r="C3379" s="3">
        <f t="shared" si="105"/>
        <v>11</v>
      </c>
      <c r="D3379" t="s">
        <v>1938</v>
      </c>
      <c r="E3379" t="s">
        <v>45</v>
      </c>
      <c r="F3379" t="s">
        <v>28</v>
      </c>
      <c r="G3379" t="s">
        <v>158</v>
      </c>
      <c r="H3379" t="s">
        <v>849</v>
      </c>
      <c r="I3379" s="2">
        <v>15.28</v>
      </c>
      <c r="J3379" s="3">
        <v>2</v>
      </c>
      <c r="K3379" s="2">
        <v>7.49</v>
      </c>
    </row>
    <row r="3380" spans="1:11" x14ac:dyDescent="0.35">
      <c r="A3380" s="1">
        <v>43045</v>
      </c>
      <c r="B3380" s="3">
        <f t="shared" si="104"/>
        <v>2017</v>
      </c>
      <c r="C3380" s="3">
        <f t="shared" si="105"/>
        <v>11</v>
      </c>
      <c r="D3380" t="s">
        <v>1938</v>
      </c>
      <c r="E3380" t="s">
        <v>45</v>
      </c>
      <c r="F3380" t="s">
        <v>18</v>
      </c>
      <c r="G3380" t="s">
        <v>36</v>
      </c>
      <c r="H3380" t="s">
        <v>2083</v>
      </c>
      <c r="I3380" s="2">
        <v>8.73</v>
      </c>
      <c r="J3380" s="3">
        <v>1</v>
      </c>
      <c r="K3380" s="2">
        <v>2.97</v>
      </c>
    </row>
    <row r="3381" spans="1:11" x14ac:dyDescent="0.35">
      <c r="A3381" s="1">
        <v>43045</v>
      </c>
      <c r="B3381" s="3">
        <f t="shared" si="104"/>
        <v>2017</v>
      </c>
      <c r="C3381" s="3">
        <f t="shared" si="105"/>
        <v>11</v>
      </c>
      <c r="D3381" t="s">
        <v>1938</v>
      </c>
      <c r="E3381" t="s">
        <v>45</v>
      </c>
      <c r="F3381" t="s">
        <v>28</v>
      </c>
      <c r="G3381" t="s">
        <v>64</v>
      </c>
      <c r="H3381" t="s">
        <v>1309</v>
      </c>
      <c r="I3381" s="2">
        <v>5.68</v>
      </c>
      <c r="J3381" s="3">
        <v>2</v>
      </c>
      <c r="K3381" s="2">
        <v>1.76</v>
      </c>
    </row>
    <row r="3382" spans="1:11" x14ac:dyDescent="0.35">
      <c r="A3382" s="1">
        <v>43045</v>
      </c>
      <c r="B3382" s="3">
        <f t="shared" si="104"/>
        <v>2017</v>
      </c>
      <c r="C3382" s="3">
        <f t="shared" si="105"/>
        <v>11</v>
      </c>
      <c r="D3382" t="s">
        <v>933</v>
      </c>
      <c r="E3382" t="s">
        <v>81</v>
      </c>
      <c r="F3382" t="s">
        <v>28</v>
      </c>
      <c r="G3382" t="s">
        <v>58</v>
      </c>
      <c r="H3382" t="s">
        <v>2078</v>
      </c>
      <c r="I3382" s="2">
        <v>499.58</v>
      </c>
      <c r="J3382" s="3">
        <v>3</v>
      </c>
      <c r="K3382" s="2">
        <v>43.71</v>
      </c>
    </row>
    <row r="3383" spans="1:11" x14ac:dyDescent="0.35">
      <c r="A3383" s="1">
        <v>43045</v>
      </c>
      <c r="B3383" s="3">
        <f t="shared" si="104"/>
        <v>2017</v>
      </c>
      <c r="C3383" s="3">
        <f t="shared" si="105"/>
        <v>11</v>
      </c>
      <c r="D3383" t="s">
        <v>933</v>
      </c>
      <c r="E3383" t="s">
        <v>81</v>
      </c>
      <c r="F3383" t="s">
        <v>28</v>
      </c>
      <c r="G3383" t="s">
        <v>29</v>
      </c>
      <c r="H3383" t="s">
        <v>1003</v>
      </c>
      <c r="I3383" s="2">
        <v>31.1</v>
      </c>
      <c r="J3383" s="3">
        <v>6</v>
      </c>
      <c r="K3383" s="2">
        <v>10.89</v>
      </c>
    </row>
    <row r="3384" spans="1:11" x14ac:dyDescent="0.35">
      <c r="A3384" s="1">
        <v>43045</v>
      </c>
      <c r="B3384" s="3">
        <f t="shared" si="104"/>
        <v>2017</v>
      </c>
      <c r="C3384" s="3">
        <f t="shared" si="105"/>
        <v>11</v>
      </c>
      <c r="D3384" t="s">
        <v>933</v>
      </c>
      <c r="E3384" t="s">
        <v>81</v>
      </c>
      <c r="F3384" t="s">
        <v>28</v>
      </c>
      <c r="G3384" t="s">
        <v>48</v>
      </c>
      <c r="H3384" t="s">
        <v>261</v>
      </c>
      <c r="I3384" s="2">
        <v>13.27</v>
      </c>
      <c r="J3384" s="3">
        <v>8</v>
      </c>
      <c r="K3384" s="2">
        <v>-10.62</v>
      </c>
    </row>
    <row r="3385" spans="1:11" x14ac:dyDescent="0.35">
      <c r="A3385" s="1">
        <v>43045</v>
      </c>
      <c r="B3385" s="3">
        <f t="shared" si="104"/>
        <v>2017</v>
      </c>
      <c r="C3385" s="3">
        <f t="shared" si="105"/>
        <v>11</v>
      </c>
      <c r="D3385" t="s">
        <v>933</v>
      </c>
      <c r="E3385" t="s">
        <v>81</v>
      </c>
      <c r="F3385" t="s">
        <v>18</v>
      </c>
      <c r="G3385" t="s">
        <v>36</v>
      </c>
      <c r="H3385" t="s">
        <v>411</v>
      </c>
      <c r="I3385" s="2">
        <v>28.27</v>
      </c>
      <c r="J3385" s="3">
        <v>2</v>
      </c>
      <c r="K3385" s="2">
        <v>6.36</v>
      </c>
    </row>
    <row r="3386" spans="1:11" x14ac:dyDescent="0.35">
      <c r="A3386" s="1">
        <v>43045</v>
      </c>
      <c r="B3386" s="3">
        <f t="shared" si="104"/>
        <v>2017</v>
      </c>
      <c r="C3386" s="3">
        <f t="shared" si="105"/>
        <v>11</v>
      </c>
      <c r="D3386" t="s">
        <v>933</v>
      </c>
      <c r="E3386" t="s">
        <v>81</v>
      </c>
      <c r="F3386" t="s">
        <v>28</v>
      </c>
      <c r="G3386" t="s">
        <v>38</v>
      </c>
      <c r="H3386" t="s">
        <v>720</v>
      </c>
      <c r="I3386" s="2">
        <v>259.14</v>
      </c>
      <c r="J3386" s="3">
        <v>4</v>
      </c>
      <c r="K3386" s="2">
        <v>-51.83</v>
      </c>
    </row>
    <row r="3387" spans="1:11" x14ac:dyDescent="0.35">
      <c r="A3387" s="1">
        <v>43045</v>
      </c>
      <c r="B3387" s="3">
        <f t="shared" si="104"/>
        <v>2017</v>
      </c>
      <c r="C3387" s="3">
        <f t="shared" si="105"/>
        <v>11</v>
      </c>
      <c r="D3387" t="s">
        <v>1328</v>
      </c>
      <c r="E3387" t="s">
        <v>55</v>
      </c>
      <c r="F3387" t="s">
        <v>28</v>
      </c>
      <c r="G3387" t="s">
        <v>64</v>
      </c>
      <c r="H3387" t="s">
        <v>2283</v>
      </c>
      <c r="I3387" s="2">
        <v>13.9</v>
      </c>
      <c r="J3387" s="3">
        <v>5</v>
      </c>
      <c r="K3387" s="2">
        <v>3.61</v>
      </c>
    </row>
    <row r="3388" spans="1:11" x14ac:dyDescent="0.35">
      <c r="A3388" s="1">
        <v>43045</v>
      </c>
      <c r="B3388" s="3">
        <f t="shared" si="104"/>
        <v>2017</v>
      </c>
      <c r="C3388" s="3">
        <f t="shared" si="105"/>
        <v>11</v>
      </c>
      <c r="D3388" t="s">
        <v>1328</v>
      </c>
      <c r="E3388" t="s">
        <v>55</v>
      </c>
      <c r="F3388" t="s">
        <v>28</v>
      </c>
      <c r="G3388" t="s">
        <v>29</v>
      </c>
      <c r="H3388" t="s">
        <v>123</v>
      </c>
      <c r="I3388" s="2">
        <v>26.38</v>
      </c>
      <c r="J3388" s="3">
        <v>1</v>
      </c>
      <c r="K3388" s="2">
        <v>12.13</v>
      </c>
    </row>
    <row r="3389" spans="1:11" x14ac:dyDescent="0.35">
      <c r="A3389" s="1">
        <v>43045</v>
      </c>
      <c r="B3389" s="3">
        <f t="shared" si="104"/>
        <v>2017</v>
      </c>
      <c r="C3389" s="3">
        <f t="shared" si="105"/>
        <v>11</v>
      </c>
      <c r="D3389" t="s">
        <v>2284</v>
      </c>
      <c r="E3389" t="s">
        <v>89</v>
      </c>
      <c r="F3389" t="s">
        <v>18</v>
      </c>
      <c r="G3389" t="s">
        <v>19</v>
      </c>
      <c r="H3389" t="s">
        <v>1115</v>
      </c>
      <c r="I3389" s="2">
        <v>127.37</v>
      </c>
      <c r="J3389" s="3">
        <v>2</v>
      </c>
      <c r="K3389" s="2">
        <v>-30.93</v>
      </c>
    </row>
    <row r="3390" spans="1:11" x14ac:dyDescent="0.35">
      <c r="A3390" s="1">
        <v>43045</v>
      </c>
      <c r="B3390" s="3">
        <f t="shared" si="104"/>
        <v>2017</v>
      </c>
      <c r="C3390" s="3">
        <f t="shared" si="105"/>
        <v>11</v>
      </c>
      <c r="D3390" t="s">
        <v>2284</v>
      </c>
      <c r="E3390" t="s">
        <v>89</v>
      </c>
      <c r="F3390" t="s">
        <v>28</v>
      </c>
      <c r="G3390" t="s">
        <v>29</v>
      </c>
      <c r="H3390" t="s">
        <v>1884</v>
      </c>
      <c r="I3390" s="2">
        <v>47.95</v>
      </c>
      <c r="J3390" s="3">
        <v>3</v>
      </c>
      <c r="K3390" s="2">
        <v>16.18</v>
      </c>
    </row>
    <row r="3391" spans="1:11" x14ac:dyDescent="0.35">
      <c r="A3391" s="1">
        <v>43045</v>
      </c>
      <c r="B3391" s="3">
        <f t="shared" si="104"/>
        <v>2017</v>
      </c>
      <c r="C3391" s="3">
        <f t="shared" si="105"/>
        <v>11</v>
      </c>
      <c r="D3391" t="s">
        <v>1360</v>
      </c>
      <c r="E3391" t="s">
        <v>45</v>
      </c>
      <c r="F3391" t="s">
        <v>28</v>
      </c>
      <c r="G3391" t="s">
        <v>29</v>
      </c>
      <c r="H3391" t="s">
        <v>1884</v>
      </c>
      <c r="I3391" s="2">
        <v>59.94</v>
      </c>
      <c r="J3391" s="3">
        <v>3</v>
      </c>
      <c r="K3391" s="2">
        <v>28.17</v>
      </c>
    </row>
    <row r="3392" spans="1:11" x14ac:dyDescent="0.35">
      <c r="A3392" s="1">
        <v>43045</v>
      </c>
      <c r="B3392" s="3">
        <f t="shared" si="104"/>
        <v>2017</v>
      </c>
      <c r="C3392" s="3">
        <f t="shared" si="105"/>
        <v>11</v>
      </c>
      <c r="D3392" t="s">
        <v>1360</v>
      </c>
      <c r="E3392" t="s">
        <v>45</v>
      </c>
      <c r="F3392" t="s">
        <v>28</v>
      </c>
      <c r="G3392" t="s">
        <v>29</v>
      </c>
      <c r="H3392" t="s">
        <v>123</v>
      </c>
      <c r="I3392" s="2">
        <v>45.36</v>
      </c>
      <c r="J3392" s="3">
        <v>4</v>
      </c>
      <c r="K3392" s="2">
        <v>22.23</v>
      </c>
    </row>
    <row r="3393" spans="1:11" x14ac:dyDescent="0.35">
      <c r="A3393" s="1">
        <v>43045</v>
      </c>
      <c r="B3393" s="3">
        <f t="shared" si="104"/>
        <v>2017</v>
      </c>
      <c r="C3393" s="3">
        <f t="shared" si="105"/>
        <v>11</v>
      </c>
      <c r="D3393" t="s">
        <v>1360</v>
      </c>
      <c r="E3393" t="s">
        <v>45</v>
      </c>
      <c r="F3393" t="s">
        <v>28</v>
      </c>
      <c r="G3393" t="s">
        <v>29</v>
      </c>
      <c r="H3393" t="s">
        <v>822</v>
      </c>
      <c r="I3393" s="2">
        <v>26.4</v>
      </c>
      <c r="J3393" s="3">
        <v>5</v>
      </c>
      <c r="K3393" s="2">
        <v>12.67</v>
      </c>
    </row>
    <row r="3394" spans="1:11" x14ac:dyDescent="0.35">
      <c r="A3394" s="1">
        <v>43045</v>
      </c>
      <c r="B3394" s="3">
        <f t="shared" ref="B3394:B3457" si="106">YEAR(A3394)</f>
        <v>2017</v>
      </c>
      <c r="C3394" s="3">
        <f t="shared" ref="C3394:C3457" si="107">MONTH(A3394)</f>
        <v>11</v>
      </c>
      <c r="D3394" t="s">
        <v>1360</v>
      </c>
      <c r="E3394" t="s">
        <v>45</v>
      </c>
      <c r="F3394" t="s">
        <v>28</v>
      </c>
      <c r="G3394" t="s">
        <v>46</v>
      </c>
      <c r="H3394" t="s">
        <v>1536</v>
      </c>
      <c r="I3394" s="2">
        <v>41.4</v>
      </c>
      <c r="J3394" s="3">
        <v>4</v>
      </c>
      <c r="K3394" s="2">
        <v>19.87</v>
      </c>
    </row>
    <row r="3395" spans="1:11" x14ac:dyDescent="0.35">
      <c r="A3395" s="1">
        <v>43045</v>
      </c>
      <c r="B3395" s="3">
        <f t="shared" si="106"/>
        <v>2017</v>
      </c>
      <c r="C3395" s="3">
        <f t="shared" si="107"/>
        <v>11</v>
      </c>
      <c r="D3395" t="s">
        <v>1360</v>
      </c>
      <c r="E3395" t="s">
        <v>45</v>
      </c>
      <c r="F3395" t="s">
        <v>13</v>
      </c>
      <c r="G3395" t="s">
        <v>14</v>
      </c>
      <c r="H3395" t="s">
        <v>541</v>
      </c>
      <c r="I3395" s="2">
        <v>16.95</v>
      </c>
      <c r="J3395" s="3">
        <v>1</v>
      </c>
      <c r="K3395" s="2">
        <v>1.02</v>
      </c>
    </row>
    <row r="3396" spans="1:11" x14ac:dyDescent="0.35">
      <c r="A3396" s="1">
        <v>43045</v>
      </c>
      <c r="B3396" s="3">
        <f t="shared" si="106"/>
        <v>2017</v>
      </c>
      <c r="C3396" s="3">
        <f t="shared" si="107"/>
        <v>11</v>
      </c>
      <c r="D3396" t="s">
        <v>2285</v>
      </c>
      <c r="E3396" t="s">
        <v>22</v>
      </c>
      <c r="F3396" t="s">
        <v>28</v>
      </c>
      <c r="G3396" t="s">
        <v>29</v>
      </c>
      <c r="H3396" t="s">
        <v>1324</v>
      </c>
      <c r="I3396" s="2">
        <v>318.95999999999998</v>
      </c>
      <c r="J3396" s="3">
        <v>9</v>
      </c>
      <c r="K3396" s="2">
        <v>149.91</v>
      </c>
    </row>
    <row r="3397" spans="1:11" x14ac:dyDescent="0.35">
      <c r="A3397" s="1">
        <v>43045</v>
      </c>
      <c r="B3397" s="3">
        <f t="shared" si="106"/>
        <v>2017</v>
      </c>
      <c r="C3397" s="3">
        <f t="shared" si="107"/>
        <v>11</v>
      </c>
      <c r="D3397" t="s">
        <v>1661</v>
      </c>
      <c r="E3397" t="s">
        <v>17</v>
      </c>
      <c r="F3397" t="s">
        <v>18</v>
      </c>
      <c r="G3397" t="s">
        <v>42</v>
      </c>
      <c r="H3397" t="s">
        <v>980</v>
      </c>
      <c r="I3397" s="2">
        <v>2036.86</v>
      </c>
      <c r="J3397" s="3">
        <v>7</v>
      </c>
      <c r="K3397" s="2">
        <v>366.63</v>
      </c>
    </row>
    <row r="3398" spans="1:11" x14ac:dyDescent="0.35">
      <c r="A3398" s="1">
        <v>43045</v>
      </c>
      <c r="B3398" s="3">
        <f t="shared" si="106"/>
        <v>2017</v>
      </c>
      <c r="C3398" s="3">
        <f t="shared" si="107"/>
        <v>11</v>
      </c>
      <c r="D3398" t="s">
        <v>1661</v>
      </c>
      <c r="E3398" t="s">
        <v>17</v>
      </c>
      <c r="F3398" t="s">
        <v>18</v>
      </c>
      <c r="G3398" t="s">
        <v>19</v>
      </c>
      <c r="H3398" t="s">
        <v>1564</v>
      </c>
      <c r="I3398" s="2">
        <v>449.57</v>
      </c>
      <c r="J3398" s="3">
        <v>2</v>
      </c>
      <c r="K3398" s="2">
        <v>-73.05</v>
      </c>
    </row>
    <row r="3399" spans="1:11" x14ac:dyDescent="0.35">
      <c r="A3399" s="1">
        <v>43045</v>
      </c>
      <c r="B3399" s="3">
        <f t="shared" si="106"/>
        <v>2017</v>
      </c>
      <c r="C3399" s="3">
        <f t="shared" si="107"/>
        <v>11</v>
      </c>
      <c r="D3399" t="s">
        <v>1661</v>
      </c>
      <c r="E3399" t="s">
        <v>17</v>
      </c>
      <c r="F3399" t="s">
        <v>13</v>
      </c>
      <c r="G3399" t="s">
        <v>14</v>
      </c>
      <c r="H3399" t="s">
        <v>906</v>
      </c>
      <c r="I3399" s="2">
        <v>108.96</v>
      </c>
      <c r="J3399" s="3">
        <v>3</v>
      </c>
      <c r="K3399" s="2">
        <v>32.69</v>
      </c>
    </row>
    <row r="3400" spans="1:11" x14ac:dyDescent="0.35">
      <c r="A3400" s="1">
        <v>43045</v>
      </c>
      <c r="B3400" s="3">
        <f t="shared" si="106"/>
        <v>2017</v>
      </c>
      <c r="C3400" s="3">
        <f t="shared" si="107"/>
        <v>11</v>
      </c>
      <c r="D3400" t="s">
        <v>223</v>
      </c>
      <c r="E3400" t="s">
        <v>32</v>
      </c>
      <c r="F3400" t="s">
        <v>18</v>
      </c>
      <c r="G3400" t="s">
        <v>36</v>
      </c>
      <c r="H3400" t="s">
        <v>151</v>
      </c>
      <c r="I3400" s="2">
        <v>30.56</v>
      </c>
      <c r="J3400" s="3">
        <v>5</v>
      </c>
      <c r="K3400" s="2">
        <v>-19.86</v>
      </c>
    </row>
    <row r="3401" spans="1:11" x14ac:dyDescent="0.35">
      <c r="A3401" s="1">
        <v>43045</v>
      </c>
      <c r="B3401" s="3">
        <f t="shared" si="106"/>
        <v>2017</v>
      </c>
      <c r="C3401" s="3">
        <f t="shared" si="107"/>
        <v>11</v>
      </c>
      <c r="D3401" t="s">
        <v>1919</v>
      </c>
      <c r="E3401" t="s">
        <v>32</v>
      </c>
      <c r="F3401" t="s">
        <v>28</v>
      </c>
      <c r="G3401" t="s">
        <v>48</v>
      </c>
      <c r="H3401" t="s">
        <v>53</v>
      </c>
      <c r="I3401" s="2">
        <v>1.25</v>
      </c>
      <c r="J3401" s="3">
        <v>2</v>
      </c>
      <c r="K3401" s="2">
        <v>-1.93</v>
      </c>
    </row>
    <row r="3402" spans="1:11" x14ac:dyDescent="0.35">
      <c r="A3402" s="1">
        <v>43045</v>
      </c>
      <c r="B3402" s="3">
        <f t="shared" si="106"/>
        <v>2017</v>
      </c>
      <c r="C3402" s="3">
        <f t="shared" si="107"/>
        <v>11</v>
      </c>
      <c r="D3402" t="s">
        <v>2286</v>
      </c>
      <c r="E3402" t="s">
        <v>32</v>
      </c>
      <c r="F3402" t="s">
        <v>28</v>
      </c>
      <c r="G3402" t="s">
        <v>38</v>
      </c>
      <c r="H3402" t="s">
        <v>1980</v>
      </c>
      <c r="I3402" s="2">
        <v>18.16</v>
      </c>
      <c r="J3402" s="3">
        <v>2</v>
      </c>
      <c r="K3402" s="2">
        <v>1.82</v>
      </c>
    </row>
    <row r="3403" spans="1:11" x14ac:dyDescent="0.35">
      <c r="A3403" s="1">
        <v>43075</v>
      </c>
      <c r="B3403" s="3">
        <f t="shared" si="106"/>
        <v>2017</v>
      </c>
      <c r="C3403" s="3">
        <f t="shared" si="107"/>
        <v>12</v>
      </c>
      <c r="D3403" t="s">
        <v>1002</v>
      </c>
      <c r="E3403" t="s">
        <v>45</v>
      </c>
      <c r="F3403" t="s">
        <v>28</v>
      </c>
      <c r="G3403" t="s">
        <v>38</v>
      </c>
      <c r="H3403" t="s">
        <v>295</v>
      </c>
      <c r="I3403" s="2">
        <v>10.68</v>
      </c>
      <c r="J3403" s="3">
        <v>1</v>
      </c>
      <c r="K3403" s="2">
        <v>2.88</v>
      </c>
    </row>
    <row r="3404" spans="1:11" x14ac:dyDescent="0.35">
      <c r="A3404" s="1">
        <v>42742</v>
      </c>
      <c r="B3404" s="3">
        <f t="shared" si="106"/>
        <v>2017</v>
      </c>
      <c r="C3404" s="3">
        <f t="shared" si="107"/>
        <v>1</v>
      </c>
      <c r="D3404" t="s">
        <v>1972</v>
      </c>
      <c r="E3404" t="s">
        <v>71</v>
      </c>
      <c r="F3404" t="s">
        <v>13</v>
      </c>
      <c r="G3404" t="s">
        <v>204</v>
      </c>
      <c r="H3404" t="s">
        <v>702</v>
      </c>
      <c r="I3404" s="2">
        <v>3059.98</v>
      </c>
      <c r="J3404" s="3">
        <v>2</v>
      </c>
      <c r="K3404" s="2">
        <v>680</v>
      </c>
    </row>
    <row r="3405" spans="1:11" x14ac:dyDescent="0.35">
      <c r="A3405" s="1">
        <v>42742</v>
      </c>
      <c r="B3405" s="3">
        <f t="shared" si="106"/>
        <v>2017</v>
      </c>
      <c r="C3405" s="3">
        <f t="shared" si="107"/>
        <v>1</v>
      </c>
      <c r="D3405" t="s">
        <v>2287</v>
      </c>
      <c r="E3405" t="s">
        <v>77</v>
      </c>
      <c r="F3405" t="s">
        <v>28</v>
      </c>
      <c r="G3405" t="s">
        <v>48</v>
      </c>
      <c r="H3405" t="s">
        <v>53</v>
      </c>
      <c r="I3405" s="2">
        <v>2.81</v>
      </c>
      <c r="J3405" s="3">
        <v>3</v>
      </c>
      <c r="K3405" s="2">
        <v>-1.97</v>
      </c>
    </row>
    <row r="3406" spans="1:11" x14ac:dyDescent="0.35">
      <c r="A3406" s="1">
        <v>42742</v>
      </c>
      <c r="B3406" s="3">
        <f t="shared" si="106"/>
        <v>2017</v>
      </c>
      <c r="C3406" s="3">
        <f t="shared" si="107"/>
        <v>1</v>
      </c>
      <c r="D3406" t="s">
        <v>1720</v>
      </c>
      <c r="E3406" t="s">
        <v>45</v>
      </c>
      <c r="F3406" t="s">
        <v>28</v>
      </c>
      <c r="G3406" t="s">
        <v>38</v>
      </c>
      <c r="H3406" t="s">
        <v>1587</v>
      </c>
      <c r="I3406" s="2">
        <v>153.78</v>
      </c>
      <c r="J3406" s="3">
        <v>11</v>
      </c>
      <c r="K3406" s="2">
        <v>44.6</v>
      </c>
    </row>
    <row r="3407" spans="1:11" x14ac:dyDescent="0.35">
      <c r="A3407" s="1">
        <v>42742</v>
      </c>
      <c r="B3407" s="3">
        <f t="shared" si="106"/>
        <v>2017</v>
      </c>
      <c r="C3407" s="3">
        <f t="shared" si="107"/>
        <v>1</v>
      </c>
      <c r="D3407" t="s">
        <v>1720</v>
      </c>
      <c r="E3407" t="s">
        <v>45</v>
      </c>
      <c r="F3407" t="s">
        <v>28</v>
      </c>
      <c r="G3407" t="s">
        <v>38</v>
      </c>
      <c r="H3407" t="s">
        <v>2288</v>
      </c>
      <c r="I3407" s="2">
        <v>61.02</v>
      </c>
      <c r="J3407" s="3">
        <v>3</v>
      </c>
      <c r="K3407" s="2">
        <v>0.61</v>
      </c>
    </row>
    <row r="3408" spans="1:11" x14ac:dyDescent="0.35">
      <c r="A3408" s="1">
        <v>42742</v>
      </c>
      <c r="B3408" s="3">
        <f t="shared" si="106"/>
        <v>2017</v>
      </c>
      <c r="C3408" s="3">
        <f t="shared" si="107"/>
        <v>1</v>
      </c>
      <c r="D3408" t="s">
        <v>1720</v>
      </c>
      <c r="E3408" t="s">
        <v>45</v>
      </c>
      <c r="F3408" t="s">
        <v>28</v>
      </c>
      <c r="G3408" t="s">
        <v>215</v>
      </c>
      <c r="H3408" t="s">
        <v>2289</v>
      </c>
      <c r="I3408" s="2">
        <v>110.11</v>
      </c>
      <c r="J3408" s="3">
        <v>7</v>
      </c>
      <c r="K3408" s="2">
        <v>31.93</v>
      </c>
    </row>
    <row r="3409" spans="1:11" x14ac:dyDescent="0.35">
      <c r="A3409" s="1">
        <v>42742</v>
      </c>
      <c r="B3409" s="3">
        <f t="shared" si="106"/>
        <v>2017</v>
      </c>
      <c r="C3409" s="3">
        <f t="shared" si="107"/>
        <v>1</v>
      </c>
      <c r="D3409" t="s">
        <v>1720</v>
      </c>
      <c r="E3409" t="s">
        <v>45</v>
      </c>
      <c r="F3409" t="s">
        <v>28</v>
      </c>
      <c r="G3409" t="s">
        <v>33</v>
      </c>
      <c r="H3409" t="s">
        <v>111</v>
      </c>
      <c r="I3409" s="2">
        <v>7.89</v>
      </c>
      <c r="J3409" s="3">
        <v>1</v>
      </c>
      <c r="K3409" s="2">
        <v>3.55</v>
      </c>
    </row>
    <row r="3410" spans="1:11" x14ac:dyDescent="0.35">
      <c r="A3410" s="1">
        <v>42801</v>
      </c>
      <c r="B3410" s="3">
        <f t="shared" si="106"/>
        <v>2017</v>
      </c>
      <c r="C3410" s="3">
        <f t="shared" si="107"/>
        <v>3</v>
      </c>
      <c r="D3410" t="s">
        <v>1779</v>
      </c>
      <c r="E3410" t="s">
        <v>249</v>
      </c>
      <c r="F3410" t="s">
        <v>13</v>
      </c>
      <c r="G3410" t="s">
        <v>14</v>
      </c>
      <c r="H3410" t="s">
        <v>475</v>
      </c>
      <c r="I3410" s="2">
        <v>49.08</v>
      </c>
      <c r="J3410" s="3">
        <v>3</v>
      </c>
      <c r="K3410" s="2">
        <v>4.91</v>
      </c>
    </row>
    <row r="3411" spans="1:11" x14ac:dyDescent="0.35">
      <c r="A3411" s="1">
        <v>42801</v>
      </c>
      <c r="B3411" s="3">
        <f t="shared" si="106"/>
        <v>2017</v>
      </c>
      <c r="C3411" s="3">
        <f t="shared" si="107"/>
        <v>3</v>
      </c>
      <c r="D3411" t="s">
        <v>229</v>
      </c>
      <c r="E3411" t="s">
        <v>22</v>
      </c>
      <c r="F3411" t="s">
        <v>28</v>
      </c>
      <c r="G3411" t="s">
        <v>48</v>
      </c>
      <c r="H3411" t="s">
        <v>1569</v>
      </c>
      <c r="I3411" s="2">
        <v>25.92</v>
      </c>
      <c r="J3411" s="3">
        <v>6</v>
      </c>
      <c r="K3411" s="2">
        <v>9.07</v>
      </c>
    </row>
    <row r="3412" spans="1:11" x14ac:dyDescent="0.35">
      <c r="A3412" s="1">
        <v>42801</v>
      </c>
      <c r="B3412" s="3">
        <f t="shared" si="106"/>
        <v>2017</v>
      </c>
      <c r="C3412" s="3">
        <f t="shared" si="107"/>
        <v>3</v>
      </c>
      <c r="D3412" t="s">
        <v>229</v>
      </c>
      <c r="E3412" t="s">
        <v>22</v>
      </c>
      <c r="F3412" t="s">
        <v>28</v>
      </c>
      <c r="G3412" t="s">
        <v>46</v>
      </c>
      <c r="H3412" t="s">
        <v>2270</v>
      </c>
      <c r="I3412" s="2">
        <v>91.59</v>
      </c>
      <c r="J3412" s="3">
        <v>3</v>
      </c>
      <c r="K3412" s="2">
        <v>42.13</v>
      </c>
    </row>
    <row r="3413" spans="1:11" x14ac:dyDescent="0.35">
      <c r="A3413" s="1">
        <v>42832</v>
      </c>
      <c r="B3413" s="3">
        <f t="shared" si="106"/>
        <v>2017</v>
      </c>
      <c r="C3413" s="3">
        <f t="shared" si="107"/>
        <v>4</v>
      </c>
      <c r="D3413" t="s">
        <v>1131</v>
      </c>
      <c r="E3413" t="s">
        <v>77</v>
      </c>
      <c r="F3413" t="s">
        <v>18</v>
      </c>
      <c r="G3413" t="s">
        <v>42</v>
      </c>
      <c r="H3413" t="s">
        <v>1088</v>
      </c>
      <c r="I3413" s="2">
        <v>233.86</v>
      </c>
      <c r="J3413" s="3">
        <v>2</v>
      </c>
      <c r="K3413" s="2">
        <v>-102.05</v>
      </c>
    </row>
    <row r="3414" spans="1:11" x14ac:dyDescent="0.35">
      <c r="A3414" s="1">
        <v>42832</v>
      </c>
      <c r="B3414" s="3">
        <f t="shared" si="106"/>
        <v>2017</v>
      </c>
      <c r="C3414" s="3">
        <f t="shared" si="107"/>
        <v>4</v>
      </c>
      <c r="D3414" t="s">
        <v>1131</v>
      </c>
      <c r="E3414" t="s">
        <v>77</v>
      </c>
      <c r="F3414" t="s">
        <v>18</v>
      </c>
      <c r="G3414" t="s">
        <v>42</v>
      </c>
      <c r="H3414" t="s">
        <v>1029</v>
      </c>
      <c r="I3414" s="2">
        <v>620.61</v>
      </c>
      <c r="J3414" s="3">
        <v>3</v>
      </c>
      <c r="K3414" s="2">
        <v>-248.25</v>
      </c>
    </row>
    <row r="3415" spans="1:11" x14ac:dyDescent="0.35">
      <c r="A3415" s="1">
        <v>42832</v>
      </c>
      <c r="B3415" s="3">
        <f t="shared" si="106"/>
        <v>2017</v>
      </c>
      <c r="C3415" s="3">
        <f t="shared" si="107"/>
        <v>4</v>
      </c>
      <c r="D3415" t="s">
        <v>1131</v>
      </c>
      <c r="E3415" t="s">
        <v>77</v>
      </c>
      <c r="F3415" t="s">
        <v>28</v>
      </c>
      <c r="G3415" t="s">
        <v>48</v>
      </c>
      <c r="H3415" t="s">
        <v>2290</v>
      </c>
      <c r="I3415" s="2">
        <v>5.33</v>
      </c>
      <c r="J3415" s="3">
        <v>2</v>
      </c>
      <c r="K3415" s="2">
        <v>-3.55</v>
      </c>
    </row>
    <row r="3416" spans="1:11" x14ac:dyDescent="0.35">
      <c r="A3416" s="1">
        <v>42832</v>
      </c>
      <c r="B3416" s="3">
        <f t="shared" si="106"/>
        <v>2017</v>
      </c>
      <c r="C3416" s="3">
        <f t="shared" si="107"/>
        <v>4</v>
      </c>
      <c r="D3416" t="s">
        <v>1131</v>
      </c>
      <c r="E3416" t="s">
        <v>77</v>
      </c>
      <c r="F3416" t="s">
        <v>18</v>
      </c>
      <c r="G3416" t="s">
        <v>36</v>
      </c>
      <c r="H3416" t="s">
        <v>2291</v>
      </c>
      <c r="I3416" s="2">
        <v>258.07</v>
      </c>
      <c r="J3416" s="3">
        <v>3</v>
      </c>
      <c r="K3416" s="2">
        <v>0</v>
      </c>
    </row>
    <row r="3417" spans="1:11" x14ac:dyDescent="0.35">
      <c r="A3417" s="1">
        <v>42832</v>
      </c>
      <c r="B3417" s="3">
        <f t="shared" si="106"/>
        <v>2017</v>
      </c>
      <c r="C3417" s="3">
        <f t="shared" si="107"/>
        <v>4</v>
      </c>
      <c r="D3417" t="s">
        <v>1131</v>
      </c>
      <c r="E3417" t="s">
        <v>77</v>
      </c>
      <c r="F3417" t="s">
        <v>13</v>
      </c>
      <c r="G3417" t="s">
        <v>14</v>
      </c>
      <c r="H3417" t="s">
        <v>2048</v>
      </c>
      <c r="I3417" s="2">
        <v>617.98</v>
      </c>
      <c r="J3417" s="3">
        <v>3</v>
      </c>
      <c r="K3417" s="2">
        <v>-7.72</v>
      </c>
    </row>
    <row r="3418" spans="1:11" x14ac:dyDescent="0.35">
      <c r="A3418" s="1">
        <v>42832</v>
      </c>
      <c r="B3418" s="3">
        <f t="shared" si="106"/>
        <v>2017</v>
      </c>
      <c r="C3418" s="3">
        <f t="shared" si="107"/>
        <v>4</v>
      </c>
      <c r="D3418" t="s">
        <v>21</v>
      </c>
      <c r="E3418" t="s">
        <v>77</v>
      </c>
      <c r="F3418" t="s">
        <v>28</v>
      </c>
      <c r="G3418" t="s">
        <v>64</v>
      </c>
      <c r="H3418" t="s">
        <v>958</v>
      </c>
      <c r="I3418" s="2">
        <v>16.260000000000002</v>
      </c>
      <c r="J3418" s="3">
        <v>2</v>
      </c>
      <c r="K3418" s="2">
        <v>1.22</v>
      </c>
    </row>
    <row r="3419" spans="1:11" x14ac:dyDescent="0.35">
      <c r="A3419" s="1">
        <v>42832</v>
      </c>
      <c r="B3419" s="3">
        <f t="shared" si="106"/>
        <v>2017</v>
      </c>
      <c r="C3419" s="3">
        <f t="shared" si="107"/>
        <v>4</v>
      </c>
      <c r="D3419" t="s">
        <v>21</v>
      </c>
      <c r="E3419" t="s">
        <v>77</v>
      </c>
      <c r="F3419" t="s">
        <v>13</v>
      </c>
      <c r="G3419" t="s">
        <v>23</v>
      </c>
      <c r="H3419" t="s">
        <v>971</v>
      </c>
      <c r="I3419" s="2">
        <v>219.18</v>
      </c>
      <c r="J3419" s="3">
        <v>2</v>
      </c>
      <c r="K3419" s="2">
        <v>19.18</v>
      </c>
    </row>
    <row r="3420" spans="1:11" x14ac:dyDescent="0.35">
      <c r="A3420" s="1">
        <v>42862</v>
      </c>
      <c r="B3420" s="3">
        <f t="shared" si="106"/>
        <v>2017</v>
      </c>
      <c r="C3420" s="3">
        <f t="shared" si="107"/>
        <v>5</v>
      </c>
      <c r="D3420" t="s">
        <v>1161</v>
      </c>
      <c r="E3420" t="s">
        <v>71</v>
      </c>
      <c r="F3420" t="s">
        <v>18</v>
      </c>
      <c r="G3420" t="s">
        <v>19</v>
      </c>
      <c r="H3420" t="s">
        <v>1114</v>
      </c>
      <c r="I3420" s="2">
        <v>1458.65</v>
      </c>
      <c r="J3420" s="3">
        <v>5</v>
      </c>
      <c r="K3420" s="2">
        <v>423.01</v>
      </c>
    </row>
    <row r="3421" spans="1:11" x14ac:dyDescent="0.35">
      <c r="A3421" s="1">
        <v>42862</v>
      </c>
      <c r="B3421" s="3">
        <f t="shared" si="106"/>
        <v>2017</v>
      </c>
      <c r="C3421" s="3">
        <f t="shared" si="107"/>
        <v>5</v>
      </c>
      <c r="D3421" t="s">
        <v>1161</v>
      </c>
      <c r="E3421" t="s">
        <v>71</v>
      </c>
      <c r="F3421" t="s">
        <v>18</v>
      </c>
      <c r="G3421" t="s">
        <v>19</v>
      </c>
      <c r="H3421" t="s">
        <v>2292</v>
      </c>
      <c r="I3421" s="2">
        <v>26.64</v>
      </c>
      <c r="J3421" s="3">
        <v>1</v>
      </c>
      <c r="K3421" s="2">
        <v>7.46</v>
      </c>
    </row>
    <row r="3422" spans="1:11" x14ac:dyDescent="0.35">
      <c r="A3422" s="1">
        <v>42862</v>
      </c>
      <c r="B3422" s="3">
        <f t="shared" si="106"/>
        <v>2017</v>
      </c>
      <c r="C3422" s="3">
        <f t="shared" si="107"/>
        <v>5</v>
      </c>
      <c r="D3422" t="s">
        <v>1161</v>
      </c>
      <c r="E3422" t="s">
        <v>71</v>
      </c>
      <c r="F3422" t="s">
        <v>18</v>
      </c>
      <c r="G3422" t="s">
        <v>19</v>
      </c>
      <c r="H3422" t="s">
        <v>1390</v>
      </c>
      <c r="I3422" s="2">
        <v>476.8</v>
      </c>
      <c r="J3422" s="3">
        <v>2</v>
      </c>
      <c r="K3422" s="2">
        <v>119.2</v>
      </c>
    </row>
    <row r="3423" spans="1:11" x14ac:dyDescent="0.35">
      <c r="A3423" s="1">
        <v>42862</v>
      </c>
      <c r="B3423" s="3">
        <f t="shared" si="106"/>
        <v>2017</v>
      </c>
      <c r="C3423" s="3">
        <f t="shared" si="107"/>
        <v>5</v>
      </c>
      <c r="D3423" t="s">
        <v>1161</v>
      </c>
      <c r="E3423" t="s">
        <v>71</v>
      </c>
      <c r="F3423" t="s">
        <v>28</v>
      </c>
      <c r="G3423" t="s">
        <v>58</v>
      </c>
      <c r="H3423" t="s">
        <v>2293</v>
      </c>
      <c r="I3423" s="2">
        <v>87.44</v>
      </c>
      <c r="J3423" s="3">
        <v>2</v>
      </c>
      <c r="K3423" s="2">
        <v>18.46</v>
      </c>
    </row>
    <row r="3424" spans="1:11" x14ac:dyDescent="0.35">
      <c r="A3424" s="1">
        <v>42862</v>
      </c>
      <c r="B3424" s="3">
        <f t="shared" si="106"/>
        <v>2017</v>
      </c>
      <c r="C3424" s="3">
        <f t="shared" si="107"/>
        <v>5</v>
      </c>
      <c r="D3424" t="s">
        <v>1661</v>
      </c>
      <c r="E3424" t="s">
        <v>45</v>
      </c>
      <c r="F3424" t="s">
        <v>13</v>
      </c>
      <c r="G3424" t="s">
        <v>14</v>
      </c>
      <c r="H3424" t="s">
        <v>276</v>
      </c>
      <c r="I3424" s="2">
        <v>79.989999999999995</v>
      </c>
      <c r="J3424" s="3">
        <v>1</v>
      </c>
      <c r="K3424" s="2">
        <v>28.8</v>
      </c>
    </row>
    <row r="3425" spans="1:11" x14ac:dyDescent="0.35">
      <c r="A3425" s="1">
        <v>42862</v>
      </c>
      <c r="B3425" s="3">
        <f t="shared" si="106"/>
        <v>2017</v>
      </c>
      <c r="C3425" s="3">
        <f t="shared" si="107"/>
        <v>5</v>
      </c>
      <c r="D3425" t="s">
        <v>678</v>
      </c>
      <c r="E3425" t="s">
        <v>45</v>
      </c>
      <c r="F3425" t="s">
        <v>13</v>
      </c>
      <c r="G3425" t="s">
        <v>23</v>
      </c>
      <c r="H3425" t="s">
        <v>2294</v>
      </c>
      <c r="I3425" s="2">
        <v>419.94</v>
      </c>
      <c r="J3425" s="3">
        <v>7</v>
      </c>
      <c r="K3425" s="2">
        <v>52.49</v>
      </c>
    </row>
    <row r="3426" spans="1:11" x14ac:dyDescent="0.35">
      <c r="A3426" s="1">
        <v>42923</v>
      </c>
      <c r="B3426" s="3">
        <f t="shared" si="106"/>
        <v>2017</v>
      </c>
      <c r="C3426" s="3">
        <f t="shared" si="107"/>
        <v>7</v>
      </c>
      <c r="D3426" t="s">
        <v>1236</v>
      </c>
      <c r="E3426" t="s">
        <v>22</v>
      </c>
      <c r="F3426" t="s">
        <v>28</v>
      </c>
      <c r="G3426" t="s">
        <v>48</v>
      </c>
      <c r="H3426" t="s">
        <v>1484</v>
      </c>
      <c r="I3426" s="2">
        <v>17.47</v>
      </c>
      <c r="J3426" s="3">
        <v>3</v>
      </c>
      <c r="K3426" s="2">
        <v>6.33</v>
      </c>
    </row>
    <row r="3427" spans="1:11" x14ac:dyDescent="0.35">
      <c r="A3427" s="1">
        <v>42923</v>
      </c>
      <c r="B3427" s="3">
        <f t="shared" si="106"/>
        <v>2017</v>
      </c>
      <c r="C3427" s="3">
        <f t="shared" si="107"/>
        <v>7</v>
      </c>
      <c r="D3427" t="s">
        <v>1136</v>
      </c>
      <c r="E3427" t="s">
        <v>1125</v>
      </c>
      <c r="F3427" t="s">
        <v>13</v>
      </c>
      <c r="G3427" t="s">
        <v>14</v>
      </c>
      <c r="H3427" t="s">
        <v>163</v>
      </c>
      <c r="I3427" s="2">
        <v>252</v>
      </c>
      <c r="J3427" s="3">
        <v>4</v>
      </c>
      <c r="K3427" s="2">
        <v>93.24</v>
      </c>
    </row>
    <row r="3428" spans="1:11" x14ac:dyDescent="0.35">
      <c r="A3428" s="1">
        <v>42923</v>
      </c>
      <c r="B3428" s="3">
        <f t="shared" si="106"/>
        <v>2017</v>
      </c>
      <c r="C3428" s="3">
        <f t="shared" si="107"/>
        <v>7</v>
      </c>
      <c r="D3428" t="s">
        <v>516</v>
      </c>
      <c r="E3428" t="s">
        <v>89</v>
      </c>
      <c r="F3428" t="s">
        <v>18</v>
      </c>
      <c r="G3428" t="s">
        <v>237</v>
      </c>
      <c r="H3428" t="s">
        <v>2295</v>
      </c>
      <c r="I3428" s="2">
        <v>87.21</v>
      </c>
      <c r="J3428" s="3">
        <v>3</v>
      </c>
      <c r="K3428" s="2">
        <v>-45.35</v>
      </c>
    </row>
    <row r="3429" spans="1:11" x14ac:dyDescent="0.35">
      <c r="A3429" s="1">
        <v>42923</v>
      </c>
      <c r="B3429" s="3">
        <f t="shared" si="106"/>
        <v>2017</v>
      </c>
      <c r="C3429" s="3">
        <f t="shared" si="107"/>
        <v>7</v>
      </c>
      <c r="D3429" t="s">
        <v>516</v>
      </c>
      <c r="E3429" t="s">
        <v>89</v>
      </c>
      <c r="F3429" t="s">
        <v>28</v>
      </c>
      <c r="G3429" t="s">
        <v>29</v>
      </c>
      <c r="H3429" t="s">
        <v>95</v>
      </c>
      <c r="I3429" s="2">
        <v>15.55</v>
      </c>
      <c r="J3429" s="3">
        <v>3</v>
      </c>
      <c r="K3429" s="2">
        <v>5.44</v>
      </c>
    </row>
    <row r="3430" spans="1:11" x14ac:dyDescent="0.35">
      <c r="A3430" s="1">
        <v>42923</v>
      </c>
      <c r="B3430" s="3">
        <f t="shared" si="106"/>
        <v>2017</v>
      </c>
      <c r="C3430" s="3">
        <f t="shared" si="107"/>
        <v>7</v>
      </c>
      <c r="D3430" t="s">
        <v>516</v>
      </c>
      <c r="E3430" t="s">
        <v>89</v>
      </c>
      <c r="F3430" t="s">
        <v>13</v>
      </c>
      <c r="G3430" t="s">
        <v>23</v>
      </c>
      <c r="H3430" t="s">
        <v>2296</v>
      </c>
      <c r="I3430" s="2">
        <v>683.99</v>
      </c>
      <c r="J3430" s="3">
        <v>2</v>
      </c>
      <c r="K3430" s="2">
        <v>-114</v>
      </c>
    </row>
    <row r="3431" spans="1:11" x14ac:dyDescent="0.35">
      <c r="A3431" s="1">
        <v>42923</v>
      </c>
      <c r="B3431" s="3">
        <f t="shared" si="106"/>
        <v>2017</v>
      </c>
      <c r="C3431" s="3">
        <f t="shared" si="107"/>
        <v>7</v>
      </c>
      <c r="D3431" t="s">
        <v>516</v>
      </c>
      <c r="E3431" t="s">
        <v>89</v>
      </c>
      <c r="F3431" t="s">
        <v>28</v>
      </c>
      <c r="G3431" t="s">
        <v>38</v>
      </c>
      <c r="H3431" t="s">
        <v>2297</v>
      </c>
      <c r="I3431" s="2">
        <v>13.39</v>
      </c>
      <c r="J3431" s="3">
        <v>3</v>
      </c>
      <c r="K3431" s="2">
        <v>1</v>
      </c>
    </row>
    <row r="3432" spans="1:11" x14ac:dyDescent="0.35">
      <c r="A3432" s="1">
        <v>42923</v>
      </c>
      <c r="B3432" s="3">
        <f t="shared" si="106"/>
        <v>2017</v>
      </c>
      <c r="C3432" s="3">
        <f t="shared" si="107"/>
        <v>7</v>
      </c>
      <c r="D3432" t="s">
        <v>516</v>
      </c>
      <c r="E3432" t="s">
        <v>89</v>
      </c>
      <c r="F3432" t="s">
        <v>13</v>
      </c>
      <c r="G3432" t="s">
        <v>14</v>
      </c>
      <c r="H3432" t="s">
        <v>1511</v>
      </c>
      <c r="I3432" s="2">
        <v>16.78</v>
      </c>
      <c r="J3432" s="3">
        <v>3</v>
      </c>
      <c r="K3432" s="2">
        <v>4.82</v>
      </c>
    </row>
    <row r="3433" spans="1:11" x14ac:dyDescent="0.35">
      <c r="A3433" s="1">
        <v>42923</v>
      </c>
      <c r="B3433" s="3">
        <f t="shared" si="106"/>
        <v>2017</v>
      </c>
      <c r="C3433" s="3">
        <f t="shared" si="107"/>
        <v>7</v>
      </c>
      <c r="D3433" t="s">
        <v>516</v>
      </c>
      <c r="E3433" t="s">
        <v>89</v>
      </c>
      <c r="F3433" t="s">
        <v>13</v>
      </c>
      <c r="G3433" t="s">
        <v>14</v>
      </c>
      <c r="H3433" t="s">
        <v>2298</v>
      </c>
      <c r="I3433" s="2">
        <v>527.91999999999996</v>
      </c>
      <c r="J3433" s="3">
        <v>2</v>
      </c>
      <c r="K3433" s="2">
        <v>85.79</v>
      </c>
    </row>
    <row r="3434" spans="1:11" x14ac:dyDescent="0.35">
      <c r="A3434" s="1">
        <v>42923</v>
      </c>
      <c r="B3434" s="3">
        <f t="shared" si="106"/>
        <v>2017</v>
      </c>
      <c r="C3434" s="3">
        <f t="shared" si="107"/>
        <v>7</v>
      </c>
      <c r="D3434" t="s">
        <v>325</v>
      </c>
      <c r="E3434" t="s">
        <v>45</v>
      </c>
      <c r="F3434" t="s">
        <v>28</v>
      </c>
      <c r="G3434" t="s">
        <v>33</v>
      </c>
      <c r="H3434" t="s">
        <v>1070</v>
      </c>
      <c r="I3434" s="2">
        <v>5.94</v>
      </c>
      <c r="J3434" s="3">
        <v>3</v>
      </c>
      <c r="K3434" s="2">
        <v>0.12</v>
      </c>
    </row>
    <row r="3435" spans="1:11" x14ac:dyDescent="0.35">
      <c r="A3435" s="1">
        <v>42954</v>
      </c>
      <c r="B3435" s="3">
        <f t="shared" si="106"/>
        <v>2017</v>
      </c>
      <c r="C3435" s="3">
        <f t="shared" si="107"/>
        <v>8</v>
      </c>
      <c r="D3435" t="s">
        <v>1500</v>
      </c>
      <c r="E3435" t="s">
        <v>81</v>
      </c>
      <c r="F3435" t="s">
        <v>13</v>
      </c>
      <c r="G3435" t="s">
        <v>14</v>
      </c>
      <c r="H3435" t="s">
        <v>568</v>
      </c>
      <c r="I3435" s="2">
        <v>79.989999999999995</v>
      </c>
      <c r="J3435" s="3">
        <v>1</v>
      </c>
      <c r="K3435" s="2">
        <v>22</v>
      </c>
    </row>
    <row r="3436" spans="1:11" x14ac:dyDescent="0.35">
      <c r="A3436" s="1">
        <v>42954</v>
      </c>
      <c r="B3436" s="3">
        <f t="shared" si="106"/>
        <v>2017</v>
      </c>
      <c r="C3436" s="3">
        <f t="shared" si="107"/>
        <v>8</v>
      </c>
      <c r="D3436" t="s">
        <v>2299</v>
      </c>
      <c r="E3436" t="s">
        <v>22</v>
      </c>
      <c r="F3436" t="s">
        <v>28</v>
      </c>
      <c r="G3436" t="s">
        <v>64</v>
      </c>
      <c r="H3436" t="s">
        <v>2300</v>
      </c>
      <c r="I3436" s="2">
        <v>11.68</v>
      </c>
      <c r="J3436" s="3">
        <v>2</v>
      </c>
      <c r="K3436" s="2">
        <v>5.49</v>
      </c>
    </row>
    <row r="3437" spans="1:11" x14ac:dyDescent="0.35">
      <c r="A3437" s="1">
        <v>42954</v>
      </c>
      <c r="B3437" s="3">
        <f t="shared" si="106"/>
        <v>2017</v>
      </c>
      <c r="C3437" s="3">
        <f t="shared" si="107"/>
        <v>8</v>
      </c>
      <c r="D3437" t="s">
        <v>2299</v>
      </c>
      <c r="E3437" t="s">
        <v>22</v>
      </c>
      <c r="F3437" t="s">
        <v>28</v>
      </c>
      <c r="G3437" t="s">
        <v>64</v>
      </c>
      <c r="H3437" t="s">
        <v>1542</v>
      </c>
      <c r="I3437" s="2">
        <v>104.8</v>
      </c>
      <c r="J3437" s="3">
        <v>10</v>
      </c>
      <c r="K3437" s="2">
        <v>26.2</v>
      </c>
    </row>
    <row r="3438" spans="1:11" x14ac:dyDescent="0.35">
      <c r="A3438" s="1">
        <v>42954</v>
      </c>
      <c r="B3438" s="3">
        <f t="shared" si="106"/>
        <v>2017</v>
      </c>
      <c r="C3438" s="3">
        <f t="shared" si="107"/>
        <v>8</v>
      </c>
      <c r="D3438" t="s">
        <v>893</v>
      </c>
      <c r="E3438" t="s">
        <v>45</v>
      </c>
      <c r="F3438" t="s">
        <v>13</v>
      </c>
      <c r="G3438" t="s">
        <v>23</v>
      </c>
      <c r="H3438" t="s">
        <v>982</v>
      </c>
      <c r="I3438" s="2">
        <v>159.96</v>
      </c>
      <c r="J3438" s="3">
        <v>5</v>
      </c>
      <c r="K3438" s="2">
        <v>18</v>
      </c>
    </row>
    <row r="3439" spans="1:11" x14ac:dyDescent="0.35">
      <c r="A3439" s="1">
        <v>42954</v>
      </c>
      <c r="B3439" s="3">
        <f t="shared" si="106"/>
        <v>2017</v>
      </c>
      <c r="C3439" s="3">
        <f t="shared" si="107"/>
        <v>8</v>
      </c>
      <c r="D3439" t="s">
        <v>893</v>
      </c>
      <c r="E3439" t="s">
        <v>45</v>
      </c>
      <c r="F3439" t="s">
        <v>28</v>
      </c>
      <c r="G3439" t="s">
        <v>48</v>
      </c>
      <c r="H3439" t="s">
        <v>2301</v>
      </c>
      <c r="I3439" s="2">
        <v>13.76</v>
      </c>
      <c r="J3439" s="3">
        <v>2</v>
      </c>
      <c r="K3439" s="2">
        <v>4.6399999999999997</v>
      </c>
    </row>
    <row r="3440" spans="1:11" x14ac:dyDescent="0.35">
      <c r="A3440" s="1">
        <v>42954</v>
      </c>
      <c r="B3440" s="3">
        <f t="shared" si="106"/>
        <v>2017</v>
      </c>
      <c r="C3440" s="3">
        <f t="shared" si="107"/>
        <v>8</v>
      </c>
      <c r="D3440" t="s">
        <v>1688</v>
      </c>
      <c r="E3440" t="s">
        <v>55</v>
      </c>
      <c r="F3440" t="s">
        <v>13</v>
      </c>
      <c r="G3440" t="s">
        <v>14</v>
      </c>
      <c r="H3440" t="s">
        <v>2222</v>
      </c>
      <c r="I3440" s="2">
        <v>63.96</v>
      </c>
      <c r="J3440" s="3">
        <v>4</v>
      </c>
      <c r="K3440" s="2">
        <v>19.829999999999998</v>
      </c>
    </row>
    <row r="3441" spans="1:11" x14ac:dyDescent="0.35">
      <c r="A3441" s="1">
        <v>42954</v>
      </c>
      <c r="B3441" s="3">
        <f t="shared" si="106"/>
        <v>2017</v>
      </c>
      <c r="C3441" s="3">
        <f t="shared" si="107"/>
        <v>8</v>
      </c>
      <c r="D3441" t="s">
        <v>246</v>
      </c>
      <c r="E3441" t="s">
        <v>45</v>
      </c>
      <c r="F3441" t="s">
        <v>28</v>
      </c>
      <c r="G3441" t="s">
        <v>29</v>
      </c>
      <c r="H3441" t="s">
        <v>429</v>
      </c>
      <c r="I3441" s="2">
        <v>244.55</v>
      </c>
      <c r="J3441" s="3">
        <v>5</v>
      </c>
      <c r="K3441" s="2">
        <v>114.94</v>
      </c>
    </row>
    <row r="3442" spans="1:11" x14ac:dyDescent="0.35">
      <c r="A3442" s="1">
        <v>42954</v>
      </c>
      <c r="B3442" s="3">
        <f t="shared" si="106"/>
        <v>2017</v>
      </c>
      <c r="C3442" s="3">
        <f t="shared" si="107"/>
        <v>8</v>
      </c>
      <c r="D3442" t="s">
        <v>885</v>
      </c>
      <c r="E3442" t="s">
        <v>32</v>
      </c>
      <c r="F3442" t="s">
        <v>13</v>
      </c>
      <c r="G3442" t="s">
        <v>14</v>
      </c>
      <c r="H3442" t="s">
        <v>1143</v>
      </c>
      <c r="I3442" s="2">
        <v>119.45</v>
      </c>
      <c r="J3442" s="3">
        <v>3</v>
      </c>
      <c r="K3442" s="2">
        <v>-13.44</v>
      </c>
    </row>
    <row r="3443" spans="1:11" x14ac:dyDescent="0.35">
      <c r="A3443" s="1">
        <v>42954</v>
      </c>
      <c r="B3443" s="3">
        <f t="shared" si="106"/>
        <v>2017</v>
      </c>
      <c r="C3443" s="3">
        <f t="shared" si="107"/>
        <v>8</v>
      </c>
      <c r="D3443" t="s">
        <v>885</v>
      </c>
      <c r="E3443" t="s">
        <v>32</v>
      </c>
      <c r="F3443" t="s">
        <v>28</v>
      </c>
      <c r="G3443" t="s">
        <v>38</v>
      </c>
      <c r="H3443" t="s">
        <v>2120</v>
      </c>
      <c r="I3443" s="2">
        <v>118.16</v>
      </c>
      <c r="J3443" s="3">
        <v>2</v>
      </c>
      <c r="K3443" s="2">
        <v>-25.11</v>
      </c>
    </row>
    <row r="3444" spans="1:11" x14ac:dyDescent="0.35">
      <c r="A3444" s="1">
        <v>42954</v>
      </c>
      <c r="B3444" s="3">
        <f t="shared" si="106"/>
        <v>2017</v>
      </c>
      <c r="C3444" s="3">
        <f t="shared" si="107"/>
        <v>8</v>
      </c>
      <c r="D3444" t="s">
        <v>1944</v>
      </c>
      <c r="E3444" t="s">
        <v>45</v>
      </c>
      <c r="F3444" t="s">
        <v>13</v>
      </c>
      <c r="G3444" t="s">
        <v>23</v>
      </c>
      <c r="H3444" t="s">
        <v>2302</v>
      </c>
      <c r="I3444" s="2">
        <v>707.88</v>
      </c>
      <c r="J3444" s="3">
        <v>3</v>
      </c>
      <c r="K3444" s="2">
        <v>44.24</v>
      </c>
    </row>
    <row r="3445" spans="1:11" x14ac:dyDescent="0.35">
      <c r="A3445" s="1">
        <v>42954</v>
      </c>
      <c r="B3445" s="3">
        <f t="shared" si="106"/>
        <v>2017</v>
      </c>
      <c r="C3445" s="3">
        <f t="shared" si="107"/>
        <v>8</v>
      </c>
      <c r="D3445" t="s">
        <v>1944</v>
      </c>
      <c r="E3445" t="s">
        <v>45</v>
      </c>
      <c r="F3445" t="s">
        <v>28</v>
      </c>
      <c r="G3445" t="s">
        <v>48</v>
      </c>
      <c r="H3445" t="s">
        <v>75</v>
      </c>
      <c r="I3445" s="2">
        <v>11.95</v>
      </c>
      <c r="J3445" s="3">
        <v>3</v>
      </c>
      <c r="K3445" s="2">
        <v>4.18</v>
      </c>
    </row>
    <row r="3446" spans="1:11" x14ac:dyDescent="0.35">
      <c r="A3446" s="1">
        <v>42954</v>
      </c>
      <c r="B3446" s="3">
        <f t="shared" si="106"/>
        <v>2017</v>
      </c>
      <c r="C3446" s="3">
        <f t="shared" si="107"/>
        <v>8</v>
      </c>
      <c r="D3446" t="s">
        <v>1944</v>
      </c>
      <c r="E3446" t="s">
        <v>45</v>
      </c>
      <c r="F3446" t="s">
        <v>28</v>
      </c>
      <c r="G3446" t="s">
        <v>48</v>
      </c>
      <c r="H3446" t="s">
        <v>2214</v>
      </c>
      <c r="I3446" s="2">
        <v>31.13</v>
      </c>
      <c r="J3446" s="3">
        <v>3</v>
      </c>
      <c r="K3446" s="2">
        <v>11.67</v>
      </c>
    </row>
    <row r="3447" spans="1:11" x14ac:dyDescent="0.35">
      <c r="A3447" s="1">
        <v>42954</v>
      </c>
      <c r="B3447" s="3">
        <f t="shared" si="106"/>
        <v>2017</v>
      </c>
      <c r="C3447" s="3">
        <f t="shared" si="107"/>
        <v>8</v>
      </c>
      <c r="D3447" t="s">
        <v>1944</v>
      </c>
      <c r="E3447" t="s">
        <v>45</v>
      </c>
      <c r="F3447" t="s">
        <v>13</v>
      </c>
      <c r="G3447" t="s">
        <v>14</v>
      </c>
      <c r="H3447" t="s">
        <v>1746</v>
      </c>
      <c r="I3447" s="2">
        <v>55.76</v>
      </c>
      <c r="J3447" s="3">
        <v>4</v>
      </c>
      <c r="K3447" s="2">
        <v>7.81</v>
      </c>
    </row>
    <row r="3448" spans="1:11" x14ac:dyDescent="0.35">
      <c r="A3448" s="1">
        <v>42954</v>
      </c>
      <c r="B3448" s="3">
        <f t="shared" si="106"/>
        <v>2017</v>
      </c>
      <c r="C3448" s="3">
        <f t="shared" si="107"/>
        <v>8</v>
      </c>
      <c r="D3448" t="s">
        <v>1944</v>
      </c>
      <c r="E3448" t="s">
        <v>45</v>
      </c>
      <c r="F3448" t="s">
        <v>28</v>
      </c>
      <c r="G3448" t="s">
        <v>29</v>
      </c>
      <c r="H3448" t="s">
        <v>922</v>
      </c>
      <c r="I3448" s="2">
        <v>24.56</v>
      </c>
      <c r="J3448" s="3">
        <v>2</v>
      </c>
      <c r="K3448" s="2">
        <v>11.54</v>
      </c>
    </row>
    <row r="3449" spans="1:11" x14ac:dyDescent="0.35">
      <c r="A3449" s="1">
        <v>42954</v>
      </c>
      <c r="B3449" s="3">
        <f t="shared" si="106"/>
        <v>2017</v>
      </c>
      <c r="C3449" s="3">
        <f t="shared" si="107"/>
        <v>8</v>
      </c>
      <c r="D3449" t="s">
        <v>1944</v>
      </c>
      <c r="E3449" t="s">
        <v>45</v>
      </c>
      <c r="F3449" t="s">
        <v>18</v>
      </c>
      <c r="G3449" t="s">
        <v>36</v>
      </c>
      <c r="H3449" t="s">
        <v>1568</v>
      </c>
      <c r="I3449" s="2">
        <v>51.75</v>
      </c>
      <c r="J3449" s="3">
        <v>1</v>
      </c>
      <c r="K3449" s="2">
        <v>15.53</v>
      </c>
    </row>
    <row r="3450" spans="1:11" x14ac:dyDescent="0.35">
      <c r="A3450" s="1">
        <v>42954</v>
      </c>
      <c r="B3450" s="3">
        <f t="shared" si="106"/>
        <v>2017</v>
      </c>
      <c r="C3450" s="3">
        <f t="shared" si="107"/>
        <v>8</v>
      </c>
      <c r="D3450" t="s">
        <v>1944</v>
      </c>
      <c r="E3450" t="s">
        <v>45</v>
      </c>
      <c r="F3450" t="s">
        <v>18</v>
      </c>
      <c r="G3450" t="s">
        <v>19</v>
      </c>
      <c r="H3450" t="s">
        <v>2303</v>
      </c>
      <c r="I3450" s="2">
        <v>207.18</v>
      </c>
      <c r="J3450" s="3">
        <v>1</v>
      </c>
      <c r="K3450" s="2">
        <v>25.9</v>
      </c>
    </row>
    <row r="3451" spans="1:11" x14ac:dyDescent="0.35">
      <c r="A3451" s="1">
        <v>42954</v>
      </c>
      <c r="B3451" s="3">
        <f t="shared" si="106"/>
        <v>2017</v>
      </c>
      <c r="C3451" s="3">
        <f t="shared" si="107"/>
        <v>8</v>
      </c>
      <c r="D3451" t="s">
        <v>1944</v>
      </c>
      <c r="E3451" t="s">
        <v>45</v>
      </c>
      <c r="F3451" t="s">
        <v>28</v>
      </c>
      <c r="G3451" t="s">
        <v>58</v>
      </c>
      <c r="H3451" t="s">
        <v>271</v>
      </c>
      <c r="I3451" s="2">
        <v>1473.1</v>
      </c>
      <c r="J3451" s="3">
        <v>5</v>
      </c>
      <c r="K3451" s="2">
        <v>412.47</v>
      </c>
    </row>
    <row r="3452" spans="1:11" x14ac:dyDescent="0.35">
      <c r="A3452" s="1">
        <v>42985</v>
      </c>
      <c r="B3452" s="3">
        <f t="shared" si="106"/>
        <v>2017</v>
      </c>
      <c r="C3452" s="3">
        <f t="shared" si="107"/>
        <v>9</v>
      </c>
      <c r="D3452" t="s">
        <v>1845</v>
      </c>
      <c r="E3452" t="s">
        <v>45</v>
      </c>
      <c r="F3452" t="s">
        <v>18</v>
      </c>
      <c r="G3452" t="s">
        <v>36</v>
      </c>
      <c r="H3452" t="s">
        <v>1679</v>
      </c>
      <c r="I3452" s="2">
        <v>47.94</v>
      </c>
      <c r="J3452" s="3">
        <v>3</v>
      </c>
      <c r="K3452" s="2">
        <v>2.4</v>
      </c>
    </row>
    <row r="3453" spans="1:11" x14ac:dyDescent="0.35">
      <c r="A3453" s="1">
        <v>42985</v>
      </c>
      <c r="B3453" s="3">
        <f t="shared" si="106"/>
        <v>2017</v>
      </c>
      <c r="C3453" s="3">
        <f t="shared" si="107"/>
        <v>9</v>
      </c>
      <c r="D3453" t="s">
        <v>440</v>
      </c>
      <c r="E3453" t="s">
        <v>107</v>
      </c>
      <c r="F3453" t="s">
        <v>28</v>
      </c>
      <c r="G3453" t="s">
        <v>38</v>
      </c>
      <c r="H3453" t="s">
        <v>1296</v>
      </c>
      <c r="I3453" s="2">
        <v>37.68</v>
      </c>
      <c r="J3453" s="3">
        <v>3</v>
      </c>
      <c r="K3453" s="2">
        <v>2.36</v>
      </c>
    </row>
    <row r="3454" spans="1:11" x14ac:dyDescent="0.35">
      <c r="A3454" s="1">
        <v>42985</v>
      </c>
      <c r="B3454" s="3">
        <f t="shared" si="106"/>
        <v>2017</v>
      </c>
      <c r="C3454" s="3">
        <f t="shared" si="107"/>
        <v>9</v>
      </c>
      <c r="D3454" t="s">
        <v>440</v>
      </c>
      <c r="E3454" t="s">
        <v>107</v>
      </c>
      <c r="F3454" t="s">
        <v>13</v>
      </c>
      <c r="G3454" t="s">
        <v>14</v>
      </c>
      <c r="H3454" t="s">
        <v>364</v>
      </c>
      <c r="I3454" s="2">
        <v>279.94</v>
      </c>
      <c r="J3454" s="3">
        <v>7</v>
      </c>
      <c r="K3454" s="2">
        <v>80.48</v>
      </c>
    </row>
    <row r="3455" spans="1:11" x14ac:dyDescent="0.35">
      <c r="A3455" s="1">
        <v>42985</v>
      </c>
      <c r="B3455" s="3">
        <f t="shared" si="106"/>
        <v>2017</v>
      </c>
      <c r="C3455" s="3">
        <f t="shared" si="107"/>
        <v>9</v>
      </c>
      <c r="D3455" t="s">
        <v>715</v>
      </c>
      <c r="E3455" t="s">
        <v>22</v>
      </c>
      <c r="F3455" t="s">
        <v>28</v>
      </c>
      <c r="G3455" t="s">
        <v>38</v>
      </c>
      <c r="H3455" t="s">
        <v>1589</v>
      </c>
      <c r="I3455" s="2">
        <v>478.08</v>
      </c>
      <c r="J3455" s="3">
        <v>8</v>
      </c>
      <c r="K3455" s="2">
        <v>133.86000000000001</v>
      </c>
    </row>
    <row r="3456" spans="1:11" x14ac:dyDescent="0.35">
      <c r="A3456" s="1">
        <v>42985</v>
      </c>
      <c r="B3456" s="3">
        <f t="shared" si="106"/>
        <v>2017</v>
      </c>
      <c r="C3456" s="3">
        <f t="shared" si="107"/>
        <v>9</v>
      </c>
      <c r="D3456" t="s">
        <v>804</v>
      </c>
      <c r="E3456" t="s">
        <v>26</v>
      </c>
      <c r="F3456" t="s">
        <v>28</v>
      </c>
      <c r="G3456" t="s">
        <v>29</v>
      </c>
      <c r="H3456" t="s">
        <v>123</v>
      </c>
      <c r="I3456" s="2">
        <v>73.010000000000005</v>
      </c>
      <c r="J3456" s="3">
        <v>9</v>
      </c>
      <c r="K3456" s="2">
        <v>26.47</v>
      </c>
    </row>
    <row r="3457" spans="1:11" x14ac:dyDescent="0.35">
      <c r="A3457" s="1">
        <v>42985</v>
      </c>
      <c r="B3457" s="3">
        <f t="shared" si="106"/>
        <v>2017</v>
      </c>
      <c r="C3457" s="3">
        <f t="shared" si="107"/>
        <v>9</v>
      </c>
      <c r="D3457" t="s">
        <v>1607</v>
      </c>
      <c r="E3457" t="s">
        <v>190</v>
      </c>
      <c r="F3457" t="s">
        <v>28</v>
      </c>
      <c r="G3457" t="s">
        <v>48</v>
      </c>
      <c r="H3457" t="s">
        <v>1032</v>
      </c>
      <c r="I3457" s="2">
        <v>1577.94</v>
      </c>
      <c r="J3457" s="3">
        <v>3</v>
      </c>
      <c r="K3457" s="2">
        <v>757.41</v>
      </c>
    </row>
    <row r="3458" spans="1:11" x14ac:dyDescent="0.35">
      <c r="A3458" s="1">
        <v>42985</v>
      </c>
      <c r="B3458" s="3">
        <f t="shared" ref="B3458:B3521" si="108">YEAR(A3458)</f>
        <v>2017</v>
      </c>
      <c r="C3458" s="3">
        <f t="shared" ref="C3458:C3521" si="109">MONTH(A3458)</f>
        <v>9</v>
      </c>
      <c r="D3458" t="s">
        <v>936</v>
      </c>
      <c r="E3458" t="s">
        <v>211</v>
      </c>
      <c r="F3458" t="s">
        <v>28</v>
      </c>
      <c r="G3458" t="s">
        <v>48</v>
      </c>
      <c r="H3458" t="s">
        <v>775</v>
      </c>
      <c r="I3458" s="2">
        <v>7.86</v>
      </c>
      <c r="J3458" s="3">
        <v>3</v>
      </c>
      <c r="K3458" s="2">
        <v>-6.02</v>
      </c>
    </row>
    <row r="3459" spans="1:11" x14ac:dyDescent="0.35">
      <c r="A3459" s="1">
        <v>42985</v>
      </c>
      <c r="B3459" s="3">
        <f t="shared" si="108"/>
        <v>2017</v>
      </c>
      <c r="C3459" s="3">
        <f t="shared" si="109"/>
        <v>9</v>
      </c>
      <c r="D3459" t="s">
        <v>2250</v>
      </c>
      <c r="E3459" t="s">
        <v>89</v>
      </c>
      <c r="F3459" t="s">
        <v>28</v>
      </c>
      <c r="G3459" t="s">
        <v>46</v>
      </c>
      <c r="H3459" t="s">
        <v>400</v>
      </c>
      <c r="I3459" s="2">
        <v>29.24</v>
      </c>
      <c r="J3459" s="3">
        <v>5</v>
      </c>
      <c r="K3459" s="2">
        <v>9.8699999999999992</v>
      </c>
    </row>
    <row r="3460" spans="1:11" x14ac:dyDescent="0.35">
      <c r="A3460" s="1">
        <v>42985</v>
      </c>
      <c r="B3460" s="3">
        <f t="shared" si="108"/>
        <v>2017</v>
      </c>
      <c r="C3460" s="3">
        <f t="shared" si="109"/>
        <v>9</v>
      </c>
      <c r="D3460" t="s">
        <v>2250</v>
      </c>
      <c r="E3460" t="s">
        <v>89</v>
      </c>
      <c r="F3460" t="s">
        <v>28</v>
      </c>
      <c r="G3460" t="s">
        <v>29</v>
      </c>
      <c r="H3460" t="s">
        <v>772</v>
      </c>
      <c r="I3460" s="2">
        <v>15.55</v>
      </c>
      <c r="J3460" s="3">
        <v>3</v>
      </c>
      <c r="K3460" s="2">
        <v>5.44</v>
      </c>
    </row>
    <row r="3461" spans="1:11" x14ac:dyDescent="0.35">
      <c r="A3461" s="1">
        <v>42985</v>
      </c>
      <c r="B3461" s="3">
        <f t="shared" si="108"/>
        <v>2017</v>
      </c>
      <c r="C3461" s="3">
        <f t="shared" si="109"/>
        <v>9</v>
      </c>
      <c r="D3461" t="s">
        <v>2250</v>
      </c>
      <c r="E3461" t="s">
        <v>89</v>
      </c>
      <c r="F3461" t="s">
        <v>28</v>
      </c>
      <c r="G3461" t="s">
        <v>158</v>
      </c>
      <c r="H3461" t="s">
        <v>1510</v>
      </c>
      <c r="I3461" s="2">
        <v>4.9000000000000004</v>
      </c>
      <c r="J3461" s="3">
        <v>3</v>
      </c>
      <c r="K3461" s="2">
        <v>1.65</v>
      </c>
    </row>
    <row r="3462" spans="1:11" x14ac:dyDescent="0.35">
      <c r="A3462" s="1">
        <v>42985</v>
      </c>
      <c r="B3462" s="3">
        <f t="shared" si="108"/>
        <v>2017</v>
      </c>
      <c r="C3462" s="3">
        <f t="shared" si="109"/>
        <v>9</v>
      </c>
      <c r="D3462" t="s">
        <v>1363</v>
      </c>
      <c r="E3462" t="s">
        <v>12</v>
      </c>
      <c r="F3462" t="s">
        <v>13</v>
      </c>
      <c r="G3462" t="s">
        <v>14</v>
      </c>
      <c r="H3462" t="s">
        <v>800</v>
      </c>
      <c r="I3462" s="2">
        <v>13.48</v>
      </c>
      <c r="J3462" s="3">
        <v>1</v>
      </c>
      <c r="K3462" s="2">
        <v>1.89</v>
      </c>
    </row>
    <row r="3463" spans="1:11" x14ac:dyDescent="0.35">
      <c r="A3463" s="1">
        <v>42985</v>
      </c>
      <c r="B3463" s="3">
        <f t="shared" si="108"/>
        <v>2017</v>
      </c>
      <c r="C3463" s="3">
        <f t="shared" si="109"/>
        <v>9</v>
      </c>
      <c r="D3463" t="s">
        <v>194</v>
      </c>
      <c r="E3463" t="s">
        <v>180</v>
      </c>
      <c r="F3463" t="s">
        <v>18</v>
      </c>
      <c r="G3463" t="s">
        <v>36</v>
      </c>
      <c r="H3463" t="s">
        <v>2304</v>
      </c>
      <c r="I3463" s="2">
        <v>25.16</v>
      </c>
      <c r="J3463" s="3">
        <v>2</v>
      </c>
      <c r="K3463" s="2">
        <v>10.57</v>
      </c>
    </row>
    <row r="3464" spans="1:11" x14ac:dyDescent="0.35">
      <c r="A3464" s="1">
        <v>42985</v>
      </c>
      <c r="B3464" s="3">
        <f t="shared" si="108"/>
        <v>2017</v>
      </c>
      <c r="C3464" s="3">
        <f t="shared" si="109"/>
        <v>9</v>
      </c>
      <c r="D3464" t="s">
        <v>194</v>
      </c>
      <c r="E3464" t="s">
        <v>180</v>
      </c>
      <c r="F3464" t="s">
        <v>13</v>
      </c>
      <c r="G3464" t="s">
        <v>23</v>
      </c>
      <c r="H3464" t="s">
        <v>2305</v>
      </c>
      <c r="I3464" s="2">
        <v>126.56</v>
      </c>
      <c r="J3464" s="3">
        <v>4</v>
      </c>
      <c r="K3464" s="2">
        <v>47.46</v>
      </c>
    </row>
    <row r="3465" spans="1:11" x14ac:dyDescent="0.35">
      <c r="A3465" s="1">
        <v>42985</v>
      </c>
      <c r="B3465" s="3">
        <f t="shared" si="108"/>
        <v>2017</v>
      </c>
      <c r="C3465" s="3">
        <f t="shared" si="109"/>
        <v>9</v>
      </c>
      <c r="D3465" t="s">
        <v>298</v>
      </c>
      <c r="E3465" t="s">
        <v>45</v>
      </c>
      <c r="F3465" t="s">
        <v>18</v>
      </c>
      <c r="G3465" t="s">
        <v>36</v>
      </c>
      <c r="H3465" t="s">
        <v>1928</v>
      </c>
      <c r="I3465" s="2">
        <v>19.760000000000002</v>
      </c>
      <c r="J3465" s="3">
        <v>4</v>
      </c>
      <c r="K3465" s="2">
        <v>8.3000000000000007</v>
      </c>
    </row>
    <row r="3466" spans="1:11" x14ac:dyDescent="0.35">
      <c r="A3466" s="1">
        <v>42985</v>
      </c>
      <c r="B3466" s="3">
        <f t="shared" si="108"/>
        <v>2017</v>
      </c>
      <c r="C3466" s="3">
        <f t="shared" si="109"/>
        <v>9</v>
      </c>
      <c r="D3466" t="s">
        <v>1473</v>
      </c>
      <c r="E3466" t="s">
        <v>190</v>
      </c>
      <c r="F3466" t="s">
        <v>13</v>
      </c>
      <c r="G3466" t="s">
        <v>14</v>
      </c>
      <c r="H3466" t="s">
        <v>395</v>
      </c>
      <c r="I3466" s="2">
        <v>113.52</v>
      </c>
      <c r="J3466" s="3">
        <v>4</v>
      </c>
      <c r="K3466" s="2">
        <v>46.54</v>
      </c>
    </row>
    <row r="3467" spans="1:11" x14ac:dyDescent="0.35">
      <c r="A3467" s="1">
        <v>42985</v>
      </c>
      <c r="B3467" s="3">
        <f t="shared" si="108"/>
        <v>2017</v>
      </c>
      <c r="C3467" s="3">
        <f t="shared" si="109"/>
        <v>9</v>
      </c>
      <c r="D3467" t="s">
        <v>1473</v>
      </c>
      <c r="E3467" t="s">
        <v>190</v>
      </c>
      <c r="F3467" t="s">
        <v>18</v>
      </c>
      <c r="G3467" t="s">
        <v>36</v>
      </c>
      <c r="H3467" t="s">
        <v>1243</v>
      </c>
      <c r="I3467" s="2">
        <v>135.30000000000001</v>
      </c>
      <c r="J3467" s="3">
        <v>5</v>
      </c>
      <c r="K3467" s="2">
        <v>37.880000000000003</v>
      </c>
    </row>
    <row r="3468" spans="1:11" x14ac:dyDescent="0.35">
      <c r="A3468" s="1">
        <v>42985</v>
      </c>
      <c r="B3468" s="3">
        <f t="shared" si="108"/>
        <v>2017</v>
      </c>
      <c r="C3468" s="3">
        <f t="shared" si="109"/>
        <v>9</v>
      </c>
      <c r="D3468" t="s">
        <v>1020</v>
      </c>
      <c r="E3468" t="s">
        <v>45</v>
      </c>
      <c r="F3468" t="s">
        <v>18</v>
      </c>
      <c r="G3468" t="s">
        <v>19</v>
      </c>
      <c r="H3468" t="s">
        <v>1344</v>
      </c>
      <c r="I3468" s="2">
        <v>161.57</v>
      </c>
      <c r="J3468" s="3">
        <v>2</v>
      </c>
      <c r="K3468" s="2">
        <v>-28.27</v>
      </c>
    </row>
    <row r="3469" spans="1:11" x14ac:dyDescent="0.35">
      <c r="A3469" s="1">
        <v>42985</v>
      </c>
      <c r="B3469" s="3">
        <f t="shared" si="108"/>
        <v>2017</v>
      </c>
      <c r="C3469" s="3">
        <f t="shared" si="109"/>
        <v>9</v>
      </c>
      <c r="D3469" t="s">
        <v>818</v>
      </c>
      <c r="E3469" t="s">
        <v>326</v>
      </c>
      <c r="F3469" t="s">
        <v>28</v>
      </c>
      <c r="G3469" t="s">
        <v>58</v>
      </c>
      <c r="H3469" t="s">
        <v>393</v>
      </c>
      <c r="I3469" s="2">
        <v>81.569999999999993</v>
      </c>
      <c r="J3469" s="3">
        <v>2</v>
      </c>
      <c r="K3469" s="2">
        <v>7.14</v>
      </c>
    </row>
    <row r="3470" spans="1:11" x14ac:dyDescent="0.35">
      <c r="A3470" s="1">
        <v>42985</v>
      </c>
      <c r="B3470" s="3">
        <f t="shared" si="108"/>
        <v>2017</v>
      </c>
      <c r="C3470" s="3">
        <f t="shared" si="109"/>
        <v>9</v>
      </c>
      <c r="D3470" t="s">
        <v>1756</v>
      </c>
      <c r="E3470" t="s">
        <v>17</v>
      </c>
      <c r="F3470" t="s">
        <v>18</v>
      </c>
      <c r="G3470" t="s">
        <v>36</v>
      </c>
      <c r="H3470" t="s">
        <v>2223</v>
      </c>
      <c r="I3470" s="2">
        <v>80.959999999999994</v>
      </c>
      <c r="J3470" s="3">
        <v>4</v>
      </c>
      <c r="K3470" s="2">
        <v>34.81</v>
      </c>
    </row>
    <row r="3471" spans="1:11" x14ac:dyDescent="0.35">
      <c r="A3471" s="1">
        <v>42985</v>
      </c>
      <c r="B3471" s="3">
        <f t="shared" si="108"/>
        <v>2017</v>
      </c>
      <c r="C3471" s="3">
        <f t="shared" si="109"/>
        <v>9</v>
      </c>
      <c r="D3471" t="s">
        <v>1756</v>
      </c>
      <c r="E3471" t="s">
        <v>17</v>
      </c>
      <c r="F3471" t="s">
        <v>13</v>
      </c>
      <c r="G3471" t="s">
        <v>23</v>
      </c>
      <c r="H3471" t="s">
        <v>759</v>
      </c>
      <c r="I3471" s="2">
        <v>455.71</v>
      </c>
      <c r="J3471" s="3">
        <v>2</v>
      </c>
      <c r="K3471" s="2">
        <v>34.18</v>
      </c>
    </row>
    <row r="3472" spans="1:11" x14ac:dyDescent="0.35">
      <c r="A3472" s="1">
        <v>42985</v>
      </c>
      <c r="B3472" s="3">
        <f t="shared" si="108"/>
        <v>2017</v>
      </c>
      <c r="C3472" s="3">
        <f t="shared" si="109"/>
        <v>9</v>
      </c>
      <c r="D3472" t="s">
        <v>1756</v>
      </c>
      <c r="E3472" t="s">
        <v>17</v>
      </c>
      <c r="F3472" t="s">
        <v>28</v>
      </c>
      <c r="G3472" t="s">
        <v>64</v>
      </c>
      <c r="H3472" t="s">
        <v>2306</v>
      </c>
      <c r="I3472" s="2">
        <v>25.98</v>
      </c>
      <c r="J3472" s="3">
        <v>1</v>
      </c>
      <c r="K3472" s="2">
        <v>7.27</v>
      </c>
    </row>
    <row r="3473" spans="1:11" x14ac:dyDescent="0.35">
      <c r="A3473" s="1">
        <v>42985</v>
      </c>
      <c r="B3473" s="3">
        <f t="shared" si="108"/>
        <v>2017</v>
      </c>
      <c r="C3473" s="3">
        <f t="shared" si="109"/>
        <v>9</v>
      </c>
      <c r="D3473" t="s">
        <v>1158</v>
      </c>
      <c r="E3473" t="s">
        <v>1125</v>
      </c>
      <c r="F3473" t="s">
        <v>28</v>
      </c>
      <c r="G3473" t="s">
        <v>29</v>
      </c>
      <c r="H3473" t="s">
        <v>1072</v>
      </c>
      <c r="I3473" s="2">
        <v>16.899999999999999</v>
      </c>
      <c r="J3473" s="3">
        <v>5</v>
      </c>
      <c r="K3473" s="2">
        <v>7.77</v>
      </c>
    </row>
    <row r="3474" spans="1:11" x14ac:dyDescent="0.35">
      <c r="A3474" s="1">
        <v>42985</v>
      </c>
      <c r="B3474" s="3">
        <f t="shared" si="108"/>
        <v>2017</v>
      </c>
      <c r="C3474" s="3">
        <f t="shared" si="109"/>
        <v>9</v>
      </c>
      <c r="D3474" t="s">
        <v>1158</v>
      </c>
      <c r="E3474" t="s">
        <v>1125</v>
      </c>
      <c r="F3474" t="s">
        <v>28</v>
      </c>
      <c r="G3474" t="s">
        <v>29</v>
      </c>
      <c r="H3474" t="s">
        <v>1884</v>
      </c>
      <c r="I3474" s="2">
        <v>39.96</v>
      </c>
      <c r="J3474" s="3">
        <v>2</v>
      </c>
      <c r="K3474" s="2">
        <v>18.78</v>
      </c>
    </row>
    <row r="3475" spans="1:11" x14ac:dyDescent="0.35">
      <c r="A3475" s="1">
        <v>43015</v>
      </c>
      <c r="B3475" s="3">
        <f t="shared" si="108"/>
        <v>2017</v>
      </c>
      <c r="C3475" s="3">
        <f t="shared" si="109"/>
        <v>10</v>
      </c>
      <c r="D3475" t="s">
        <v>2031</v>
      </c>
      <c r="E3475" t="s">
        <v>45</v>
      </c>
      <c r="F3475" t="s">
        <v>18</v>
      </c>
      <c r="G3475" t="s">
        <v>237</v>
      </c>
      <c r="H3475" t="s">
        <v>1325</v>
      </c>
      <c r="I3475" s="2">
        <v>307.67</v>
      </c>
      <c r="J3475" s="3">
        <v>2</v>
      </c>
      <c r="K3475" s="2">
        <v>-14.48</v>
      </c>
    </row>
    <row r="3476" spans="1:11" x14ac:dyDescent="0.35">
      <c r="A3476" s="1">
        <v>43015</v>
      </c>
      <c r="B3476" s="3">
        <f t="shared" si="108"/>
        <v>2017</v>
      </c>
      <c r="C3476" s="3">
        <f t="shared" si="109"/>
        <v>10</v>
      </c>
      <c r="D3476" t="s">
        <v>1181</v>
      </c>
      <c r="E3476" t="s">
        <v>45</v>
      </c>
      <c r="F3476" t="s">
        <v>13</v>
      </c>
      <c r="G3476" t="s">
        <v>14</v>
      </c>
      <c r="H3476" t="s">
        <v>1238</v>
      </c>
      <c r="I3476" s="2">
        <v>1115.9100000000001</v>
      </c>
      <c r="J3476" s="3">
        <v>9</v>
      </c>
      <c r="K3476" s="2">
        <v>200.86</v>
      </c>
    </row>
    <row r="3477" spans="1:11" x14ac:dyDescent="0.35">
      <c r="A3477" s="1">
        <v>43015</v>
      </c>
      <c r="B3477" s="3">
        <f t="shared" si="108"/>
        <v>2017</v>
      </c>
      <c r="C3477" s="3">
        <f t="shared" si="109"/>
        <v>10</v>
      </c>
      <c r="D3477" t="s">
        <v>1181</v>
      </c>
      <c r="E3477" t="s">
        <v>45</v>
      </c>
      <c r="F3477" t="s">
        <v>13</v>
      </c>
      <c r="G3477" t="s">
        <v>23</v>
      </c>
      <c r="H3477" t="s">
        <v>1977</v>
      </c>
      <c r="I3477" s="2">
        <v>128.74</v>
      </c>
      <c r="J3477" s="3">
        <v>7</v>
      </c>
      <c r="K3477" s="2">
        <v>-28.97</v>
      </c>
    </row>
    <row r="3478" spans="1:11" x14ac:dyDescent="0.35">
      <c r="A3478" s="1">
        <v>43015</v>
      </c>
      <c r="B3478" s="3">
        <f t="shared" si="108"/>
        <v>2017</v>
      </c>
      <c r="C3478" s="3">
        <f t="shared" si="109"/>
        <v>10</v>
      </c>
      <c r="D3478" t="s">
        <v>1181</v>
      </c>
      <c r="E3478" t="s">
        <v>45</v>
      </c>
      <c r="F3478" t="s">
        <v>13</v>
      </c>
      <c r="G3478" t="s">
        <v>23</v>
      </c>
      <c r="H3478" t="s">
        <v>2198</v>
      </c>
      <c r="I3478" s="2">
        <v>79.92</v>
      </c>
      <c r="J3478" s="3">
        <v>10</v>
      </c>
      <c r="K3478" s="2">
        <v>26.97</v>
      </c>
    </row>
    <row r="3479" spans="1:11" x14ac:dyDescent="0.35">
      <c r="A3479" s="1">
        <v>43015</v>
      </c>
      <c r="B3479" s="3">
        <f t="shared" si="108"/>
        <v>2017</v>
      </c>
      <c r="C3479" s="3">
        <f t="shared" si="109"/>
        <v>10</v>
      </c>
      <c r="D3479" t="s">
        <v>936</v>
      </c>
      <c r="E3479" t="s">
        <v>81</v>
      </c>
      <c r="F3479" t="s">
        <v>28</v>
      </c>
      <c r="G3479" t="s">
        <v>38</v>
      </c>
      <c r="H3479" t="s">
        <v>231</v>
      </c>
      <c r="I3479" s="2">
        <v>580.66999999999996</v>
      </c>
      <c r="J3479" s="3">
        <v>4</v>
      </c>
      <c r="K3479" s="2">
        <v>65.33</v>
      </c>
    </row>
    <row r="3480" spans="1:11" x14ac:dyDescent="0.35">
      <c r="A3480" s="1">
        <v>43015</v>
      </c>
      <c r="B3480" s="3">
        <f t="shared" si="108"/>
        <v>2017</v>
      </c>
      <c r="C3480" s="3">
        <f t="shared" si="109"/>
        <v>10</v>
      </c>
      <c r="D3480" t="s">
        <v>936</v>
      </c>
      <c r="E3480" t="s">
        <v>81</v>
      </c>
      <c r="F3480" t="s">
        <v>28</v>
      </c>
      <c r="G3480" t="s">
        <v>33</v>
      </c>
      <c r="H3480" t="s">
        <v>111</v>
      </c>
      <c r="I3480" s="2">
        <v>18.940000000000001</v>
      </c>
      <c r="J3480" s="3">
        <v>3</v>
      </c>
      <c r="K3480" s="2">
        <v>5.92</v>
      </c>
    </row>
    <row r="3481" spans="1:11" x14ac:dyDescent="0.35">
      <c r="A3481" s="1">
        <v>43015</v>
      </c>
      <c r="B3481" s="3">
        <f t="shared" si="108"/>
        <v>2017</v>
      </c>
      <c r="C3481" s="3">
        <f t="shared" si="109"/>
        <v>10</v>
      </c>
      <c r="D3481" t="s">
        <v>936</v>
      </c>
      <c r="E3481" t="s">
        <v>81</v>
      </c>
      <c r="F3481" t="s">
        <v>13</v>
      </c>
      <c r="G3481" t="s">
        <v>23</v>
      </c>
      <c r="H3481" t="s">
        <v>733</v>
      </c>
      <c r="I3481" s="2">
        <v>222.38</v>
      </c>
      <c r="J3481" s="3">
        <v>2</v>
      </c>
      <c r="K3481" s="2">
        <v>16.68</v>
      </c>
    </row>
    <row r="3482" spans="1:11" x14ac:dyDescent="0.35">
      <c r="A3482" s="1">
        <v>43015</v>
      </c>
      <c r="B3482" s="3">
        <f t="shared" si="108"/>
        <v>2017</v>
      </c>
      <c r="C3482" s="3">
        <f t="shared" si="109"/>
        <v>10</v>
      </c>
      <c r="D3482" t="s">
        <v>936</v>
      </c>
      <c r="E3482" t="s">
        <v>81</v>
      </c>
      <c r="F3482" t="s">
        <v>28</v>
      </c>
      <c r="G3482" t="s">
        <v>48</v>
      </c>
      <c r="H3482" t="s">
        <v>992</v>
      </c>
      <c r="I3482" s="2">
        <v>50.45</v>
      </c>
      <c r="J3482" s="3">
        <v>6</v>
      </c>
      <c r="K3482" s="2">
        <v>-33.64</v>
      </c>
    </row>
    <row r="3483" spans="1:11" x14ac:dyDescent="0.35">
      <c r="A3483" s="1">
        <v>43015</v>
      </c>
      <c r="B3483" s="3">
        <f t="shared" si="108"/>
        <v>2017</v>
      </c>
      <c r="C3483" s="3">
        <f t="shared" si="109"/>
        <v>10</v>
      </c>
      <c r="D3483" t="s">
        <v>936</v>
      </c>
      <c r="E3483" t="s">
        <v>81</v>
      </c>
      <c r="F3483" t="s">
        <v>18</v>
      </c>
      <c r="G3483" t="s">
        <v>42</v>
      </c>
      <c r="H3483" t="s">
        <v>283</v>
      </c>
      <c r="I3483" s="2">
        <v>154.76</v>
      </c>
      <c r="J3483" s="3">
        <v>3</v>
      </c>
      <c r="K3483" s="2">
        <v>-36.11</v>
      </c>
    </row>
    <row r="3484" spans="1:11" x14ac:dyDescent="0.35">
      <c r="A3484" s="1">
        <v>43015</v>
      </c>
      <c r="B3484" s="3">
        <f t="shared" si="108"/>
        <v>2017</v>
      </c>
      <c r="C3484" s="3">
        <f t="shared" si="109"/>
        <v>10</v>
      </c>
      <c r="D3484" t="s">
        <v>142</v>
      </c>
      <c r="E3484" t="s">
        <v>32</v>
      </c>
      <c r="F3484" t="s">
        <v>28</v>
      </c>
      <c r="G3484" t="s">
        <v>48</v>
      </c>
      <c r="H3484" t="s">
        <v>2307</v>
      </c>
      <c r="I3484" s="2">
        <v>4.24</v>
      </c>
      <c r="J3484" s="3">
        <v>5</v>
      </c>
      <c r="K3484" s="2">
        <v>-6.36</v>
      </c>
    </row>
    <row r="3485" spans="1:11" x14ac:dyDescent="0.35">
      <c r="A3485" s="1">
        <v>43015</v>
      </c>
      <c r="B3485" s="3">
        <f t="shared" si="108"/>
        <v>2017</v>
      </c>
      <c r="C3485" s="3">
        <f t="shared" si="109"/>
        <v>10</v>
      </c>
      <c r="D3485" t="s">
        <v>1853</v>
      </c>
      <c r="E3485" t="s">
        <v>71</v>
      </c>
      <c r="F3485" t="s">
        <v>28</v>
      </c>
      <c r="G3485" t="s">
        <v>38</v>
      </c>
      <c r="H3485" t="s">
        <v>1098</v>
      </c>
      <c r="I3485" s="2">
        <v>85.52</v>
      </c>
      <c r="J3485" s="3">
        <v>2</v>
      </c>
      <c r="K3485" s="2">
        <v>22.24</v>
      </c>
    </row>
    <row r="3486" spans="1:11" x14ac:dyDescent="0.35">
      <c r="A3486" s="1">
        <v>43046</v>
      </c>
      <c r="B3486" s="3">
        <f t="shared" si="108"/>
        <v>2017</v>
      </c>
      <c r="C3486" s="3">
        <f t="shared" si="109"/>
        <v>11</v>
      </c>
      <c r="D3486" t="s">
        <v>346</v>
      </c>
      <c r="E3486" t="s">
        <v>45</v>
      </c>
      <c r="F3486" t="s">
        <v>13</v>
      </c>
      <c r="G3486" t="s">
        <v>14</v>
      </c>
      <c r="H3486" t="s">
        <v>1106</v>
      </c>
      <c r="I3486" s="2">
        <v>59.97</v>
      </c>
      <c r="J3486" s="3">
        <v>3</v>
      </c>
      <c r="K3486" s="2">
        <v>13.79</v>
      </c>
    </row>
    <row r="3487" spans="1:11" x14ac:dyDescent="0.35">
      <c r="A3487" s="1">
        <v>43046</v>
      </c>
      <c r="B3487" s="3">
        <f t="shared" si="108"/>
        <v>2017</v>
      </c>
      <c r="C3487" s="3">
        <f t="shared" si="109"/>
        <v>11</v>
      </c>
      <c r="D3487" t="s">
        <v>346</v>
      </c>
      <c r="E3487" t="s">
        <v>45</v>
      </c>
      <c r="F3487" t="s">
        <v>13</v>
      </c>
      <c r="G3487" t="s">
        <v>23</v>
      </c>
      <c r="H3487" t="s">
        <v>482</v>
      </c>
      <c r="I3487" s="2">
        <v>761.54</v>
      </c>
      <c r="J3487" s="3">
        <v>7</v>
      </c>
      <c r="K3487" s="2">
        <v>66.64</v>
      </c>
    </row>
    <row r="3488" spans="1:11" x14ac:dyDescent="0.35">
      <c r="A3488" s="1">
        <v>43046</v>
      </c>
      <c r="B3488" s="3">
        <f t="shared" si="108"/>
        <v>2017</v>
      </c>
      <c r="C3488" s="3">
        <f t="shared" si="109"/>
        <v>11</v>
      </c>
      <c r="D3488" t="s">
        <v>562</v>
      </c>
      <c r="E3488" t="s">
        <v>89</v>
      </c>
      <c r="F3488" t="s">
        <v>13</v>
      </c>
      <c r="G3488" t="s">
        <v>23</v>
      </c>
      <c r="H3488" t="s">
        <v>340</v>
      </c>
      <c r="I3488" s="2">
        <v>359.97</v>
      </c>
      <c r="J3488" s="3">
        <v>5</v>
      </c>
      <c r="K3488" s="2">
        <v>-71.989999999999995</v>
      </c>
    </row>
    <row r="3489" spans="1:11" x14ac:dyDescent="0.35">
      <c r="A3489" s="1">
        <v>43046</v>
      </c>
      <c r="B3489" s="3">
        <f t="shared" si="108"/>
        <v>2017</v>
      </c>
      <c r="C3489" s="3">
        <f t="shared" si="109"/>
        <v>11</v>
      </c>
      <c r="D3489" t="s">
        <v>562</v>
      </c>
      <c r="E3489" t="s">
        <v>89</v>
      </c>
      <c r="F3489" t="s">
        <v>18</v>
      </c>
      <c r="G3489" t="s">
        <v>42</v>
      </c>
      <c r="H3489" t="s">
        <v>1593</v>
      </c>
      <c r="I3489" s="2">
        <v>350.35</v>
      </c>
      <c r="J3489" s="3">
        <v>4</v>
      </c>
      <c r="K3489" s="2">
        <v>-140.13999999999999</v>
      </c>
    </row>
    <row r="3490" spans="1:11" x14ac:dyDescent="0.35">
      <c r="A3490" s="1">
        <v>43046</v>
      </c>
      <c r="B3490" s="3">
        <f t="shared" si="108"/>
        <v>2017</v>
      </c>
      <c r="C3490" s="3">
        <f t="shared" si="109"/>
        <v>11</v>
      </c>
      <c r="D3490" t="s">
        <v>2199</v>
      </c>
      <c r="E3490" t="s">
        <v>45</v>
      </c>
      <c r="F3490" t="s">
        <v>28</v>
      </c>
      <c r="G3490" t="s">
        <v>48</v>
      </c>
      <c r="H3490" t="s">
        <v>330</v>
      </c>
      <c r="I3490" s="2">
        <v>21.79</v>
      </c>
      <c r="J3490" s="3">
        <v>4</v>
      </c>
      <c r="K3490" s="2">
        <v>7.63</v>
      </c>
    </row>
    <row r="3491" spans="1:11" x14ac:dyDescent="0.35">
      <c r="A3491" s="1">
        <v>43046</v>
      </c>
      <c r="B3491" s="3">
        <f t="shared" si="108"/>
        <v>2017</v>
      </c>
      <c r="C3491" s="3">
        <f t="shared" si="109"/>
        <v>11</v>
      </c>
      <c r="D3491" t="s">
        <v>2199</v>
      </c>
      <c r="E3491" t="s">
        <v>45</v>
      </c>
      <c r="F3491" t="s">
        <v>13</v>
      </c>
      <c r="G3491" t="s">
        <v>14</v>
      </c>
      <c r="H3491" t="s">
        <v>2190</v>
      </c>
      <c r="I3491" s="2">
        <v>439.8</v>
      </c>
      <c r="J3491" s="3">
        <v>4</v>
      </c>
      <c r="K3491" s="2">
        <v>145.13</v>
      </c>
    </row>
    <row r="3492" spans="1:11" x14ac:dyDescent="0.35">
      <c r="A3492" s="1">
        <v>43046</v>
      </c>
      <c r="B3492" s="3">
        <f t="shared" si="108"/>
        <v>2017</v>
      </c>
      <c r="C3492" s="3">
        <f t="shared" si="109"/>
        <v>11</v>
      </c>
      <c r="D3492" t="s">
        <v>945</v>
      </c>
      <c r="E3492" t="s">
        <v>876</v>
      </c>
      <c r="F3492" t="s">
        <v>28</v>
      </c>
      <c r="G3492" t="s">
        <v>58</v>
      </c>
      <c r="H3492" t="s">
        <v>376</v>
      </c>
      <c r="I3492" s="2">
        <v>100.94</v>
      </c>
      <c r="J3492" s="3">
        <v>7</v>
      </c>
      <c r="K3492" s="2">
        <v>33.31</v>
      </c>
    </row>
    <row r="3493" spans="1:11" x14ac:dyDescent="0.35">
      <c r="A3493" s="1">
        <v>43046</v>
      </c>
      <c r="B3493" s="3">
        <f t="shared" si="108"/>
        <v>2017</v>
      </c>
      <c r="C3493" s="3">
        <f t="shared" si="109"/>
        <v>11</v>
      </c>
      <c r="D3493" t="s">
        <v>662</v>
      </c>
      <c r="E3493" t="s">
        <v>22</v>
      </c>
      <c r="F3493" t="s">
        <v>13</v>
      </c>
      <c r="G3493" t="s">
        <v>14</v>
      </c>
      <c r="H3493" t="s">
        <v>2308</v>
      </c>
      <c r="I3493" s="2">
        <v>7.88</v>
      </c>
      <c r="J3493" s="3">
        <v>4</v>
      </c>
      <c r="K3493" s="2">
        <v>2.52</v>
      </c>
    </row>
    <row r="3494" spans="1:11" x14ac:dyDescent="0.35">
      <c r="A3494" s="1">
        <v>43046</v>
      </c>
      <c r="B3494" s="3">
        <f t="shared" si="108"/>
        <v>2017</v>
      </c>
      <c r="C3494" s="3">
        <f t="shared" si="109"/>
        <v>11</v>
      </c>
      <c r="D3494" t="s">
        <v>244</v>
      </c>
      <c r="E3494" t="s">
        <v>249</v>
      </c>
      <c r="F3494" t="s">
        <v>18</v>
      </c>
      <c r="G3494" t="s">
        <v>19</v>
      </c>
      <c r="H3494" t="s">
        <v>1078</v>
      </c>
      <c r="I3494" s="2">
        <v>272.97000000000003</v>
      </c>
      <c r="J3494" s="3">
        <v>3</v>
      </c>
      <c r="K3494" s="2">
        <v>43.68</v>
      </c>
    </row>
    <row r="3495" spans="1:11" x14ac:dyDescent="0.35">
      <c r="A3495" s="1">
        <v>43046</v>
      </c>
      <c r="B3495" s="3">
        <f t="shared" si="108"/>
        <v>2017</v>
      </c>
      <c r="C3495" s="3">
        <f t="shared" si="109"/>
        <v>11</v>
      </c>
      <c r="D3495" t="s">
        <v>2093</v>
      </c>
      <c r="E3495" t="s">
        <v>339</v>
      </c>
      <c r="F3495" t="s">
        <v>28</v>
      </c>
      <c r="G3495" t="s">
        <v>48</v>
      </c>
      <c r="H3495" t="s">
        <v>2307</v>
      </c>
      <c r="I3495" s="2">
        <v>38.159999999999997</v>
      </c>
      <c r="J3495" s="3">
        <v>9</v>
      </c>
      <c r="K3495" s="2">
        <v>19.079999999999998</v>
      </c>
    </row>
    <row r="3496" spans="1:11" x14ac:dyDescent="0.35">
      <c r="A3496" s="1">
        <v>43076</v>
      </c>
      <c r="B3496" s="3">
        <f t="shared" si="108"/>
        <v>2017</v>
      </c>
      <c r="C3496" s="3">
        <f t="shared" si="109"/>
        <v>12</v>
      </c>
      <c r="D3496" t="s">
        <v>662</v>
      </c>
      <c r="E3496" t="s">
        <v>45</v>
      </c>
      <c r="F3496" t="s">
        <v>13</v>
      </c>
      <c r="G3496" t="s">
        <v>23</v>
      </c>
      <c r="H3496" t="s">
        <v>1065</v>
      </c>
      <c r="I3496" s="2">
        <v>374.38</v>
      </c>
      <c r="J3496" s="3">
        <v>3</v>
      </c>
      <c r="K3496" s="2">
        <v>46.8</v>
      </c>
    </row>
    <row r="3497" spans="1:11" x14ac:dyDescent="0.35">
      <c r="A3497" s="1">
        <v>43076</v>
      </c>
      <c r="B3497" s="3">
        <f t="shared" si="108"/>
        <v>2017</v>
      </c>
      <c r="C3497" s="3">
        <f t="shared" si="109"/>
        <v>12</v>
      </c>
      <c r="D3497" t="s">
        <v>1239</v>
      </c>
      <c r="E3497" t="s">
        <v>32</v>
      </c>
      <c r="F3497" t="s">
        <v>28</v>
      </c>
      <c r="G3497" t="s">
        <v>33</v>
      </c>
      <c r="H3497" t="s">
        <v>658</v>
      </c>
      <c r="I3497" s="2">
        <v>3.55</v>
      </c>
      <c r="J3497" s="3">
        <v>3</v>
      </c>
      <c r="K3497" s="2">
        <v>1.24</v>
      </c>
    </row>
    <row r="3498" spans="1:11" x14ac:dyDescent="0.35">
      <c r="A3498" s="1">
        <v>43076</v>
      </c>
      <c r="B3498" s="3">
        <f t="shared" si="108"/>
        <v>2017</v>
      </c>
      <c r="C3498" s="3">
        <f t="shared" si="109"/>
        <v>12</v>
      </c>
      <c r="D3498" t="s">
        <v>1239</v>
      </c>
      <c r="E3498" t="s">
        <v>32</v>
      </c>
      <c r="F3498" t="s">
        <v>28</v>
      </c>
      <c r="G3498" t="s">
        <v>29</v>
      </c>
      <c r="H3498" t="s">
        <v>459</v>
      </c>
      <c r="I3498" s="2">
        <v>15.55</v>
      </c>
      <c r="J3498" s="3">
        <v>3</v>
      </c>
      <c r="K3498" s="2">
        <v>5.44</v>
      </c>
    </row>
    <row r="3499" spans="1:11" x14ac:dyDescent="0.35">
      <c r="A3499" s="1">
        <v>43076</v>
      </c>
      <c r="B3499" s="3">
        <f t="shared" si="108"/>
        <v>2017</v>
      </c>
      <c r="C3499" s="3">
        <f t="shared" si="109"/>
        <v>12</v>
      </c>
      <c r="D3499" t="s">
        <v>229</v>
      </c>
      <c r="E3499" t="s">
        <v>131</v>
      </c>
      <c r="F3499" t="s">
        <v>13</v>
      </c>
      <c r="G3499" t="s">
        <v>14</v>
      </c>
      <c r="H3499" t="s">
        <v>1027</v>
      </c>
      <c r="I3499" s="2">
        <v>127.98</v>
      </c>
      <c r="J3499" s="3">
        <v>2</v>
      </c>
      <c r="K3499" s="2">
        <v>25.6</v>
      </c>
    </row>
    <row r="3500" spans="1:11" x14ac:dyDescent="0.35">
      <c r="A3500" s="1">
        <v>43076</v>
      </c>
      <c r="B3500" s="3">
        <f t="shared" si="108"/>
        <v>2017</v>
      </c>
      <c r="C3500" s="3">
        <f t="shared" si="109"/>
        <v>12</v>
      </c>
      <c r="D3500" t="s">
        <v>2031</v>
      </c>
      <c r="E3500" t="s">
        <v>173</v>
      </c>
      <c r="F3500" t="s">
        <v>18</v>
      </c>
      <c r="G3500" t="s">
        <v>36</v>
      </c>
      <c r="H3500" t="s">
        <v>965</v>
      </c>
      <c r="I3500" s="2">
        <v>82.38</v>
      </c>
      <c r="J3500" s="3">
        <v>6</v>
      </c>
      <c r="K3500" s="2">
        <v>25.54</v>
      </c>
    </row>
    <row r="3501" spans="1:11" x14ac:dyDescent="0.35">
      <c r="A3501" s="1">
        <v>43076</v>
      </c>
      <c r="B3501" s="3">
        <f t="shared" si="108"/>
        <v>2017</v>
      </c>
      <c r="C3501" s="3">
        <f t="shared" si="109"/>
        <v>12</v>
      </c>
      <c r="D3501" t="s">
        <v>1462</v>
      </c>
      <c r="E3501" t="s">
        <v>26</v>
      </c>
      <c r="F3501" t="s">
        <v>28</v>
      </c>
      <c r="G3501" t="s">
        <v>48</v>
      </c>
      <c r="H3501" t="s">
        <v>2309</v>
      </c>
      <c r="I3501" s="2">
        <v>1889.99</v>
      </c>
      <c r="J3501" s="3">
        <v>5</v>
      </c>
      <c r="K3501" s="2">
        <v>-2929.48</v>
      </c>
    </row>
    <row r="3502" spans="1:11" x14ac:dyDescent="0.35">
      <c r="A3502" s="1">
        <v>43076</v>
      </c>
      <c r="B3502" s="3">
        <f t="shared" si="108"/>
        <v>2017</v>
      </c>
      <c r="C3502" s="3">
        <f t="shared" si="109"/>
        <v>12</v>
      </c>
      <c r="D3502" t="s">
        <v>755</v>
      </c>
      <c r="E3502" t="s">
        <v>456</v>
      </c>
      <c r="F3502" t="s">
        <v>28</v>
      </c>
      <c r="G3502" t="s">
        <v>58</v>
      </c>
      <c r="H3502" t="s">
        <v>2310</v>
      </c>
      <c r="I3502" s="2">
        <v>320.64</v>
      </c>
      <c r="J3502" s="3">
        <v>4</v>
      </c>
      <c r="K3502" s="2">
        <v>89.78</v>
      </c>
    </row>
    <row r="3503" spans="1:11" x14ac:dyDescent="0.35">
      <c r="A3503" s="1">
        <v>43076</v>
      </c>
      <c r="B3503" s="3">
        <f t="shared" si="108"/>
        <v>2017</v>
      </c>
      <c r="C3503" s="3">
        <f t="shared" si="109"/>
        <v>12</v>
      </c>
      <c r="D3503" t="s">
        <v>755</v>
      </c>
      <c r="E3503" t="s">
        <v>456</v>
      </c>
      <c r="F3503" t="s">
        <v>13</v>
      </c>
      <c r="G3503" t="s">
        <v>14</v>
      </c>
      <c r="H3503" t="s">
        <v>749</v>
      </c>
      <c r="I3503" s="2">
        <v>52</v>
      </c>
      <c r="J3503" s="3">
        <v>4</v>
      </c>
      <c r="K3503" s="2">
        <v>23.4</v>
      </c>
    </row>
    <row r="3504" spans="1:11" x14ac:dyDescent="0.35">
      <c r="A3504" s="1">
        <v>43076</v>
      </c>
      <c r="B3504" s="3">
        <f t="shared" si="108"/>
        <v>2017</v>
      </c>
      <c r="C3504" s="3">
        <f t="shared" si="109"/>
        <v>12</v>
      </c>
      <c r="D3504" t="s">
        <v>336</v>
      </c>
      <c r="E3504" t="s">
        <v>45</v>
      </c>
      <c r="F3504" t="s">
        <v>28</v>
      </c>
      <c r="G3504" t="s">
        <v>29</v>
      </c>
      <c r="H3504" t="s">
        <v>2311</v>
      </c>
      <c r="I3504" s="2">
        <v>50.04</v>
      </c>
      <c r="J3504" s="3">
        <v>6</v>
      </c>
      <c r="K3504" s="2">
        <v>25.02</v>
      </c>
    </row>
    <row r="3505" spans="1:11" x14ac:dyDescent="0.35">
      <c r="A3505" s="1">
        <v>42743</v>
      </c>
      <c r="B3505" s="3">
        <f t="shared" si="108"/>
        <v>2017</v>
      </c>
      <c r="C3505" s="3">
        <f t="shared" si="109"/>
        <v>1</v>
      </c>
      <c r="D3505" t="s">
        <v>478</v>
      </c>
      <c r="E3505" t="s">
        <v>17</v>
      </c>
      <c r="F3505" t="s">
        <v>18</v>
      </c>
      <c r="G3505" t="s">
        <v>42</v>
      </c>
      <c r="H3505" t="s">
        <v>2059</v>
      </c>
      <c r="I3505" s="2">
        <v>892.98</v>
      </c>
      <c r="J3505" s="3">
        <v>2</v>
      </c>
      <c r="K3505" s="2">
        <v>80.37</v>
      </c>
    </row>
    <row r="3506" spans="1:11" x14ac:dyDescent="0.35">
      <c r="A3506" s="1">
        <v>42802</v>
      </c>
      <c r="B3506" s="3">
        <f t="shared" si="108"/>
        <v>2017</v>
      </c>
      <c r="C3506" s="3">
        <f t="shared" si="109"/>
        <v>3</v>
      </c>
      <c r="D3506" t="s">
        <v>2282</v>
      </c>
      <c r="E3506" t="s">
        <v>165</v>
      </c>
      <c r="F3506" t="s">
        <v>28</v>
      </c>
      <c r="G3506" t="s">
        <v>58</v>
      </c>
      <c r="H3506" t="s">
        <v>2312</v>
      </c>
      <c r="I3506" s="2">
        <v>647.84</v>
      </c>
      <c r="J3506" s="3">
        <v>8</v>
      </c>
      <c r="K3506" s="2">
        <v>168.44</v>
      </c>
    </row>
    <row r="3507" spans="1:11" x14ac:dyDescent="0.35">
      <c r="A3507" s="1">
        <v>42802</v>
      </c>
      <c r="B3507" s="3">
        <f t="shared" si="108"/>
        <v>2017</v>
      </c>
      <c r="C3507" s="3">
        <f t="shared" si="109"/>
        <v>3</v>
      </c>
      <c r="D3507" t="s">
        <v>2282</v>
      </c>
      <c r="E3507" t="s">
        <v>165</v>
      </c>
      <c r="F3507" t="s">
        <v>28</v>
      </c>
      <c r="G3507" t="s">
        <v>46</v>
      </c>
      <c r="H3507" t="s">
        <v>2313</v>
      </c>
      <c r="I3507" s="2">
        <v>20.7</v>
      </c>
      <c r="J3507" s="3">
        <v>2</v>
      </c>
      <c r="K3507" s="2">
        <v>9.94</v>
      </c>
    </row>
    <row r="3508" spans="1:11" x14ac:dyDescent="0.35">
      <c r="A3508" s="1">
        <v>42802</v>
      </c>
      <c r="B3508" s="3">
        <f t="shared" si="108"/>
        <v>2017</v>
      </c>
      <c r="C3508" s="3">
        <f t="shared" si="109"/>
        <v>3</v>
      </c>
      <c r="D3508" t="s">
        <v>1406</v>
      </c>
      <c r="E3508" t="s">
        <v>45</v>
      </c>
      <c r="F3508" t="s">
        <v>28</v>
      </c>
      <c r="G3508" t="s">
        <v>48</v>
      </c>
      <c r="H3508" t="s">
        <v>681</v>
      </c>
      <c r="I3508" s="2">
        <v>171.2</v>
      </c>
      <c r="J3508" s="3">
        <v>5</v>
      </c>
      <c r="K3508" s="2">
        <v>64.2</v>
      </c>
    </row>
    <row r="3509" spans="1:11" x14ac:dyDescent="0.35">
      <c r="A3509" s="1">
        <v>42802</v>
      </c>
      <c r="B3509" s="3">
        <f t="shared" si="108"/>
        <v>2017</v>
      </c>
      <c r="C3509" s="3">
        <f t="shared" si="109"/>
        <v>3</v>
      </c>
      <c r="D3509" t="s">
        <v>1406</v>
      </c>
      <c r="E3509" t="s">
        <v>45</v>
      </c>
      <c r="F3509" t="s">
        <v>28</v>
      </c>
      <c r="G3509" t="s">
        <v>64</v>
      </c>
      <c r="H3509" t="s">
        <v>2314</v>
      </c>
      <c r="I3509" s="2">
        <v>3.36</v>
      </c>
      <c r="J3509" s="3">
        <v>2</v>
      </c>
      <c r="K3509" s="2">
        <v>0.87</v>
      </c>
    </row>
    <row r="3510" spans="1:11" x14ac:dyDescent="0.35">
      <c r="A3510" s="1">
        <v>42833</v>
      </c>
      <c r="B3510" s="3">
        <f t="shared" si="108"/>
        <v>2017</v>
      </c>
      <c r="C3510" s="3">
        <f t="shared" si="109"/>
        <v>4</v>
      </c>
      <c r="D3510" t="s">
        <v>332</v>
      </c>
      <c r="E3510" t="s">
        <v>165</v>
      </c>
      <c r="F3510" t="s">
        <v>18</v>
      </c>
      <c r="G3510" t="s">
        <v>36</v>
      </c>
      <c r="H3510" t="s">
        <v>2000</v>
      </c>
      <c r="I3510" s="2">
        <v>56.28</v>
      </c>
      <c r="J3510" s="3">
        <v>6</v>
      </c>
      <c r="K3510" s="2">
        <v>15.76</v>
      </c>
    </row>
    <row r="3511" spans="1:11" x14ac:dyDescent="0.35">
      <c r="A3511" s="1">
        <v>42833</v>
      </c>
      <c r="B3511" s="3">
        <f t="shared" si="108"/>
        <v>2017</v>
      </c>
      <c r="C3511" s="3">
        <f t="shared" si="109"/>
        <v>4</v>
      </c>
      <c r="D3511" t="s">
        <v>332</v>
      </c>
      <c r="E3511" t="s">
        <v>165</v>
      </c>
      <c r="F3511" t="s">
        <v>28</v>
      </c>
      <c r="G3511" t="s">
        <v>48</v>
      </c>
      <c r="H3511" t="s">
        <v>207</v>
      </c>
      <c r="I3511" s="2">
        <v>2690.97</v>
      </c>
      <c r="J3511" s="3">
        <v>3</v>
      </c>
      <c r="K3511" s="2">
        <v>1264.76</v>
      </c>
    </row>
    <row r="3512" spans="1:11" x14ac:dyDescent="0.35">
      <c r="A3512" s="1">
        <v>42833</v>
      </c>
      <c r="B3512" s="3">
        <f t="shared" si="108"/>
        <v>2017</v>
      </c>
      <c r="C3512" s="3">
        <f t="shared" si="109"/>
        <v>4</v>
      </c>
      <c r="D3512" t="s">
        <v>2010</v>
      </c>
      <c r="E3512" t="s">
        <v>62</v>
      </c>
      <c r="F3512" t="s">
        <v>28</v>
      </c>
      <c r="G3512" t="s">
        <v>38</v>
      </c>
      <c r="H3512" t="s">
        <v>1566</v>
      </c>
      <c r="I3512" s="2">
        <v>2591.56</v>
      </c>
      <c r="J3512" s="3">
        <v>4</v>
      </c>
      <c r="K3512" s="2">
        <v>621.97</v>
      </c>
    </row>
    <row r="3513" spans="1:11" x14ac:dyDescent="0.35">
      <c r="A3513" s="1">
        <v>42833</v>
      </c>
      <c r="B3513" s="3">
        <f t="shared" si="108"/>
        <v>2017</v>
      </c>
      <c r="C3513" s="3">
        <f t="shared" si="109"/>
        <v>4</v>
      </c>
      <c r="D3513" t="s">
        <v>2010</v>
      </c>
      <c r="E3513" t="s">
        <v>62</v>
      </c>
      <c r="F3513" t="s">
        <v>28</v>
      </c>
      <c r="G3513" t="s">
        <v>58</v>
      </c>
      <c r="H3513" t="s">
        <v>716</v>
      </c>
      <c r="I3513" s="2">
        <v>41.95</v>
      </c>
      <c r="J3513" s="3">
        <v>5</v>
      </c>
      <c r="K3513" s="2">
        <v>10.49</v>
      </c>
    </row>
    <row r="3514" spans="1:11" x14ac:dyDescent="0.35">
      <c r="A3514" s="1">
        <v>42833</v>
      </c>
      <c r="B3514" s="3">
        <f t="shared" si="108"/>
        <v>2017</v>
      </c>
      <c r="C3514" s="3">
        <f t="shared" si="109"/>
        <v>4</v>
      </c>
      <c r="D3514" t="s">
        <v>2138</v>
      </c>
      <c r="E3514" t="s">
        <v>45</v>
      </c>
      <c r="F3514" t="s">
        <v>28</v>
      </c>
      <c r="G3514" t="s">
        <v>29</v>
      </c>
      <c r="H3514" t="s">
        <v>429</v>
      </c>
      <c r="I3514" s="2">
        <v>244.55</v>
      </c>
      <c r="J3514" s="3">
        <v>5</v>
      </c>
      <c r="K3514" s="2">
        <v>114.94</v>
      </c>
    </row>
    <row r="3515" spans="1:11" x14ac:dyDescent="0.35">
      <c r="A3515" s="1">
        <v>42833</v>
      </c>
      <c r="B3515" s="3">
        <f t="shared" si="108"/>
        <v>2017</v>
      </c>
      <c r="C3515" s="3">
        <f t="shared" si="109"/>
        <v>4</v>
      </c>
      <c r="D3515" t="s">
        <v>2138</v>
      </c>
      <c r="E3515" t="s">
        <v>45</v>
      </c>
      <c r="F3515" t="s">
        <v>28</v>
      </c>
      <c r="G3515" t="s">
        <v>29</v>
      </c>
      <c r="H3515" t="s">
        <v>251</v>
      </c>
      <c r="I3515" s="2">
        <v>195.76</v>
      </c>
      <c r="J3515" s="3">
        <v>4</v>
      </c>
      <c r="K3515" s="2">
        <v>97.88</v>
      </c>
    </row>
    <row r="3516" spans="1:11" x14ac:dyDescent="0.35">
      <c r="A3516" s="1">
        <v>42833</v>
      </c>
      <c r="B3516" s="3">
        <f t="shared" si="108"/>
        <v>2017</v>
      </c>
      <c r="C3516" s="3">
        <f t="shared" si="109"/>
        <v>4</v>
      </c>
      <c r="D3516" t="s">
        <v>161</v>
      </c>
      <c r="E3516" t="s">
        <v>71</v>
      </c>
      <c r="F3516" t="s">
        <v>18</v>
      </c>
      <c r="G3516" t="s">
        <v>36</v>
      </c>
      <c r="H3516" t="s">
        <v>628</v>
      </c>
      <c r="I3516" s="2">
        <v>273.95999999999998</v>
      </c>
      <c r="J3516" s="3">
        <v>2</v>
      </c>
      <c r="K3516" s="2">
        <v>71.23</v>
      </c>
    </row>
    <row r="3517" spans="1:11" x14ac:dyDescent="0.35">
      <c r="A3517" s="1">
        <v>42833</v>
      </c>
      <c r="B3517" s="3">
        <f t="shared" si="108"/>
        <v>2017</v>
      </c>
      <c r="C3517" s="3">
        <f t="shared" si="109"/>
        <v>4</v>
      </c>
      <c r="D3517" t="s">
        <v>161</v>
      </c>
      <c r="E3517" t="s">
        <v>71</v>
      </c>
      <c r="F3517" t="s">
        <v>18</v>
      </c>
      <c r="G3517" t="s">
        <v>36</v>
      </c>
      <c r="H3517" t="s">
        <v>2152</v>
      </c>
      <c r="I3517" s="2">
        <v>306.89999999999998</v>
      </c>
      <c r="J3517" s="3">
        <v>3</v>
      </c>
      <c r="K3517" s="2">
        <v>79.790000000000006</v>
      </c>
    </row>
    <row r="3518" spans="1:11" x14ac:dyDescent="0.35">
      <c r="A3518" s="1">
        <v>42863</v>
      </c>
      <c r="B3518" s="3">
        <f t="shared" si="108"/>
        <v>2017</v>
      </c>
      <c r="C3518" s="3">
        <f t="shared" si="109"/>
        <v>5</v>
      </c>
      <c r="D3518" t="s">
        <v>497</v>
      </c>
      <c r="E3518" t="s">
        <v>131</v>
      </c>
      <c r="F3518" t="s">
        <v>18</v>
      </c>
      <c r="G3518" t="s">
        <v>19</v>
      </c>
      <c r="H3518" t="s">
        <v>1559</v>
      </c>
      <c r="I3518" s="2">
        <v>47.99</v>
      </c>
      <c r="J3518" s="3">
        <v>2</v>
      </c>
      <c r="K3518" s="2">
        <v>-2.06</v>
      </c>
    </row>
    <row r="3519" spans="1:11" x14ac:dyDescent="0.35">
      <c r="A3519" s="1">
        <v>42863</v>
      </c>
      <c r="B3519" s="3">
        <f t="shared" si="108"/>
        <v>2017</v>
      </c>
      <c r="C3519" s="3">
        <f t="shared" si="109"/>
        <v>5</v>
      </c>
      <c r="D3519" t="s">
        <v>1929</v>
      </c>
      <c r="E3519" t="s">
        <v>45</v>
      </c>
      <c r="F3519" t="s">
        <v>13</v>
      </c>
      <c r="G3519" t="s">
        <v>143</v>
      </c>
      <c r="H3519" t="s">
        <v>563</v>
      </c>
      <c r="I3519" s="2">
        <v>3359.95</v>
      </c>
      <c r="J3519" s="3">
        <v>6</v>
      </c>
      <c r="K3519" s="2">
        <v>1049.99</v>
      </c>
    </row>
    <row r="3520" spans="1:11" x14ac:dyDescent="0.35">
      <c r="A3520" s="1">
        <v>42863</v>
      </c>
      <c r="B3520" s="3">
        <f t="shared" si="108"/>
        <v>2017</v>
      </c>
      <c r="C3520" s="3">
        <f t="shared" si="109"/>
        <v>5</v>
      </c>
      <c r="D3520" t="s">
        <v>2210</v>
      </c>
      <c r="E3520" t="s">
        <v>89</v>
      </c>
      <c r="F3520" t="s">
        <v>18</v>
      </c>
      <c r="G3520" t="s">
        <v>19</v>
      </c>
      <c r="H3520" t="s">
        <v>1145</v>
      </c>
      <c r="I3520" s="2">
        <v>128.06</v>
      </c>
      <c r="J3520" s="3">
        <v>3</v>
      </c>
      <c r="K3520" s="2">
        <v>-23.78</v>
      </c>
    </row>
    <row r="3521" spans="1:11" x14ac:dyDescent="0.35">
      <c r="A3521" s="1">
        <v>42863</v>
      </c>
      <c r="B3521" s="3">
        <f t="shared" si="108"/>
        <v>2017</v>
      </c>
      <c r="C3521" s="3">
        <f t="shared" si="109"/>
        <v>5</v>
      </c>
      <c r="D3521" t="s">
        <v>900</v>
      </c>
      <c r="E3521" t="s">
        <v>45</v>
      </c>
      <c r="F3521" t="s">
        <v>28</v>
      </c>
      <c r="G3521" t="s">
        <v>58</v>
      </c>
      <c r="H3521" t="s">
        <v>383</v>
      </c>
      <c r="I3521" s="2">
        <v>81.08</v>
      </c>
      <c r="J3521" s="3">
        <v>4</v>
      </c>
      <c r="K3521" s="2">
        <v>22.7</v>
      </c>
    </row>
    <row r="3522" spans="1:11" x14ac:dyDescent="0.35">
      <c r="A3522" s="1">
        <v>42863</v>
      </c>
      <c r="B3522" s="3">
        <f t="shared" ref="B3522:B3585" si="110">YEAR(A3522)</f>
        <v>2017</v>
      </c>
      <c r="C3522" s="3">
        <f t="shared" ref="C3522:C3585" si="111">MONTH(A3522)</f>
        <v>5</v>
      </c>
      <c r="D3522" t="s">
        <v>684</v>
      </c>
      <c r="E3522" t="s">
        <v>32</v>
      </c>
      <c r="F3522" t="s">
        <v>28</v>
      </c>
      <c r="G3522" t="s">
        <v>29</v>
      </c>
      <c r="H3522" t="s">
        <v>1421</v>
      </c>
      <c r="I3522" s="2">
        <v>41.47</v>
      </c>
      <c r="J3522" s="3">
        <v>8</v>
      </c>
      <c r="K3522" s="2">
        <v>14.52</v>
      </c>
    </row>
    <row r="3523" spans="1:11" x14ac:dyDescent="0.35">
      <c r="A3523" s="1">
        <v>42894</v>
      </c>
      <c r="B3523" s="3">
        <f t="shared" si="110"/>
        <v>2017</v>
      </c>
      <c r="C3523" s="3">
        <f t="shared" si="111"/>
        <v>6</v>
      </c>
      <c r="D3523" t="s">
        <v>74</v>
      </c>
      <c r="E3523" t="s">
        <v>32</v>
      </c>
      <c r="F3523" t="s">
        <v>28</v>
      </c>
      <c r="G3523" t="s">
        <v>58</v>
      </c>
      <c r="H3523" t="s">
        <v>2315</v>
      </c>
      <c r="I3523" s="2">
        <v>1.62</v>
      </c>
      <c r="J3523" s="3">
        <v>2</v>
      </c>
      <c r="K3523" s="2">
        <v>-4.47</v>
      </c>
    </row>
    <row r="3524" spans="1:11" x14ac:dyDescent="0.35">
      <c r="A3524" s="1">
        <v>42894</v>
      </c>
      <c r="B3524" s="3">
        <f t="shared" si="110"/>
        <v>2017</v>
      </c>
      <c r="C3524" s="3">
        <f t="shared" si="111"/>
        <v>6</v>
      </c>
      <c r="D3524" t="s">
        <v>420</v>
      </c>
      <c r="E3524" t="s">
        <v>32</v>
      </c>
      <c r="F3524" t="s">
        <v>28</v>
      </c>
      <c r="G3524" t="s">
        <v>215</v>
      </c>
      <c r="H3524" t="s">
        <v>2316</v>
      </c>
      <c r="I3524" s="2">
        <v>23.76</v>
      </c>
      <c r="J3524" s="3">
        <v>3</v>
      </c>
      <c r="K3524" s="2">
        <v>2.08</v>
      </c>
    </row>
    <row r="3525" spans="1:11" x14ac:dyDescent="0.35">
      <c r="A3525" s="1">
        <v>42894</v>
      </c>
      <c r="B3525" s="3">
        <f t="shared" si="110"/>
        <v>2017</v>
      </c>
      <c r="C3525" s="3">
        <f t="shared" si="111"/>
        <v>6</v>
      </c>
      <c r="D3525" t="s">
        <v>420</v>
      </c>
      <c r="E3525" t="s">
        <v>32</v>
      </c>
      <c r="F3525" t="s">
        <v>28</v>
      </c>
      <c r="G3525" t="s">
        <v>29</v>
      </c>
      <c r="H3525" t="s">
        <v>123</v>
      </c>
      <c r="I3525" s="2">
        <v>85.06</v>
      </c>
      <c r="J3525" s="3">
        <v>3</v>
      </c>
      <c r="K3525" s="2">
        <v>28.71</v>
      </c>
    </row>
    <row r="3526" spans="1:11" x14ac:dyDescent="0.35">
      <c r="A3526" s="1">
        <v>42894</v>
      </c>
      <c r="B3526" s="3">
        <f t="shared" si="110"/>
        <v>2017</v>
      </c>
      <c r="C3526" s="3">
        <f t="shared" si="111"/>
        <v>6</v>
      </c>
      <c r="D3526" t="s">
        <v>420</v>
      </c>
      <c r="E3526" t="s">
        <v>32</v>
      </c>
      <c r="F3526" t="s">
        <v>13</v>
      </c>
      <c r="G3526" t="s">
        <v>23</v>
      </c>
      <c r="H3526" t="s">
        <v>2317</v>
      </c>
      <c r="I3526" s="2">
        <v>381.58</v>
      </c>
      <c r="J3526" s="3">
        <v>3</v>
      </c>
      <c r="K3526" s="2">
        <v>28.62</v>
      </c>
    </row>
    <row r="3527" spans="1:11" x14ac:dyDescent="0.35">
      <c r="A3527" s="1">
        <v>42894</v>
      </c>
      <c r="B3527" s="3">
        <f t="shared" si="110"/>
        <v>2017</v>
      </c>
      <c r="C3527" s="3">
        <f t="shared" si="111"/>
        <v>6</v>
      </c>
      <c r="D3527" t="s">
        <v>931</v>
      </c>
      <c r="E3527" t="s">
        <v>323</v>
      </c>
      <c r="F3527" t="s">
        <v>28</v>
      </c>
      <c r="G3527" t="s">
        <v>48</v>
      </c>
      <c r="H3527" t="s">
        <v>1006</v>
      </c>
      <c r="I3527" s="2">
        <v>10.36</v>
      </c>
      <c r="J3527" s="3">
        <v>2</v>
      </c>
      <c r="K3527" s="2">
        <v>5.08</v>
      </c>
    </row>
    <row r="3528" spans="1:11" x14ac:dyDescent="0.35">
      <c r="A3528" s="1">
        <v>42894</v>
      </c>
      <c r="B3528" s="3">
        <f t="shared" si="110"/>
        <v>2017</v>
      </c>
      <c r="C3528" s="3">
        <f t="shared" si="111"/>
        <v>6</v>
      </c>
      <c r="D3528" t="s">
        <v>993</v>
      </c>
      <c r="E3528" t="s">
        <v>26</v>
      </c>
      <c r="F3528" t="s">
        <v>28</v>
      </c>
      <c r="G3528" t="s">
        <v>48</v>
      </c>
      <c r="H3528" t="s">
        <v>1052</v>
      </c>
      <c r="I3528" s="2">
        <v>12.18</v>
      </c>
      <c r="J3528" s="3">
        <v>4</v>
      </c>
      <c r="K3528" s="2">
        <v>-18.87</v>
      </c>
    </row>
    <row r="3529" spans="1:11" x14ac:dyDescent="0.35">
      <c r="A3529" s="1">
        <v>42894</v>
      </c>
      <c r="B3529" s="3">
        <f t="shared" si="110"/>
        <v>2017</v>
      </c>
      <c r="C3529" s="3">
        <f t="shared" si="111"/>
        <v>6</v>
      </c>
      <c r="D3529" t="s">
        <v>2318</v>
      </c>
      <c r="E3529" t="s">
        <v>45</v>
      </c>
      <c r="F3529" t="s">
        <v>18</v>
      </c>
      <c r="G3529" t="s">
        <v>237</v>
      </c>
      <c r="H3529" t="s">
        <v>1457</v>
      </c>
      <c r="I3529" s="2">
        <v>1497.67</v>
      </c>
      <c r="J3529" s="3">
        <v>2</v>
      </c>
      <c r="K3529" s="2">
        <v>140.96</v>
      </c>
    </row>
    <row r="3530" spans="1:11" x14ac:dyDescent="0.35">
      <c r="A3530" s="1">
        <v>42894</v>
      </c>
      <c r="B3530" s="3">
        <f t="shared" si="110"/>
        <v>2017</v>
      </c>
      <c r="C3530" s="3">
        <f t="shared" si="111"/>
        <v>6</v>
      </c>
      <c r="D3530" t="s">
        <v>2318</v>
      </c>
      <c r="E3530" t="s">
        <v>45</v>
      </c>
      <c r="F3530" t="s">
        <v>13</v>
      </c>
      <c r="G3530" t="s">
        <v>23</v>
      </c>
      <c r="H3530" t="s">
        <v>582</v>
      </c>
      <c r="I3530" s="2">
        <v>17.52</v>
      </c>
      <c r="J3530" s="3">
        <v>2</v>
      </c>
      <c r="K3530" s="2">
        <v>-3.5</v>
      </c>
    </row>
    <row r="3531" spans="1:11" x14ac:dyDescent="0.35">
      <c r="A3531" s="1">
        <v>42894</v>
      </c>
      <c r="B3531" s="3">
        <f t="shared" si="110"/>
        <v>2017</v>
      </c>
      <c r="C3531" s="3">
        <f t="shared" si="111"/>
        <v>6</v>
      </c>
      <c r="D3531" t="s">
        <v>767</v>
      </c>
      <c r="E3531" t="s">
        <v>211</v>
      </c>
      <c r="F3531" t="s">
        <v>13</v>
      </c>
      <c r="G3531" t="s">
        <v>14</v>
      </c>
      <c r="H3531" t="s">
        <v>2222</v>
      </c>
      <c r="I3531" s="2">
        <v>89.54</v>
      </c>
      <c r="J3531" s="3">
        <v>7</v>
      </c>
      <c r="K3531" s="2">
        <v>12.31</v>
      </c>
    </row>
    <row r="3532" spans="1:11" x14ac:dyDescent="0.35">
      <c r="A3532" s="1">
        <v>42894</v>
      </c>
      <c r="B3532" s="3">
        <f t="shared" si="110"/>
        <v>2017</v>
      </c>
      <c r="C3532" s="3">
        <f t="shared" si="111"/>
        <v>6</v>
      </c>
      <c r="D3532" t="s">
        <v>767</v>
      </c>
      <c r="E3532" t="s">
        <v>211</v>
      </c>
      <c r="F3532" t="s">
        <v>28</v>
      </c>
      <c r="G3532" t="s">
        <v>38</v>
      </c>
      <c r="H3532" t="s">
        <v>585</v>
      </c>
      <c r="I3532" s="2">
        <v>35.17</v>
      </c>
      <c r="J3532" s="3">
        <v>2</v>
      </c>
      <c r="K3532" s="2">
        <v>-8.35</v>
      </c>
    </row>
    <row r="3533" spans="1:11" x14ac:dyDescent="0.35">
      <c r="A3533" s="1">
        <v>42894</v>
      </c>
      <c r="B3533" s="3">
        <f t="shared" si="110"/>
        <v>2017</v>
      </c>
      <c r="C3533" s="3">
        <f t="shared" si="111"/>
        <v>6</v>
      </c>
      <c r="D3533" t="s">
        <v>767</v>
      </c>
      <c r="E3533" t="s">
        <v>211</v>
      </c>
      <c r="F3533" t="s">
        <v>28</v>
      </c>
      <c r="G3533" t="s">
        <v>48</v>
      </c>
      <c r="H3533" t="s">
        <v>2319</v>
      </c>
      <c r="I3533" s="2">
        <v>72.59</v>
      </c>
      <c r="J3533" s="3">
        <v>2</v>
      </c>
      <c r="K3533" s="2">
        <v>-48.39</v>
      </c>
    </row>
    <row r="3534" spans="1:11" x14ac:dyDescent="0.35">
      <c r="A3534" s="1">
        <v>42924</v>
      </c>
      <c r="B3534" s="3">
        <f t="shared" si="110"/>
        <v>2017</v>
      </c>
      <c r="C3534" s="3">
        <f t="shared" si="111"/>
        <v>7</v>
      </c>
      <c r="D3534" t="s">
        <v>2320</v>
      </c>
      <c r="E3534" t="s">
        <v>51</v>
      </c>
      <c r="F3534" t="s">
        <v>28</v>
      </c>
      <c r="G3534" t="s">
        <v>64</v>
      </c>
      <c r="H3534" t="s">
        <v>2321</v>
      </c>
      <c r="I3534" s="2">
        <v>7.56</v>
      </c>
      <c r="J3534" s="3">
        <v>3</v>
      </c>
      <c r="K3534" s="2">
        <v>3.1</v>
      </c>
    </row>
    <row r="3535" spans="1:11" x14ac:dyDescent="0.35">
      <c r="A3535" s="1">
        <v>42924</v>
      </c>
      <c r="B3535" s="3">
        <f t="shared" si="110"/>
        <v>2017</v>
      </c>
      <c r="C3535" s="3">
        <f t="shared" si="111"/>
        <v>7</v>
      </c>
      <c r="D3535" t="s">
        <v>2320</v>
      </c>
      <c r="E3535" t="s">
        <v>51</v>
      </c>
      <c r="F3535" t="s">
        <v>28</v>
      </c>
      <c r="G3535" t="s">
        <v>29</v>
      </c>
      <c r="H3535" t="s">
        <v>123</v>
      </c>
      <c r="I3535" s="2">
        <v>24.56</v>
      </c>
      <c r="J3535" s="3">
        <v>2</v>
      </c>
      <c r="K3535" s="2">
        <v>11.54</v>
      </c>
    </row>
    <row r="3536" spans="1:11" x14ac:dyDescent="0.35">
      <c r="A3536" s="1">
        <v>42924</v>
      </c>
      <c r="B3536" s="3">
        <f t="shared" si="110"/>
        <v>2017</v>
      </c>
      <c r="C3536" s="3">
        <f t="shared" si="111"/>
        <v>7</v>
      </c>
      <c r="D3536" t="s">
        <v>2320</v>
      </c>
      <c r="E3536" t="s">
        <v>51</v>
      </c>
      <c r="F3536" t="s">
        <v>28</v>
      </c>
      <c r="G3536" t="s">
        <v>64</v>
      </c>
      <c r="H3536" t="s">
        <v>353</v>
      </c>
      <c r="I3536" s="2">
        <v>12.96</v>
      </c>
      <c r="J3536" s="3">
        <v>2</v>
      </c>
      <c r="K3536" s="2">
        <v>4.1500000000000004</v>
      </c>
    </row>
    <row r="3537" spans="1:11" x14ac:dyDescent="0.35">
      <c r="A3537" s="1">
        <v>42924</v>
      </c>
      <c r="B3537" s="3">
        <f t="shared" si="110"/>
        <v>2017</v>
      </c>
      <c r="C3537" s="3">
        <f t="shared" si="111"/>
        <v>7</v>
      </c>
      <c r="D3537" t="s">
        <v>418</v>
      </c>
      <c r="E3537" t="s">
        <v>45</v>
      </c>
      <c r="F3537" t="s">
        <v>18</v>
      </c>
      <c r="G3537" t="s">
        <v>36</v>
      </c>
      <c r="H3537" t="s">
        <v>241</v>
      </c>
      <c r="I3537" s="2">
        <v>145.9</v>
      </c>
      <c r="J3537" s="3">
        <v>5</v>
      </c>
      <c r="K3537" s="2">
        <v>62.74</v>
      </c>
    </row>
    <row r="3538" spans="1:11" x14ac:dyDescent="0.35">
      <c r="A3538" s="1">
        <v>42924</v>
      </c>
      <c r="B3538" s="3">
        <f t="shared" si="110"/>
        <v>2017</v>
      </c>
      <c r="C3538" s="3">
        <f t="shared" si="111"/>
        <v>7</v>
      </c>
      <c r="D3538" t="s">
        <v>2322</v>
      </c>
      <c r="E3538" t="s">
        <v>17</v>
      </c>
      <c r="F3538" t="s">
        <v>18</v>
      </c>
      <c r="G3538" t="s">
        <v>36</v>
      </c>
      <c r="H3538" t="s">
        <v>1190</v>
      </c>
      <c r="I3538" s="2">
        <v>198.46</v>
      </c>
      <c r="J3538" s="3">
        <v>2</v>
      </c>
      <c r="K3538" s="2">
        <v>99.23</v>
      </c>
    </row>
    <row r="3539" spans="1:11" x14ac:dyDescent="0.35">
      <c r="A3539" s="1">
        <v>42924</v>
      </c>
      <c r="B3539" s="3">
        <f t="shared" si="110"/>
        <v>2017</v>
      </c>
      <c r="C3539" s="3">
        <f t="shared" si="111"/>
        <v>7</v>
      </c>
      <c r="D3539" t="s">
        <v>2322</v>
      </c>
      <c r="E3539" t="s">
        <v>17</v>
      </c>
      <c r="F3539" t="s">
        <v>28</v>
      </c>
      <c r="G3539" t="s">
        <v>46</v>
      </c>
      <c r="H3539" t="s">
        <v>840</v>
      </c>
      <c r="I3539" s="2">
        <v>786.48</v>
      </c>
      <c r="J3539" s="3">
        <v>8</v>
      </c>
      <c r="K3539" s="2">
        <v>385.38</v>
      </c>
    </row>
    <row r="3540" spans="1:11" x14ac:dyDescent="0.35">
      <c r="A3540" s="1">
        <v>42924</v>
      </c>
      <c r="B3540" s="3">
        <f t="shared" si="110"/>
        <v>2017</v>
      </c>
      <c r="C3540" s="3">
        <f t="shared" si="111"/>
        <v>7</v>
      </c>
      <c r="D3540" t="s">
        <v>2322</v>
      </c>
      <c r="E3540" t="s">
        <v>17</v>
      </c>
      <c r="F3540" t="s">
        <v>28</v>
      </c>
      <c r="G3540" t="s">
        <v>48</v>
      </c>
      <c r="H3540" t="s">
        <v>1302</v>
      </c>
      <c r="I3540" s="2">
        <v>23.17</v>
      </c>
      <c r="J3540" s="3">
        <v>2</v>
      </c>
      <c r="K3540" s="2">
        <v>7.82</v>
      </c>
    </row>
    <row r="3541" spans="1:11" x14ac:dyDescent="0.35">
      <c r="A3541" s="1">
        <v>42924</v>
      </c>
      <c r="B3541" s="3">
        <f t="shared" si="110"/>
        <v>2017</v>
      </c>
      <c r="C3541" s="3">
        <f t="shared" si="111"/>
        <v>7</v>
      </c>
      <c r="D3541" t="s">
        <v>2322</v>
      </c>
      <c r="E3541" t="s">
        <v>17</v>
      </c>
      <c r="F3541" t="s">
        <v>13</v>
      </c>
      <c r="G3541" t="s">
        <v>14</v>
      </c>
      <c r="H3541" t="s">
        <v>1910</v>
      </c>
      <c r="I3541" s="2">
        <v>50</v>
      </c>
      <c r="J3541" s="3">
        <v>2</v>
      </c>
      <c r="K3541" s="2">
        <v>10.5</v>
      </c>
    </row>
    <row r="3542" spans="1:11" x14ac:dyDescent="0.35">
      <c r="A3542" s="1">
        <v>42924</v>
      </c>
      <c r="B3542" s="3">
        <f t="shared" si="110"/>
        <v>2017</v>
      </c>
      <c r="C3542" s="3">
        <f t="shared" si="111"/>
        <v>7</v>
      </c>
      <c r="D3542" t="s">
        <v>698</v>
      </c>
      <c r="E3542" t="s">
        <v>45</v>
      </c>
      <c r="F3542" t="s">
        <v>28</v>
      </c>
      <c r="G3542" t="s">
        <v>46</v>
      </c>
      <c r="H3542" t="s">
        <v>2323</v>
      </c>
      <c r="I3542" s="2">
        <v>75.180000000000007</v>
      </c>
      <c r="J3542" s="3">
        <v>6</v>
      </c>
      <c r="K3542" s="2">
        <v>35.33</v>
      </c>
    </row>
    <row r="3543" spans="1:11" x14ac:dyDescent="0.35">
      <c r="A3543" s="1">
        <v>42924</v>
      </c>
      <c r="B3543" s="3">
        <f t="shared" si="110"/>
        <v>2017</v>
      </c>
      <c r="C3543" s="3">
        <f t="shared" si="111"/>
        <v>7</v>
      </c>
      <c r="D3543" t="s">
        <v>25</v>
      </c>
      <c r="E3543" t="s">
        <v>17</v>
      </c>
      <c r="F3543" t="s">
        <v>18</v>
      </c>
      <c r="G3543" t="s">
        <v>36</v>
      </c>
      <c r="H3543" t="s">
        <v>127</v>
      </c>
      <c r="I3543" s="2">
        <v>15.84</v>
      </c>
      <c r="J3543" s="3">
        <v>3</v>
      </c>
      <c r="K3543" s="2">
        <v>4.91</v>
      </c>
    </row>
    <row r="3544" spans="1:11" x14ac:dyDescent="0.35">
      <c r="A3544" s="1">
        <v>42924</v>
      </c>
      <c r="B3544" s="3">
        <f t="shared" si="110"/>
        <v>2017</v>
      </c>
      <c r="C3544" s="3">
        <f t="shared" si="111"/>
        <v>7</v>
      </c>
      <c r="D3544" t="s">
        <v>25</v>
      </c>
      <c r="E3544" t="s">
        <v>17</v>
      </c>
      <c r="F3544" t="s">
        <v>28</v>
      </c>
      <c r="G3544" t="s">
        <v>48</v>
      </c>
      <c r="H3544" t="s">
        <v>1935</v>
      </c>
      <c r="I3544" s="2">
        <v>86.38</v>
      </c>
      <c r="J3544" s="3">
        <v>3</v>
      </c>
      <c r="K3544" s="2">
        <v>30.23</v>
      </c>
    </row>
    <row r="3545" spans="1:11" x14ac:dyDescent="0.35">
      <c r="A3545" s="1">
        <v>42924</v>
      </c>
      <c r="B3545" s="3">
        <f t="shared" si="110"/>
        <v>2017</v>
      </c>
      <c r="C3545" s="3">
        <f t="shared" si="111"/>
        <v>7</v>
      </c>
      <c r="D3545" t="s">
        <v>25</v>
      </c>
      <c r="E3545" t="s">
        <v>17</v>
      </c>
      <c r="F3545" t="s">
        <v>28</v>
      </c>
      <c r="G3545" t="s">
        <v>64</v>
      </c>
      <c r="H3545" t="s">
        <v>263</v>
      </c>
      <c r="I3545" s="2">
        <v>18.239999999999998</v>
      </c>
      <c r="J3545" s="3">
        <v>3</v>
      </c>
      <c r="K3545" s="2">
        <v>6.2</v>
      </c>
    </row>
    <row r="3546" spans="1:11" x14ac:dyDescent="0.35">
      <c r="A3546" s="1">
        <v>42924</v>
      </c>
      <c r="B3546" s="3">
        <f t="shared" si="110"/>
        <v>2017</v>
      </c>
      <c r="C3546" s="3">
        <f t="shared" si="111"/>
        <v>7</v>
      </c>
      <c r="D3546" t="s">
        <v>25</v>
      </c>
      <c r="E3546" t="s">
        <v>17</v>
      </c>
      <c r="F3546" t="s">
        <v>28</v>
      </c>
      <c r="G3546" t="s">
        <v>64</v>
      </c>
      <c r="H3546" t="s">
        <v>433</v>
      </c>
      <c r="I3546" s="2">
        <v>13.12</v>
      </c>
      <c r="J3546" s="3">
        <v>4</v>
      </c>
      <c r="K3546" s="2">
        <v>4.33</v>
      </c>
    </row>
    <row r="3547" spans="1:11" x14ac:dyDescent="0.35">
      <c r="A3547" s="1">
        <v>42924</v>
      </c>
      <c r="B3547" s="3">
        <f t="shared" si="110"/>
        <v>2017</v>
      </c>
      <c r="C3547" s="3">
        <f t="shared" si="111"/>
        <v>7</v>
      </c>
      <c r="D3547" t="s">
        <v>1874</v>
      </c>
      <c r="E3547" t="s">
        <v>876</v>
      </c>
      <c r="F3547" t="s">
        <v>18</v>
      </c>
      <c r="G3547" t="s">
        <v>36</v>
      </c>
      <c r="H3547" t="s">
        <v>1263</v>
      </c>
      <c r="I3547" s="2">
        <v>83.92</v>
      </c>
      <c r="J3547" s="3">
        <v>4</v>
      </c>
      <c r="K3547" s="2">
        <v>5.87</v>
      </c>
    </row>
    <row r="3548" spans="1:11" x14ac:dyDescent="0.35">
      <c r="A3548" s="1">
        <v>42924</v>
      </c>
      <c r="B3548" s="3">
        <f t="shared" si="110"/>
        <v>2017</v>
      </c>
      <c r="C3548" s="3">
        <f t="shared" si="111"/>
        <v>7</v>
      </c>
      <c r="D3548" t="s">
        <v>1874</v>
      </c>
      <c r="E3548" t="s">
        <v>876</v>
      </c>
      <c r="F3548" t="s">
        <v>13</v>
      </c>
      <c r="G3548" t="s">
        <v>14</v>
      </c>
      <c r="H3548" t="s">
        <v>395</v>
      </c>
      <c r="I3548" s="2">
        <v>141.9</v>
      </c>
      <c r="J3548" s="3">
        <v>5</v>
      </c>
      <c r="K3548" s="2">
        <v>58.18</v>
      </c>
    </row>
    <row r="3549" spans="1:11" x14ac:dyDescent="0.35">
      <c r="A3549" s="1">
        <v>42924</v>
      </c>
      <c r="B3549" s="3">
        <f t="shared" si="110"/>
        <v>2017</v>
      </c>
      <c r="C3549" s="3">
        <f t="shared" si="111"/>
        <v>7</v>
      </c>
      <c r="D3549" t="s">
        <v>1874</v>
      </c>
      <c r="E3549" t="s">
        <v>876</v>
      </c>
      <c r="F3549" t="s">
        <v>18</v>
      </c>
      <c r="G3549" t="s">
        <v>36</v>
      </c>
      <c r="H3549" t="s">
        <v>2324</v>
      </c>
      <c r="I3549" s="2">
        <v>39.979999999999997</v>
      </c>
      <c r="J3549" s="3">
        <v>2</v>
      </c>
      <c r="K3549" s="2">
        <v>9.1999999999999993</v>
      </c>
    </row>
    <row r="3550" spans="1:11" x14ac:dyDescent="0.35">
      <c r="A3550" s="1">
        <v>42924</v>
      </c>
      <c r="B3550" s="3">
        <f t="shared" si="110"/>
        <v>2017</v>
      </c>
      <c r="C3550" s="3">
        <f t="shared" si="111"/>
        <v>7</v>
      </c>
      <c r="D3550" t="s">
        <v>1874</v>
      </c>
      <c r="E3550" t="s">
        <v>876</v>
      </c>
      <c r="F3550" t="s">
        <v>28</v>
      </c>
      <c r="G3550" t="s">
        <v>64</v>
      </c>
      <c r="H3550" t="s">
        <v>2325</v>
      </c>
      <c r="I3550" s="2">
        <v>28.91</v>
      </c>
      <c r="J3550" s="3">
        <v>7</v>
      </c>
      <c r="K3550" s="2">
        <v>8.67</v>
      </c>
    </row>
    <row r="3551" spans="1:11" x14ac:dyDescent="0.35">
      <c r="A3551" s="1">
        <v>42924</v>
      </c>
      <c r="B3551" s="3">
        <f t="shared" si="110"/>
        <v>2017</v>
      </c>
      <c r="C3551" s="3">
        <f t="shared" si="111"/>
        <v>7</v>
      </c>
      <c r="D3551" t="s">
        <v>1874</v>
      </c>
      <c r="E3551" t="s">
        <v>876</v>
      </c>
      <c r="F3551" t="s">
        <v>28</v>
      </c>
      <c r="G3551" t="s">
        <v>64</v>
      </c>
      <c r="H3551" t="s">
        <v>310</v>
      </c>
      <c r="I3551" s="2">
        <v>174.95</v>
      </c>
      <c r="J3551" s="3">
        <v>5</v>
      </c>
      <c r="K3551" s="2">
        <v>45.49</v>
      </c>
    </row>
    <row r="3552" spans="1:11" x14ac:dyDescent="0.35">
      <c r="A3552" s="1">
        <v>42924</v>
      </c>
      <c r="B3552" s="3">
        <f t="shared" si="110"/>
        <v>2017</v>
      </c>
      <c r="C3552" s="3">
        <f t="shared" si="111"/>
        <v>7</v>
      </c>
      <c r="D3552" t="s">
        <v>300</v>
      </c>
      <c r="E3552" t="s">
        <v>17</v>
      </c>
      <c r="F3552" t="s">
        <v>28</v>
      </c>
      <c r="G3552" t="s">
        <v>29</v>
      </c>
      <c r="H3552" t="s">
        <v>123</v>
      </c>
      <c r="I3552" s="2">
        <v>52.76</v>
      </c>
      <c r="J3552" s="3">
        <v>2</v>
      </c>
      <c r="K3552" s="2">
        <v>24.27</v>
      </c>
    </row>
    <row r="3553" spans="1:11" x14ac:dyDescent="0.35">
      <c r="A3553" s="1">
        <v>42986</v>
      </c>
      <c r="B3553" s="3">
        <f t="shared" si="110"/>
        <v>2017</v>
      </c>
      <c r="C3553" s="3">
        <f t="shared" si="111"/>
        <v>9</v>
      </c>
      <c r="D3553" t="s">
        <v>900</v>
      </c>
      <c r="E3553" t="s">
        <v>26</v>
      </c>
      <c r="F3553" t="s">
        <v>18</v>
      </c>
      <c r="G3553" t="s">
        <v>42</v>
      </c>
      <c r="H3553" t="s">
        <v>290</v>
      </c>
      <c r="I3553" s="2">
        <v>765.63</v>
      </c>
      <c r="J3553" s="3">
        <v>7</v>
      </c>
      <c r="K3553" s="2">
        <v>-566.55999999999995</v>
      </c>
    </row>
    <row r="3554" spans="1:11" x14ac:dyDescent="0.35">
      <c r="A3554" s="1">
        <v>42986</v>
      </c>
      <c r="B3554" s="3">
        <f t="shared" si="110"/>
        <v>2017</v>
      </c>
      <c r="C3554" s="3">
        <f t="shared" si="111"/>
        <v>9</v>
      </c>
      <c r="D3554" t="s">
        <v>1629</v>
      </c>
      <c r="E3554" t="s">
        <v>89</v>
      </c>
      <c r="F3554" t="s">
        <v>13</v>
      </c>
      <c r="G3554" t="s">
        <v>23</v>
      </c>
      <c r="H3554" t="s">
        <v>1151</v>
      </c>
      <c r="I3554" s="2">
        <v>258.52999999999997</v>
      </c>
      <c r="J3554" s="3">
        <v>2</v>
      </c>
      <c r="K3554" s="2">
        <v>-47.4</v>
      </c>
    </row>
    <row r="3555" spans="1:11" x14ac:dyDescent="0.35">
      <c r="A3555" s="1">
        <v>42986</v>
      </c>
      <c r="B3555" s="3">
        <f t="shared" si="110"/>
        <v>2017</v>
      </c>
      <c r="C3555" s="3">
        <f t="shared" si="111"/>
        <v>9</v>
      </c>
      <c r="D3555" t="s">
        <v>942</v>
      </c>
      <c r="E3555" t="s">
        <v>131</v>
      </c>
      <c r="F3555" t="s">
        <v>13</v>
      </c>
      <c r="G3555" t="s">
        <v>14</v>
      </c>
      <c r="H3555" t="s">
        <v>2326</v>
      </c>
      <c r="I3555" s="2">
        <v>9.1</v>
      </c>
      <c r="J3555" s="3">
        <v>1</v>
      </c>
      <c r="K3555" s="2">
        <v>1.71</v>
      </c>
    </row>
    <row r="3556" spans="1:11" x14ac:dyDescent="0.35">
      <c r="A3556" s="1">
        <v>42986</v>
      </c>
      <c r="B3556" s="3">
        <f t="shared" si="110"/>
        <v>2017</v>
      </c>
      <c r="C3556" s="3">
        <f t="shared" si="111"/>
        <v>9</v>
      </c>
      <c r="D3556" t="s">
        <v>586</v>
      </c>
      <c r="E3556" t="s">
        <v>131</v>
      </c>
      <c r="F3556" t="s">
        <v>13</v>
      </c>
      <c r="G3556" t="s">
        <v>14</v>
      </c>
      <c r="H3556" t="s">
        <v>501</v>
      </c>
      <c r="I3556" s="2">
        <v>116.83</v>
      </c>
      <c r="J3556" s="3">
        <v>4</v>
      </c>
      <c r="K3556" s="2">
        <v>33.590000000000003</v>
      </c>
    </row>
    <row r="3557" spans="1:11" x14ac:dyDescent="0.35">
      <c r="A3557" s="1">
        <v>42986</v>
      </c>
      <c r="B3557" s="3">
        <f t="shared" si="110"/>
        <v>2017</v>
      </c>
      <c r="C3557" s="3">
        <f t="shared" si="111"/>
        <v>9</v>
      </c>
      <c r="D3557" t="s">
        <v>1532</v>
      </c>
      <c r="E3557" t="s">
        <v>32</v>
      </c>
      <c r="F3557" t="s">
        <v>13</v>
      </c>
      <c r="G3557" t="s">
        <v>14</v>
      </c>
      <c r="H3557" t="s">
        <v>2327</v>
      </c>
      <c r="I3557" s="2">
        <v>85.2</v>
      </c>
      <c r="J3557" s="3">
        <v>6</v>
      </c>
      <c r="K3557" s="2">
        <v>20.239999999999998</v>
      </c>
    </row>
    <row r="3558" spans="1:11" x14ac:dyDescent="0.35">
      <c r="A3558" s="1">
        <v>42986</v>
      </c>
      <c r="B3558" s="3">
        <f t="shared" si="110"/>
        <v>2017</v>
      </c>
      <c r="C3558" s="3">
        <f t="shared" si="111"/>
        <v>9</v>
      </c>
      <c r="D3558" t="s">
        <v>1697</v>
      </c>
      <c r="E3558" t="s">
        <v>32</v>
      </c>
      <c r="F3558" t="s">
        <v>28</v>
      </c>
      <c r="G3558" t="s">
        <v>48</v>
      </c>
      <c r="H3558" t="s">
        <v>855</v>
      </c>
      <c r="I3558" s="2">
        <v>42.62</v>
      </c>
      <c r="J3558" s="3">
        <v>7</v>
      </c>
      <c r="K3558" s="2">
        <v>-68.19</v>
      </c>
    </row>
    <row r="3559" spans="1:11" x14ac:dyDescent="0.35">
      <c r="A3559" s="1">
        <v>42986</v>
      </c>
      <c r="B3559" s="3">
        <f t="shared" si="110"/>
        <v>2017</v>
      </c>
      <c r="C3559" s="3">
        <f t="shared" si="111"/>
        <v>9</v>
      </c>
      <c r="D3559" t="s">
        <v>1697</v>
      </c>
      <c r="E3559" t="s">
        <v>32</v>
      </c>
      <c r="F3559" t="s">
        <v>13</v>
      </c>
      <c r="G3559" t="s">
        <v>143</v>
      </c>
      <c r="H3559" t="s">
        <v>1557</v>
      </c>
      <c r="I3559" s="2">
        <v>319.98</v>
      </c>
      <c r="J3559" s="3">
        <v>2</v>
      </c>
      <c r="K3559" s="2">
        <v>107.99</v>
      </c>
    </row>
    <row r="3560" spans="1:11" x14ac:dyDescent="0.35">
      <c r="A3560" s="1">
        <v>42986</v>
      </c>
      <c r="B3560" s="3">
        <f t="shared" si="110"/>
        <v>2017</v>
      </c>
      <c r="C3560" s="3">
        <f t="shared" si="111"/>
        <v>9</v>
      </c>
      <c r="D3560" t="s">
        <v>1697</v>
      </c>
      <c r="E3560" t="s">
        <v>32</v>
      </c>
      <c r="F3560" t="s">
        <v>28</v>
      </c>
      <c r="G3560" t="s">
        <v>33</v>
      </c>
      <c r="H3560" t="s">
        <v>928</v>
      </c>
      <c r="I3560" s="2">
        <v>45.92</v>
      </c>
      <c r="J3560" s="3">
        <v>5</v>
      </c>
      <c r="K3560" s="2">
        <v>15.5</v>
      </c>
    </row>
    <row r="3561" spans="1:11" x14ac:dyDescent="0.35">
      <c r="A3561" s="1">
        <v>42986</v>
      </c>
      <c r="B3561" s="3">
        <f t="shared" si="110"/>
        <v>2017</v>
      </c>
      <c r="C3561" s="3">
        <f t="shared" si="111"/>
        <v>9</v>
      </c>
      <c r="D3561" t="s">
        <v>1697</v>
      </c>
      <c r="E3561" t="s">
        <v>32</v>
      </c>
      <c r="F3561" t="s">
        <v>18</v>
      </c>
      <c r="G3561" t="s">
        <v>36</v>
      </c>
      <c r="H3561" t="s">
        <v>37</v>
      </c>
      <c r="I3561" s="2">
        <v>21.18</v>
      </c>
      <c r="J3561" s="3">
        <v>2</v>
      </c>
      <c r="K3561" s="2">
        <v>-11.65</v>
      </c>
    </row>
    <row r="3562" spans="1:11" x14ac:dyDescent="0.35">
      <c r="A3562" s="1">
        <v>42986</v>
      </c>
      <c r="B3562" s="3">
        <f t="shared" si="110"/>
        <v>2017</v>
      </c>
      <c r="C3562" s="3">
        <f t="shared" si="111"/>
        <v>9</v>
      </c>
      <c r="D3562" t="s">
        <v>1697</v>
      </c>
      <c r="E3562" t="s">
        <v>32</v>
      </c>
      <c r="F3562" t="s">
        <v>28</v>
      </c>
      <c r="G3562" t="s">
        <v>29</v>
      </c>
      <c r="H3562" t="s">
        <v>60</v>
      </c>
      <c r="I3562" s="2">
        <v>20.74</v>
      </c>
      <c r="J3562" s="3">
        <v>4</v>
      </c>
      <c r="K3562" s="2">
        <v>7.26</v>
      </c>
    </row>
    <row r="3563" spans="1:11" x14ac:dyDescent="0.35">
      <c r="A3563" s="1">
        <v>42986</v>
      </c>
      <c r="B3563" s="3">
        <f t="shared" si="110"/>
        <v>2017</v>
      </c>
      <c r="C3563" s="3">
        <f t="shared" si="111"/>
        <v>9</v>
      </c>
      <c r="D3563" t="s">
        <v>1697</v>
      </c>
      <c r="E3563" t="s">
        <v>32</v>
      </c>
      <c r="F3563" t="s">
        <v>18</v>
      </c>
      <c r="G3563" t="s">
        <v>19</v>
      </c>
      <c r="H3563" t="s">
        <v>1145</v>
      </c>
      <c r="I3563" s="2">
        <v>213.43</v>
      </c>
      <c r="J3563" s="3">
        <v>5</v>
      </c>
      <c r="K3563" s="2">
        <v>-39.64</v>
      </c>
    </row>
    <row r="3564" spans="1:11" x14ac:dyDescent="0.35">
      <c r="A3564" s="1">
        <v>42986</v>
      </c>
      <c r="B3564" s="3">
        <f t="shared" si="110"/>
        <v>2017</v>
      </c>
      <c r="C3564" s="3">
        <f t="shared" si="111"/>
        <v>9</v>
      </c>
      <c r="D3564" t="s">
        <v>1548</v>
      </c>
      <c r="E3564" t="s">
        <v>77</v>
      </c>
      <c r="F3564" t="s">
        <v>28</v>
      </c>
      <c r="G3564" t="s">
        <v>38</v>
      </c>
      <c r="H3564" t="s">
        <v>812</v>
      </c>
      <c r="I3564" s="2">
        <v>61.68</v>
      </c>
      <c r="J3564" s="3">
        <v>5</v>
      </c>
      <c r="K3564" s="2">
        <v>5.4</v>
      </c>
    </row>
    <row r="3565" spans="1:11" x14ac:dyDescent="0.35">
      <c r="A3565" s="1">
        <v>42986</v>
      </c>
      <c r="B3565" s="3">
        <f t="shared" si="110"/>
        <v>2017</v>
      </c>
      <c r="C3565" s="3">
        <f t="shared" si="111"/>
        <v>9</v>
      </c>
      <c r="D3565" t="s">
        <v>1548</v>
      </c>
      <c r="E3565" t="s">
        <v>77</v>
      </c>
      <c r="F3565" t="s">
        <v>13</v>
      </c>
      <c r="G3565" t="s">
        <v>23</v>
      </c>
      <c r="H3565" t="s">
        <v>234</v>
      </c>
      <c r="I3565" s="2">
        <v>158.38</v>
      </c>
      <c r="J3565" s="3">
        <v>3</v>
      </c>
      <c r="K3565" s="2">
        <v>13.86</v>
      </c>
    </row>
    <row r="3566" spans="1:11" x14ac:dyDescent="0.35">
      <c r="A3566" s="1">
        <v>42986</v>
      </c>
      <c r="B3566" s="3">
        <f t="shared" si="110"/>
        <v>2017</v>
      </c>
      <c r="C3566" s="3">
        <f t="shared" si="111"/>
        <v>9</v>
      </c>
      <c r="D3566" t="s">
        <v>1375</v>
      </c>
      <c r="E3566" t="s">
        <v>22</v>
      </c>
      <c r="F3566" t="s">
        <v>28</v>
      </c>
      <c r="G3566" t="s">
        <v>38</v>
      </c>
      <c r="H3566" t="s">
        <v>439</v>
      </c>
      <c r="I3566" s="2">
        <v>65.12</v>
      </c>
      <c r="J3566" s="3">
        <v>4</v>
      </c>
      <c r="K3566" s="2">
        <v>16.93</v>
      </c>
    </row>
    <row r="3567" spans="1:11" x14ac:dyDescent="0.35">
      <c r="A3567" s="1">
        <v>43016</v>
      </c>
      <c r="B3567" s="3">
        <f t="shared" si="110"/>
        <v>2017</v>
      </c>
      <c r="C3567" s="3">
        <f t="shared" si="111"/>
        <v>10</v>
      </c>
      <c r="D3567" t="s">
        <v>594</v>
      </c>
      <c r="E3567" t="s">
        <v>45</v>
      </c>
      <c r="F3567" t="s">
        <v>13</v>
      </c>
      <c r="G3567" t="s">
        <v>23</v>
      </c>
      <c r="H3567" t="s">
        <v>1409</v>
      </c>
      <c r="I3567" s="2">
        <v>103.19</v>
      </c>
      <c r="J3567" s="3">
        <v>1</v>
      </c>
      <c r="K3567" s="2">
        <v>11.61</v>
      </c>
    </row>
    <row r="3568" spans="1:11" x14ac:dyDescent="0.35">
      <c r="A3568" s="1">
        <v>43016</v>
      </c>
      <c r="B3568" s="3">
        <f t="shared" si="110"/>
        <v>2017</v>
      </c>
      <c r="C3568" s="3">
        <f t="shared" si="111"/>
        <v>10</v>
      </c>
      <c r="D3568" t="s">
        <v>594</v>
      </c>
      <c r="E3568" t="s">
        <v>45</v>
      </c>
      <c r="F3568" t="s">
        <v>13</v>
      </c>
      <c r="G3568" t="s">
        <v>14</v>
      </c>
      <c r="H3568" t="s">
        <v>1386</v>
      </c>
      <c r="I3568" s="2">
        <v>36</v>
      </c>
      <c r="J3568" s="3">
        <v>2</v>
      </c>
      <c r="K3568" s="2">
        <v>6.48</v>
      </c>
    </row>
    <row r="3569" spans="1:11" x14ac:dyDescent="0.35">
      <c r="A3569" s="1">
        <v>43016</v>
      </c>
      <c r="B3569" s="3">
        <f t="shared" si="110"/>
        <v>2017</v>
      </c>
      <c r="C3569" s="3">
        <f t="shared" si="111"/>
        <v>10</v>
      </c>
      <c r="D3569" t="s">
        <v>594</v>
      </c>
      <c r="E3569" t="s">
        <v>45</v>
      </c>
      <c r="F3569" t="s">
        <v>13</v>
      </c>
      <c r="G3569" t="s">
        <v>14</v>
      </c>
      <c r="H3569" t="s">
        <v>1923</v>
      </c>
      <c r="I3569" s="2">
        <v>239.96</v>
      </c>
      <c r="J3569" s="3">
        <v>4</v>
      </c>
      <c r="K3569" s="2">
        <v>115.18</v>
      </c>
    </row>
    <row r="3570" spans="1:11" x14ac:dyDescent="0.35">
      <c r="A3570" s="1">
        <v>43016</v>
      </c>
      <c r="B3570" s="3">
        <f t="shared" si="110"/>
        <v>2017</v>
      </c>
      <c r="C3570" s="3">
        <f t="shared" si="111"/>
        <v>10</v>
      </c>
      <c r="D3570" t="s">
        <v>594</v>
      </c>
      <c r="E3570" t="s">
        <v>45</v>
      </c>
      <c r="F3570" t="s">
        <v>28</v>
      </c>
      <c r="G3570" t="s">
        <v>38</v>
      </c>
      <c r="H3570" t="s">
        <v>2288</v>
      </c>
      <c r="I3570" s="2">
        <v>40.68</v>
      </c>
      <c r="J3570" s="3">
        <v>2</v>
      </c>
      <c r="K3570" s="2">
        <v>0.41</v>
      </c>
    </row>
    <row r="3571" spans="1:11" x14ac:dyDescent="0.35">
      <c r="A3571" s="1">
        <v>43016</v>
      </c>
      <c r="B3571" s="3">
        <f t="shared" si="110"/>
        <v>2017</v>
      </c>
      <c r="C3571" s="3">
        <f t="shared" si="111"/>
        <v>10</v>
      </c>
      <c r="D3571" t="s">
        <v>1016</v>
      </c>
      <c r="E3571" t="s">
        <v>1125</v>
      </c>
      <c r="F3571" t="s">
        <v>28</v>
      </c>
      <c r="G3571" t="s">
        <v>38</v>
      </c>
      <c r="H3571" t="s">
        <v>1098</v>
      </c>
      <c r="I3571" s="2">
        <v>42.76</v>
      </c>
      <c r="J3571" s="3">
        <v>1</v>
      </c>
      <c r="K3571" s="2">
        <v>11.12</v>
      </c>
    </row>
    <row r="3572" spans="1:11" x14ac:dyDescent="0.35">
      <c r="A3572" s="1">
        <v>43016</v>
      </c>
      <c r="B3572" s="3">
        <f t="shared" si="110"/>
        <v>2017</v>
      </c>
      <c r="C3572" s="3">
        <f t="shared" si="111"/>
        <v>10</v>
      </c>
      <c r="D3572" t="s">
        <v>1774</v>
      </c>
      <c r="E3572" t="s">
        <v>22</v>
      </c>
      <c r="F3572" t="s">
        <v>18</v>
      </c>
      <c r="G3572" t="s">
        <v>19</v>
      </c>
      <c r="H3572" t="s">
        <v>1188</v>
      </c>
      <c r="I3572" s="2">
        <v>145.76</v>
      </c>
      <c r="J3572" s="3">
        <v>2</v>
      </c>
      <c r="K3572" s="2">
        <v>3.24</v>
      </c>
    </row>
    <row r="3573" spans="1:11" x14ac:dyDescent="0.35">
      <c r="A3573" s="1">
        <v>43047</v>
      </c>
      <c r="B3573" s="3">
        <f t="shared" si="110"/>
        <v>2017</v>
      </c>
      <c r="C3573" s="3">
        <f t="shared" si="111"/>
        <v>11</v>
      </c>
      <c r="D3573" t="s">
        <v>2172</v>
      </c>
      <c r="E3573" t="s">
        <v>22</v>
      </c>
      <c r="F3573" t="s">
        <v>28</v>
      </c>
      <c r="G3573" t="s">
        <v>64</v>
      </c>
      <c r="H3573" t="s">
        <v>2328</v>
      </c>
      <c r="I3573" s="2">
        <v>109.9</v>
      </c>
      <c r="J3573" s="3">
        <v>5</v>
      </c>
      <c r="K3573" s="2">
        <v>32.97</v>
      </c>
    </row>
    <row r="3574" spans="1:11" x14ac:dyDescent="0.35">
      <c r="A3574" s="1">
        <v>43047</v>
      </c>
      <c r="B3574" s="3">
        <f t="shared" si="110"/>
        <v>2017</v>
      </c>
      <c r="C3574" s="3">
        <f t="shared" si="111"/>
        <v>11</v>
      </c>
      <c r="D3574" t="s">
        <v>970</v>
      </c>
      <c r="E3574" t="s">
        <v>249</v>
      </c>
      <c r="F3574" t="s">
        <v>18</v>
      </c>
      <c r="G3574" t="s">
        <v>36</v>
      </c>
      <c r="H3574" t="s">
        <v>2329</v>
      </c>
      <c r="I3574" s="2">
        <v>274.2</v>
      </c>
      <c r="J3574" s="3">
        <v>10</v>
      </c>
      <c r="K3574" s="2">
        <v>112.42</v>
      </c>
    </row>
    <row r="3575" spans="1:11" x14ac:dyDescent="0.35">
      <c r="A3575" s="1">
        <v>43077</v>
      </c>
      <c r="B3575" s="3">
        <f t="shared" si="110"/>
        <v>2017</v>
      </c>
      <c r="C3575" s="3">
        <f t="shared" si="111"/>
        <v>12</v>
      </c>
      <c r="D3575" t="s">
        <v>491</v>
      </c>
      <c r="E3575" t="s">
        <v>45</v>
      </c>
      <c r="F3575" t="s">
        <v>13</v>
      </c>
      <c r="G3575" t="s">
        <v>14</v>
      </c>
      <c r="H3575" t="s">
        <v>1961</v>
      </c>
      <c r="I3575" s="2">
        <v>179.95</v>
      </c>
      <c r="J3575" s="3">
        <v>5</v>
      </c>
      <c r="K3575" s="2">
        <v>37.79</v>
      </c>
    </row>
    <row r="3576" spans="1:11" x14ac:dyDescent="0.35">
      <c r="A3576" s="1">
        <v>43077</v>
      </c>
      <c r="B3576" s="3">
        <f t="shared" si="110"/>
        <v>2017</v>
      </c>
      <c r="C3576" s="3">
        <f t="shared" si="111"/>
        <v>12</v>
      </c>
      <c r="D3576" t="s">
        <v>491</v>
      </c>
      <c r="E3576" t="s">
        <v>45</v>
      </c>
      <c r="F3576" t="s">
        <v>13</v>
      </c>
      <c r="G3576" t="s">
        <v>143</v>
      </c>
      <c r="H3576" t="s">
        <v>688</v>
      </c>
      <c r="I3576" s="2">
        <v>1199.98</v>
      </c>
      <c r="J3576" s="3">
        <v>3</v>
      </c>
      <c r="K3576" s="2">
        <v>434.99</v>
      </c>
    </row>
    <row r="3577" spans="1:11" x14ac:dyDescent="0.35">
      <c r="A3577" s="1">
        <v>43077</v>
      </c>
      <c r="B3577" s="3">
        <f t="shared" si="110"/>
        <v>2017</v>
      </c>
      <c r="C3577" s="3">
        <f t="shared" si="111"/>
        <v>12</v>
      </c>
      <c r="D3577" t="s">
        <v>491</v>
      </c>
      <c r="E3577" t="s">
        <v>45</v>
      </c>
      <c r="F3577" t="s">
        <v>28</v>
      </c>
      <c r="G3577" t="s">
        <v>29</v>
      </c>
      <c r="H3577" t="s">
        <v>954</v>
      </c>
      <c r="I3577" s="2">
        <v>27.15</v>
      </c>
      <c r="J3577" s="3">
        <v>5</v>
      </c>
      <c r="K3577" s="2">
        <v>13.3</v>
      </c>
    </row>
    <row r="3578" spans="1:11" x14ac:dyDescent="0.35">
      <c r="A3578" s="1">
        <v>43077</v>
      </c>
      <c r="B3578" s="3">
        <f t="shared" si="110"/>
        <v>2017</v>
      </c>
      <c r="C3578" s="3">
        <f t="shared" si="111"/>
        <v>12</v>
      </c>
      <c r="D3578" t="s">
        <v>491</v>
      </c>
      <c r="E3578" t="s">
        <v>45</v>
      </c>
      <c r="F3578" t="s">
        <v>18</v>
      </c>
      <c r="G3578" t="s">
        <v>42</v>
      </c>
      <c r="H3578" t="s">
        <v>414</v>
      </c>
      <c r="I3578" s="2">
        <v>1004.02</v>
      </c>
      <c r="J3578" s="3">
        <v>7</v>
      </c>
      <c r="K3578" s="2">
        <v>-112.95</v>
      </c>
    </row>
    <row r="3579" spans="1:11" x14ac:dyDescent="0.35">
      <c r="A3579" s="1">
        <v>43077</v>
      </c>
      <c r="B3579" s="3">
        <f t="shared" si="110"/>
        <v>2017</v>
      </c>
      <c r="C3579" s="3">
        <f t="shared" si="111"/>
        <v>12</v>
      </c>
      <c r="D3579" t="s">
        <v>491</v>
      </c>
      <c r="E3579" t="s">
        <v>45</v>
      </c>
      <c r="F3579" t="s">
        <v>28</v>
      </c>
      <c r="G3579" t="s">
        <v>29</v>
      </c>
      <c r="H3579" t="s">
        <v>2330</v>
      </c>
      <c r="I3579" s="2">
        <v>9.68</v>
      </c>
      <c r="J3579" s="3">
        <v>1</v>
      </c>
      <c r="K3579" s="2">
        <v>4.6500000000000004</v>
      </c>
    </row>
    <row r="3580" spans="1:11" x14ac:dyDescent="0.35">
      <c r="A3580" s="1">
        <v>43077</v>
      </c>
      <c r="B3580" s="3">
        <f t="shared" si="110"/>
        <v>2017</v>
      </c>
      <c r="C3580" s="3">
        <f t="shared" si="111"/>
        <v>12</v>
      </c>
      <c r="D3580" t="s">
        <v>491</v>
      </c>
      <c r="E3580" t="s">
        <v>45</v>
      </c>
      <c r="F3580" t="s">
        <v>28</v>
      </c>
      <c r="G3580" t="s">
        <v>46</v>
      </c>
      <c r="H3580" t="s">
        <v>2263</v>
      </c>
      <c r="I3580" s="2">
        <v>28.35</v>
      </c>
      <c r="J3580" s="3">
        <v>9</v>
      </c>
      <c r="K3580" s="2">
        <v>13.61</v>
      </c>
    </row>
    <row r="3581" spans="1:11" x14ac:dyDescent="0.35">
      <c r="A3581" s="1">
        <v>43077</v>
      </c>
      <c r="B3581" s="3">
        <f t="shared" si="110"/>
        <v>2017</v>
      </c>
      <c r="C3581" s="3">
        <f t="shared" si="111"/>
        <v>12</v>
      </c>
      <c r="D3581" t="s">
        <v>491</v>
      </c>
      <c r="E3581" t="s">
        <v>45</v>
      </c>
      <c r="F3581" t="s">
        <v>28</v>
      </c>
      <c r="G3581" t="s">
        <v>29</v>
      </c>
      <c r="H3581" t="s">
        <v>1237</v>
      </c>
      <c r="I3581" s="2">
        <v>55.98</v>
      </c>
      <c r="J3581" s="3">
        <v>1</v>
      </c>
      <c r="K3581" s="2">
        <v>27.43</v>
      </c>
    </row>
    <row r="3582" spans="1:11" x14ac:dyDescent="0.35">
      <c r="A3582" s="1">
        <v>43077</v>
      </c>
      <c r="B3582" s="3">
        <f t="shared" si="110"/>
        <v>2017</v>
      </c>
      <c r="C3582" s="3">
        <f t="shared" si="111"/>
        <v>12</v>
      </c>
      <c r="D3582" t="s">
        <v>491</v>
      </c>
      <c r="E3582" t="s">
        <v>45</v>
      </c>
      <c r="F3582" t="s">
        <v>18</v>
      </c>
      <c r="G3582" t="s">
        <v>237</v>
      </c>
      <c r="H3582" t="s">
        <v>269</v>
      </c>
      <c r="I3582" s="2">
        <v>1336.83</v>
      </c>
      <c r="J3582" s="3">
        <v>13</v>
      </c>
      <c r="K3582" s="2">
        <v>31.45</v>
      </c>
    </row>
    <row r="3583" spans="1:11" x14ac:dyDescent="0.35">
      <c r="A3583" s="1">
        <v>43077</v>
      </c>
      <c r="B3583" s="3">
        <f t="shared" si="110"/>
        <v>2017</v>
      </c>
      <c r="C3583" s="3">
        <f t="shared" si="111"/>
        <v>12</v>
      </c>
      <c r="D3583" t="s">
        <v>491</v>
      </c>
      <c r="E3583" t="s">
        <v>45</v>
      </c>
      <c r="F3583" t="s">
        <v>18</v>
      </c>
      <c r="G3583" t="s">
        <v>19</v>
      </c>
      <c r="H3583" t="s">
        <v>1176</v>
      </c>
      <c r="I3583" s="2">
        <v>113.57</v>
      </c>
      <c r="J3583" s="3">
        <v>2</v>
      </c>
      <c r="K3583" s="2">
        <v>-18.45</v>
      </c>
    </row>
    <row r="3584" spans="1:11" x14ac:dyDescent="0.35">
      <c r="A3584" s="1">
        <v>43077</v>
      </c>
      <c r="B3584" s="3">
        <f t="shared" si="110"/>
        <v>2017</v>
      </c>
      <c r="C3584" s="3">
        <f t="shared" si="111"/>
        <v>12</v>
      </c>
      <c r="D3584" t="s">
        <v>534</v>
      </c>
      <c r="E3584" t="s">
        <v>22</v>
      </c>
      <c r="F3584" t="s">
        <v>18</v>
      </c>
      <c r="G3584" t="s">
        <v>36</v>
      </c>
      <c r="H3584" t="s">
        <v>2331</v>
      </c>
      <c r="I3584" s="2">
        <v>109.48</v>
      </c>
      <c r="J3584" s="3">
        <v>2</v>
      </c>
      <c r="K3584" s="2">
        <v>33.94</v>
      </c>
    </row>
    <row r="3585" spans="1:11" x14ac:dyDescent="0.35">
      <c r="A3585" s="1">
        <v>43077</v>
      </c>
      <c r="B3585" s="3">
        <f t="shared" si="110"/>
        <v>2017</v>
      </c>
      <c r="C3585" s="3">
        <f t="shared" si="111"/>
        <v>12</v>
      </c>
      <c r="D3585" t="s">
        <v>534</v>
      </c>
      <c r="E3585" t="s">
        <v>22</v>
      </c>
      <c r="F3585" t="s">
        <v>28</v>
      </c>
      <c r="G3585" t="s">
        <v>38</v>
      </c>
      <c r="H3585" t="s">
        <v>2332</v>
      </c>
      <c r="I3585" s="2">
        <v>272.94</v>
      </c>
      <c r="J3585" s="3">
        <v>3</v>
      </c>
      <c r="K3585" s="2">
        <v>0</v>
      </c>
    </row>
    <row r="3586" spans="1:11" x14ac:dyDescent="0.35">
      <c r="A3586" s="1">
        <v>43077</v>
      </c>
      <c r="B3586" s="3">
        <f t="shared" ref="B3586:B3649" si="112">YEAR(A3586)</f>
        <v>2017</v>
      </c>
      <c r="C3586" s="3">
        <f t="shared" ref="C3586:C3649" si="113">MONTH(A3586)</f>
        <v>12</v>
      </c>
      <c r="D3586" t="s">
        <v>534</v>
      </c>
      <c r="E3586" t="s">
        <v>22</v>
      </c>
      <c r="F3586" t="s">
        <v>28</v>
      </c>
      <c r="G3586" t="s">
        <v>29</v>
      </c>
      <c r="H3586" t="s">
        <v>2030</v>
      </c>
      <c r="I3586" s="2">
        <v>19.440000000000001</v>
      </c>
      <c r="J3586" s="3">
        <v>3</v>
      </c>
      <c r="K3586" s="2">
        <v>9.33</v>
      </c>
    </row>
    <row r="3587" spans="1:11" x14ac:dyDescent="0.35">
      <c r="A3587" s="1">
        <v>43077</v>
      </c>
      <c r="B3587" s="3">
        <f t="shared" si="112"/>
        <v>2017</v>
      </c>
      <c r="C3587" s="3">
        <f t="shared" si="113"/>
        <v>12</v>
      </c>
      <c r="D3587" t="s">
        <v>534</v>
      </c>
      <c r="E3587" t="s">
        <v>22</v>
      </c>
      <c r="F3587" t="s">
        <v>28</v>
      </c>
      <c r="G3587" t="s">
        <v>38</v>
      </c>
      <c r="H3587" t="s">
        <v>940</v>
      </c>
      <c r="I3587" s="2">
        <v>31.92</v>
      </c>
      <c r="J3587" s="3">
        <v>4</v>
      </c>
      <c r="K3587" s="2">
        <v>8.3000000000000007</v>
      </c>
    </row>
    <row r="3588" spans="1:11" x14ac:dyDescent="0.35">
      <c r="A3588" s="1">
        <v>43077</v>
      </c>
      <c r="B3588" s="3">
        <f t="shared" si="112"/>
        <v>2017</v>
      </c>
      <c r="C3588" s="3">
        <f t="shared" si="113"/>
        <v>12</v>
      </c>
      <c r="D3588" t="s">
        <v>578</v>
      </c>
      <c r="E3588" t="s">
        <v>45</v>
      </c>
      <c r="F3588" t="s">
        <v>28</v>
      </c>
      <c r="G3588" t="s">
        <v>38</v>
      </c>
      <c r="H3588" t="s">
        <v>639</v>
      </c>
      <c r="I3588" s="2">
        <v>29.79</v>
      </c>
      <c r="J3588" s="3">
        <v>3</v>
      </c>
      <c r="K3588" s="2">
        <v>8.64</v>
      </c>
    </row>
    <row r="3589" spans="1:11" x14ac:dyDescent="0.35">
      <c r="A3589" s="1">
        <v>43077</v>
      </c>
      <c r="B3589" s="3">
        <f t="shared" si="112"/>
        <v>2017</v>
      </c>
      <c r="C3589" s="3">
        <f t="shared" si="113"/>
        <v>12</v>
      </c>
      <c r="D3589" t="s">
        <v>578</v>
      </c>
      <c r="E3589" t="s">
        <v>45</v>
      </c>
      <c r="F3589" t="s">
        <v>18</v>
      </c>
      <c r="G3589" t="s">
        <v>36</v>
      </c>
      <c r="H3589" t="s">
        <v>2333</v>
      </c>
      <c r="I3589" s="2">
        <v>128.9</v>
      </c>
      <c r="J3589" s="3">
        <v>2</v>
      </c>
      <c r="K3589" s="2">
        <v>15.47</v>
      </c>
    </row>
    <row r="3590" spans="1:11" x14ac:dyDescent="0.35">
      <c r="A3590" s="1">
        <v>43077</v>
      </c>
      <c r="B3590" s="3">
        <f t="shared" si="112"/>
        <v>2017</v>
      </c>
      <c r="C3590" s="3">
        <f t="shared" si="113"/>
        <v>12</v>
      </c>
      <c r="D3590" t="s">
        <v>578</v>
      </c>
      <c r="E3590" t="s">
        <v>45</v>
      </c>
      <c r="F3590" t="s">
        <v>28</v>
      </c>
      <c r="G3590" t="s">
        <v>29</v>
      </c>
      <c r="H3590" t="s">
        <v>2334</v>
      </c>
      <c r="I3590" s="2">
        <v>60.12</v>
      </c>
      <c r="J3590" s="3">
        <v>9</v>
      </c>
      <c r="K3590" s="2">
        <v>28.86</v>
      </c>
    </row>
    <row r="3591" spans="1:11" x14ac:dyDescent="0.35">
      <c r="A3591" s="1">
        <v>43077</v>
      </c>
      <c r="B3591" s="3">
        <f t="shared" si="112"/>
        <v>2017</v>
      </c>
      <c r="C3591" s="3">
        <f t="shared" si="113"/>
        <v>12</v>
      </c>
      <c r="D3591" t="s">
        <v>1221</v>
      </c>
      <c r="E3591" t="s">
        <v>45</v>
      </c>
      <c r="F3591" t="s">
        <v>28</v>
      </c>
      <c r="G3591" t="s">
        <v>58</v>
      </c>
      <c r="H3591" t="s">
        <v>2335</v>
      </c>
      <c r="I3591" s="2">
        <v>69.48</v>
      </c>
      <c r="J3591" s="3">
        <v>1</v>
      </c>
      <c r="K3591" s="2">
        <v>20.84</v>
      </c>
    </row>
    <row r="3592" spans="1:11" x14ac:dyDescent="0.35">
      <c r="A3592" s="1">
        <v>43077</v>
      </c>
      <c r="B3592" s="3">
        <f t="shared" si="112"/>
        <v>2017</v>
      </c>
      <c r="C3592" s="3">
        <f t="shared" si="113"/>
        <v>12</v>
      </c>
      <c r="D3592" t="s">
        <v>332</v>
      </c>
      <c r="E3592" t="s">
        <v>45</v>
      </c>
      <c r="F3592" t="s">
        <v>28</v>
      </c>
      <c r="G3592" t="s">
        <v>29</v>
      </c>
      <c r="H3592" t="s">
        <v>2336</v>
      </c>
      <c r="I3592" s="2">
        <v>87.92</v>
      </c>
      <c r="J3592" s="3">
        <v>4</v>
      </c>
      <c r="K3592" s="2">
        <v>40.44</v>
      </c>
    </row>
    <row r="3593" spans="1:11" x14ac:dyDescent="0.35">
      <c r="A3593" s="1">
        <v>43077</v>
      </c>
      <c r="B3593" s="3">
        <f t="shared" si="112"/>
        <v>2017</v>
      </c>
      <c r="C3593" s="3">
        <f t="shared" si="113"/>
        <v>12</v>
      </c>
      <c r="D3593" t="s">
        <v>332</v>
      </c>
      <c r="E3593" t="s">
        <v>45</v>
      </c>
      <c r="F3593" t="s">
        <v>28</v>
      </c>
      <c r="G3593" t="s">
        <v>48</v>
      </c>
      <c r="H3593" t="s">
        <v>992</v>
      </c>
      <c r="I3593" s="2">
        <v>22.42</v>
      </c>
      <c r="J3593" s="3">
        <v>1</v>
      </c>
      <c r="K3593" s="2">
        <v>8.41</v>
      </c>
    </row>
    <row r="3594" spans="1:11" x14ac:dyDescent="0.35">
      <c r="A3594" s="1">
        <v>43077</v>
      </c>
      <c r="B3594" s="3">
        <f t="shared" si="112"/>
        <v>2017</v>
      </c>
      <c r="C3594" s="3">
        <f t="shared" si="113"/>
        <v>12</v>
      </c>
      <c r="D3594" t="s">
        <v>332</v>
      </c>
      <c r="E3594" t="s">
        <v>45</v>
      </c>
      <c r="F3594" t="s">
        <v>28</v>
      </c>
      <c r="G3594" t="s">
        <v>48</v>
      </c>
      <c r="H3594" t="s">
        <v>464</v>
      </c>
      <c r="I3594" s="2">
        <v>90.48</v>
      </c>
      <c r="J3594" s="3">
        <v>3</v>
      </c>
      <c r="K3594" s="2">
        <v>33.93</v>
      </c>
    </row>
    <row r="3595" spans="1:11" x14ac:dyDescent="0.35">
      <c r="A3595" s="1">
        <v>43077</v>
      </c>
      <c r="B3595" s="3">
        <f t="shared" si="112"/>
        <v>2017</v>
      </c>
      <c r="C3595" s="3">
        <f t="shared" si="113"/>
        <v>12</v>
      </c>
      <c r="D3595" t="s">
        <v>332</v>
      </c>
      <c r="E3595" t="s">
        <v>45</v>
      </c>
      <c r="F3595" t="s">
        <v>28</v>
      </c>
      <c r="G3595" t="s">
        <v>38</v>
      </c>
      <c r="H3595" t="s">
        <v>1098</v>
      </c>
      <c r="I3595" s="2">
        <v>42.76</v>
      </c>
      <c r="J3595" s="3">
        <v>1</v>
      </c>
      <c r="K3595" s="2">
        <v>11.12</v>
      </c>
    </row>
    <row r="3596" spans="1:11" x14ac:dyDescent="0.35">
      <c r="A3596" s="1">
        <v>43077</v>
      </c>
      <c r="B3596" s="3">
        <f t="shared" si="112"/>
        <v>2017</v>
      </c>
      <c r="C3596" s="3">
        <f t="shared" si="113"/>
        <v>12</v>
      </c>
      <c r="D3596" t="s">
        <v>809</v>
      </c>
      <c r="E3596" t="s">
        <v>12</v>
      </c>
      <c r="F3596" t="s">
        <v>13</v>
      </c>
      <c r="G3596" t="s">
        <v>14</v>
      </c>
      <c r="H3596" t="s">
        <v>312</v>
      </c>
      <c r="I3596" s="2">
        <v>178.11</v>
      </c>
      <c r="J3596" s="3">
        <v>3</v>
      </c>
      <c r="K3596" s="2">
        <v>32.06</v>
      </c>
    </row>
    <row r="3597" spans="1:11" x14ac:dyDescent="0.35">
      <c r="A3597" s="1">
        <v>43077</v>
      </c>
      <c r="B3597" s="3">
        <f t="shared" si="112"/>
        <v>2017</v>
      </c>
      <c r="C3597" s="3">
        <f t="shared" si="113"/>
        <v>12</v>
      </c>
      <c r="D3597" t="s">
        <v>809</v>
      </c>
      <c r="E3597" t="s">
        <v>12</v>
      </c>
      <c r="F3597" t="s">
        <v>28</v>
      </c>
      <c r="G3597" t="s">
        <v>58</v>
      </c>
      <c r="H3597" t="s">
        <v>386</v>
      </c>
      <c r="I3597" s="2">
        <v>1089.75</v>
      </c>
      <c r="J3597" s="3">
        <v>3</v>
      </c>
      <c r="K3597" s="2">
        <v>305.13</v>
      </c>
    </row>
    <row r="3598" spans="1:11" x14ac:dyDescent="0.35">
      <c r="A3598" s="1">
        <v>43077</v>
      </c>
      <c r="B3598" s="3">
        <f t="shared" si="112"/>
        <v>2017</v>
      </c>
      <c r="C3598" s="3">
        <f t="shared" si="113"/>
        <v>12</v>
      </c>
      <c r="D3598" t="s">
        <v>809</v>
      </c>
      <c r="E3598" t="s">
        <v>12</v>
      </c>
      <c r="F3598" t="s">
        <v>28</v>
      </c>
      <c r="G3598" t="s">
        <v>46</v>
      </c>
      <c r="H3598" t="s">
        <v>2270</v>
      </c>
      <c r="I3598" s="2">
        <v>61.06</v>
      </c>
      <c r="J3598" s="3">
        <v>2</v>
      </c>
      <c r="K3598" s="2">
        <v>28.09</v>
      </c>
    </row>
    <row r="3599" spans="1:11" x14ac:dyDescent="0.35">
      <c r="A3599" s="1">
        <v>43077</v>
      </c>
      <c r="B3599" s="3">
        <f t="shared" si="112"/>
        <v>2017</v>
      </c>
      <c r="C3599" s="3">
        <f t="shared" si="113"/>
        <v>12</v>
      </c>
      <c r="D3599" t="s">
        <v>809</v>
      </c>
      <c r="E3599" t="s">
        <v>12</v>
      </c>
      <c r="F3599" t="s">
        <v>18</v>
      </c>
      <c r="G3599" t="s">
        <v>237</v>
      </c>
      <c r="H3599" t="s">
        <v>1286</v>
      </c>
      <c r="I3599" s="2">
        <v>459.92</v>
      </c>
      <c r="J3599" s="3">
        <v>4</v>
      </c>
      <c r="K3599" s="2">
        <v>41.39</v>
      </c>
    </row>
    <row r="3600" spans="1:11" x14ac:dyDescent="0.35">
      <c r="A3600" s="1">
        <v>43077</v>
      </c>
      <c r="B3600" s="3">
        <f t="shared" si="112"/>
        <v>2017</v>
      </c>
      <c r="C3600" s="3">
        <f t="shared" si="113"/>
        <v>12</v>
      </c>
      <c r="D3600" t="s">
        <v>809</v>
      </c>
      <c r="E3600" t="s">
        <v>12</v>
      </c>
      <c r="F3600" t="s">
        <v>28</v>
      </c>
      <c r="G3600" t="s">
        <v>29</v>
      </c>
      <c r="H3600" t="s">
        <v>1546</v>
      </c>
      <c r="I3600" s="2">
        <v>27.52</v>
      </c>
      <c r="J3600" s="3">
        <v>4</v>
      </c>
      <c r="K3600" s="2">
        <v>12.66</v>
      </c>
    </row>
    <row r="3601" spans="1:11" x14ac:dyDescent="0.35">
      <c r="A3601" s="1">
        <v>43077</v>
      </c>
      <c r="B3601" s="3">
        <f t="shared" si="112"/>
        <v>2017</v>
      </c>
      <c r="C3601" s="3">
        <f t="shared" si="113"/>
        <v>12</v>
      </c>
      <c r="D3601" t="s">
        <v>760</v>
      </c>
      <c r="E3601" t="s">
        <v>1125</v>
      </c>
      <c r="F3601" t="s">
        <v>28</v>
      </c>
      <c r="G3601" t="s">
        <v>38</v>
      </c>
      <c r="H3601" t="s">
        <v>821</v>
      </c>
      <c r="I3601" s="2">
        <v>592.74</v>
      </c>
      <c r="J3601" s="3">
        <v>6</v>
      </c>
      <c r="K3601" s="2">
        <v>160.04</v>
      </c>
    </row>
    <row r="3602" spans="1:11" x14ac:dyDescent="0.35">
      <c r="A3602" s="1">
        <v>43077</v>
      </c>
      <c r="B3602" s="3">
        <f t="shared" si="112"/>
        <v>2017</v>
      </c>
      <c r="C3602" s="3">
        <f t="shared" si="113"/>
        <v>12</v>
      </c>
      <c r="D3602" t="s">
        <v>1152</v>
      </c>
      <c r="E3602" t="s">
        <v>89</v>
      </c>
      <c r="F3602" t="s">
        <v>18</v>
      </c>
      <c r="G3602" t="s">
        <v>19</v>
      </c>
      <c r="H3602" t="s">
        <v>1041</v>
      </c>
      <c r="I3602" s="2">
        <v>215.54</v>
      </c>
      <c r="J3602" s="3">
        <v>4</v>
      </c>
      <c r="K3602" s="2">
        <v>-58.5</v>
      </c>
    </row>
    <row r="3603" spans="1:11" x14ac:dyDescent="0.35">
      <c r="A3603" s="1">
        <v>43077</v>
      </c>
      <c r="B3603" s="3">
        <f t="shared" si="112"/>
        <v>2017</v>
      </c>
      <c r="C3603" s="3">
        <f t="shared" si="113"/>
        <v>12</v>
      </c>
      <c r="D3603" t="s">
        <v>1475</v>
      </c>
      <c r="E3603" t="s">
        <v>89</v>
      </c>
      <c r="F3603" t="s">
        <v>28</v>
      </c>
      <c r="G3603" t="s">
        <v>64</v>
      </c>
      <c r="H3603" t="s">
        <v>701</v>
      </c>
      <c r="I3603" s="2">
        <v>13.25</v>
      </c>
      <c r="J3603" s="3">
        <v>4</v>
      </c>
      <c r="K3603" s="2">
        <v>3.64</v>
      </c>
    </row>
    <row r="3604" spans="1:11" x14ac:dyDescent="0.35">
      <c r="A3604" s="1">
        <v>43077</v>
      </c>
      <c r="B3604" s="3">
        <f t="shared" si="112"/>
        <v>2017</v>
      </c>
      <c r="C3604" s="3">
        <f t="shared" si="113"/>
        <v>12</v>
      </c>
      <c r="D3604" t="s">
        <v>1475</v>
      </c>
      <c r="E3604" t="s">
        <v>89</v>
      </c>
      <c r="F3604" t="s">
        <v>13</v>
      </c>
      <c r="G3604" t="s">
        <v>23</v>
      </c>
      <c r="H3604" t="s">
        <v>2337</v>
      </c>
      <c r="I3604" s="2">
        <v>83.99</v>
      </c>
      <c r="J3604" s="3">
        <v>2</v>
      </c>
      <c r="K3604" s="2">
        <v>-21</v>
      </c>
    </row>
    <row r="3605" spans="1:11" x14ac:dyDescent="0.35">
      <c r="A3605" s="1">
        <v>42744</v>
      </c>
      <c r="B3605" s="3">
        <f t="shared" si="112"/>
        <v>2017</v>
      </c>
      <c r="C3605" s="3">
        <f t="shared" si="113"/>
        <v>1</v>
      </c>
      <c r="D3605" t="s">
        <v>302</v>
      </c>
      <c r="E3605" t="s">
        <v>89</v>
      </c>
      <c r="F3605" t="s">
        <v>28</v>
      </c>
      <c r="G3605" t="s">
        <v>48</v>
      </c>
      <c r="H3605" t="s">
        <v>525</v>
      </c>
      <c r="I3605" s="2">
        <v>274.49</v>
      </c>
      <c r="J3605" s="3">
        <v>3</v>
      </c>
      <c r="K3605" s="2">
        <v>-228.74</v>
      </c>
    </row>
    <row r="3606" spans="1:11" x14ac:dyDescent="0.35">
      <c r="A3606" s="1">
        <v>42775</v>
      </c>
      <c r="B3606" s="3">
        <f t="shared" si="112"/>
        <v>2017</v>
      </c>
      <c r="C3606" s="3">
        <f t="shared" si="113"/>
        <v>2</v>
      </c>
      <c r="D3606" t="s">
        <v>2338</v>
      </c>
      <c r="E3606" t="s">
        <v>32</v>
      </c>
      <c r="F3606" t="s">
        <v>28</v>
      </c>
      <c r="G3606" t="s">
        <v>48</v>
      </c>
      <c r="H3606" t="s">
        <v>2182</v>
      </c>
      <c r="I3606" s="2">
        <v>252.78</v>
      </c>
      <c r="J3606" s="3">
        <v>4</v>
      </c>
      <c r="K3606" s="2">
        <v>-417.09</v>
      </c>
    </row>
    <row r="3607" spans="1:11" x14ac:dyDescent="0.35">
      <c r="A3607" s="1">
        <v>42775</v>
      </c>
      <c r="B3607" s="3">
        <f t="shared" si="112"/>
        <v>2017</v>
      </c>
      <c r="C3607" s="3">
        <f t="shared" si="113"/>
        <v>2</v>
      </c>
      <c r="D3607" t="s">
        <v>2338</v>
      </c>
      <c r="E3607" t="s">
        <v>32</v>
      </c>
      <c r="F3607" t="s">
        <v>13</v>
      </c>
      <c r="G3607" t="s">
        <v>14</v>
      </c>
      <c r="H3607" t="s">
        <v>1359</v>
      </c>
      <c r="I3607" s="2">
        <v>127.98</v>
      </c>
      <c r="J3607" s="3">
        <v>2</v>
      </c>
      <c r="K3607" s="2">
        <v>16</v>
      </c>
    </row>
    <row r="3608" spans="1:11" x14ac:dyDescent="0.35">
      <c r="A3608" s="1">
        <v>42775</v>
      </c>
      <c r="B3608" s="3">
        <f t="shared" si="112"/>
        <v>2017</v>
      </c>
      <c r="C3608" s="3">
        <f t="shared" si="113"/>
        <v>2</v>
      </c>
      <c r="D3608" t="s">
        <v>2338</v>
      </c>
      <c r="E3608" t="s">
        <v>32</v>
      </c>
      <c r="F3608" t="s">
        <v>18</v>
      </c>
      <c r="G3608" t="s">
        <v>36</v>
      </c>
      <c r="H3608" t="s">
        <v>2339</v>
      </c>
      <c r="I3608" s="2">
        <v>3.98</v>
      </c>
      <c r="J3608" s="3">
        <v>2</v>
      </c>
      <c r="K3608" s="2">
        <v>-2.69</v>
      </c>
    </row>
    <row r="3609" spans="1:11" x14ac:dyDescent="0.35">
      <c r="A3609" s="1">
        <v>42775</v>
      </c>
      <c r="B3609" s="3">
        <f t="shared" si="112"/>
        <v>2017</v>
      </c>
      <c r="C3609" s="3">
        <f t="shared" si="113"/>
        <v>2</v>
      </c>
      <c r="D3609" t="s">
        <v>2338</v>
      </c>
      <c r="E3609" t="s">
        <v>32</v>
      </c>
      <c r="F3609" t="s">
        <v>28</v>
      </c>
      <c r="G3609" t="s">
        <v>58</v>
      </c>
      <c r="H3609" t="s">
        <v>2034</v>
      </c>
      <c r="I3609" s="2">
        <v>12.99</v>
      </c>
      <c r="J3609" s="3">
        <v>2</v>
      </c>
      <c r="K3609" s="2">
        <v>-32.479999999999997</v>
      </c>
    </row>
    <row r="3610" spans="1:11" x14ac:dyDescent="0.35">
      <c r="A3610" s="1">
        <v>42775</v>
      </c>
      <c r="B3610" s="3">
        <f t="shared" si="112"/>
        <v>2017</v>
      </c>
      <c r="C3610" s="3">
        <f t="shared" si="113"/>
        <v>2</v>
      </c>
      <c r="D3610" t="s">
        <v>391</v>
      </c>
      <c r="E3610" t="s">
        <v>45</v>
      </c>
      <c r="F3610" t="s">
        <v>18</v>
      </c>
      <c r="G3610" t="s">
        <v>36</v>
      </c>
      <c r="H3610" t="s">
        <v>127</v>
      </c>
      <c r="I3610" s="2">
        <v>21.12</v>
      </c>
      <c r="J3610" s="3">
        <v>4</v>
      </c>
      <c r="K3610" s="2">
        <v>6.55</v>
      </c>
    </row>
    <row r="3611" spans="1:11" x14ac:dyDescent="0.35">
      <c r="A3611" s="1">
        <v>42775</v>
      </c>
      <c r="B3611" s="3">
        <f t="shared" si="112"/>
        <v>2017</v>
      </c>
      <c r="C3611" s="3">
        <f t="shared" si="113"/>
        <v>2</v>
      </c>
      <c r="D3611" t="s">
        <v>556</v>
      </c>
      <c r="E3611" t="s">
        <v>45</v>
      </c>
      <c r="F3611" t="s">
        <v>28</v>
      </c>
      <c r="G3611" t="s">
        <v>38</v>
      </c>
      <c r="H3611" t="s">
        <v>352</v>
      </c>
      <c r="I3611" s="2">
        <v>354.9</v>
      </c>
      <c r="J3611" s="3">
        <v>5</v>
      </c>
      <c r="K3611" s="2">
        <v>17.75</v>
      </c>
    </row>
    <row r="3612" spans="1:11" x14ac:dyDescent="0.35">
      <c r="A3612" s="1">
        <v>42803</v>
      </c>
      <c r="B3612" s="3">
        <f t="shared" si="112"/>
        <v>2017</v>
      </c>
      <c r="C3612" s="3">
        <f t="shared" si="113"/>
        <v>3</v>
      </c>
      <c r="D3612" t="s">
        <v>1838</v>
      </c>
      <c r="E3612" t="s">
        <v>45</v>
      </c>
      <c r="F3612" t="s">
        <v>13</v>
      </c>
      <c r="G3612" t="s">
        <v>14</v>
      </c>
      <c r="H3612" t="s">
        <v>673</v>
      </c>
      <c r="I3612" s="2">
        <v>199.98</v>
      </c>
      <c r="J3612" s="3">
        <v>2</v>
      </c>
      <c r="K3612" s="2">
        <v>69.989999999999995</v>
      </c>
    </row>
    <row r="3613" spans="1:11" x14ac:dyDescent="0.35">
      <c r="A3613" s="1">
        <v>42803</v>
      </c>
      <c r="B3613" s="3">
        <f t="shared" si="112"/>
        <v>2017</v>
      </c>
      <c r="C3613" s="3">
        <f t="shared" si="113"/>
        <v>3</v>
      </c>
      <c r="D3613" t="s">
        <v>1117</v>
      </c>
      <c r="E3613" t="s">
        <v>45</v>
      </c>
      <c r="F3613" t="s">
        <v>13</v>
      </c>
      <c r="G3613" t="s">
        <v>143</v>
      </c>
      <c r="H3613" t="s">
        <v>1619</v>
      </c>
      <c r="I3613" s="2">
        <v>479.98</v>
      </c>
      <c r="J3613" s="3">
        <v>2</v>
      </c>
      <c r="K3613" s="2">
        <v>60</v>
      </c>
    </row>
    <row r="3614" spans="1:11" x14ac:dyDescent="0.35">
      <c r="A3614" s="1">
        <v>42803</v>
      </c>
      <c r="B3614" s="3">
        <f t="shared" si="112"/>
        <v>2017</v>
      </c>
      <c r="C3614" s="3">
        <f t="shared" si="113"/>
        <v>3</v>
      </c>
      <c r="D3614" t="s">
        <v>1117</v>
      </c>
      <c r="E3614" t="s">
        <v>45</v>
      </c>
      <c r="F3614" t="s">
        <v>28</v>
      </c>
      <c r="G3614" t="s">
        <v>48</v>
      </c>
      <c r="H3614" t="s">
        <v>757</v>
      </c>
      <c r="I3614" s="2">
        <v>30.84</v>
      </c>
      <c r="J3614" s="3">
        <v>5</v>
      </c>
      <c r="K3614" s="2">
        <v>9.64</v>
      </c>
    </row>
    <row r="3615" spans="1:11" x14ac:dyDescent="0.35">
      <c r="A3615" s="1">
        <v>42834</v>
      </c>
      <c r="B3615" s="3">
        <f t="shared" si="112"/>
        <v>2017</v>
      </c>
      <c r="C3615" s="3">
        <f t="shared" si="113"/>
        <v>4</v>
      </c>
      <c r="D3615" t="s">
        <v>2340</v>
      </c>
      <c r="E3615" t="s">
        <v>22</v>
      </c>
      <c r="F3615" t="s">
        <v>28</v>
      </c>
      <c r="G3615" t="s">
        <v>46</v>
      </c>
      <c r="H3615" t="s">
        <v>2341</v>
      </c>
      <c r="I3615" s="2">
        <v>9.82</v>
      </c>
      <c r="J3615" s="3">
        <v>2</v>
      </c>
      <c r="K3615" s="2">
        <v>4.8099999999999996</v>
      </c>
    </row>
    <row r="3616" spans="1:11" x14ac:dyDescent="0.35">
      <c r="A3616" s="1">
        <v>42834</v>
      </c>
      <c r="B3616" s="3">
        <f t="shared" si="112"/>
        <v>2017</v>
      </c>
      <c r="C3616" s="3">
        <f t="shared" si="113"/>
        <v>4</v>
      </c>
      <c r="D3616" t="s">
        <v>2340</v>
      </c>
      <c r="E3616" t="s">
        <v>22</v>
      </c>
      <c r="F3616" t="s">
        <v>28</v>
      </c>
      <c r="G3616" t="s">
        <v>64</v>
      </c>
      <c r="H3616" t="s">
        <v>997</v>
      </c>
      <c r="I3616" s="2">
        <v>35.97</v>
      </c>
      <c r="J3616" s="3">
        <v>3</v>
      </c>
      <c r="K3616" s="2">
        <v>9.7100000000000009</v>
      </c>
    </row>
    <row r="3617" spans="1:11" x14ac:dyDescent="0.35">
      <c r="A3617" s="1">
        <v>42834</v>
      </c>
      <c r="B3617" s="3">
        <f t="shared" si="112"/>
        <v>2017</v>
      </c>
      <c r="C3617" s="3">
        <f t="shared" si="113"/>
        <v>4</v>
      </c>
      <c r="D3617" t="s">
        <v>2340</v>
      </c>
      <c r="E3617" t="s">
        <v>22</v>
      </c>
      <c r="F3617" t="s">
        <v>28</v>
      </c>
      <c r="G3617" t="s">
        <v>29</v>
      </c>
      <c r="H3617" t="s">
        <v>1908</v>
      </c>
      <c r="I3617" s="2">
        <v>12.96</v>
      </c>
      <c r="J3617" s="3">
        <v>2</v>
      </c>
      <c r="K3617" s="2">
        <v>6.22</v>
      </c>
    </row>
    <row r="3618" spans="1:11" x14ac:dyDescent="0.35">
      <c r="A3618" s="1">
        <v>42834</v>
      </c>
      <c r="B3618" s="3">
        <f t="shared" si="112"/>
        <v>2017</v>
      </c>
      <c r="C3618" s="3">
        <f t="shared" si="113"/>
        <v>4</v>
      </c>
      <c r="D3618" t="s">
        <v>2340</v>
      </c>
      <c r="E3618" t="s">
        <v>22</v>
      </c>
      <c r="F3618" t="s">
        <v>28</v>
      </c>
      <c r="G3618" t="s">
        <v>29</v>
      </c>
      <c r="H3618" t="s">
        <v>2342</v>
      </c>
      <c r="I3618" s="2">
        <v>191.6</v>
      </c>
      <c r="J3618" s="3">
        <v>4</v>
      </c>
      <c r="K3618" s="2">
        <v>91.97</v>
      </c>
    </row>
    <row r="3619" spans="1:11" x14ac:dyDescent="0.35">
      <c r="A3619" s="1">
        <v>42834</v>
      </c>
      <c r="B3619" s="3">
        <f t="shared" si="112"/>
        <v>2017</v>
      </c>
      <c r="C3619" s="3">
        <f t="shared" si="113"/>
        <v>4</v>
      </c>
      <c r="D3619" t="s">
        <v>2340</v>
      </c>
      <c r="E3619" t="s">
        <v>22</v>
      </c>
      <c r="F3619" t="s">
        <v>28</v>
      </c>
      <c r="G3619" t="s">
        <v>46</v>
      </c>
      <c r="H3619" t="s">
        <v>1492</v>
      </c>
      <c r="I3619" s="2">
        <v>8.64</v>
      </c>
      <c r="J3619" s="3">
        <v>3</v>
      </c>
      <c r="K3619" s="2">
        <v>4.2300000000000004</v>
      </c>
    </row>
    <row r="3620" spans="1:11" x14ac:dyDescent="0.35">
      <c r="A3620" s="1">
        <v>42834</v>
      </c>
      <c r="B3620" s="3">
        <f t="shared" si="112"/>
        <v>2017</v>
      </c>
      <c r="C3620" s="3">
        <f t="shared" si="113"/>
        <v>4</v>
      </c>
      <c r="D3620" t="s">
        <v>2340</v>
      </c>
      <c r="E3620" t="s">
        <v>22</v>
      </c>
      <c r="F3620" t="s">
        <v>28</v>
      </c>
      <c r="G3620" t="s">
        <v>38</v>
      </c>
      <c r="H3620" t="s">
        <v>2343</v>
      </c>
      <c r="I3620" s="2">
        <v>501.81</v>
      </c>
      <c r="J3620" s="3">
        <v>3</v>
      </c>
      <c r="K3620" s="2">
        <v>0</v>
      </c>
    </row>
    <row r="3621" spans="1:11" x14ac:dyDescent="0.35">
      <c r="A3621" s="1">
        <v>42834</v>
      </c>
      <c r="B3621" s="3">
        <f t="shared" si="112"/>
        <v>2017</v>
      </c>
      <c r="C3621" s="3">
        <f t="shared" si="113"/>
        <v>4</v>
      </c>
      <c r="D3621" t="s">
        <v>2187</v>
      </c>
      <c r="E3621" t="s">
        <v>77</v>
      </c>
      <c r="F3621" t="s">
        <v>28</v>
      </c>
      <c r="G3621" t="s">
        <v>46</v>
      </c>
      <c r="H3621" t="s">
        <v>2344</v>
      </c>
      <c r="I3621" s="2">
        <v>15.12</v>
      </c>
      <c r="J3621" s="3">
        <v>3</v>
      </c>
      <c r="K3621" s="2">
        <v>4.91</v>
      </c>
    </row>
    <row r="3622" spans="1:11" x14ac:dyDescent="0.35">
      <c r="A3622" s="1">
        <v>42834</v>
      </c>
      <c r="B3622" s="3">
        <f t="shared" si="112"/>
        <v>2017</v>
      </c>
      <c r="C3622" s="3">
        <f t="shared" si="113"/>
        <v>4</v>
      </c>
      <c r="D3622" t="s">
        <v>2187</v>
      </c>
      <c r="E3622" t="s">
        <v>77</v>
      </c>
      <c r="F3622" t="s">
        <v>28</v>
      </c>
      <c r="G3622" t="s">
        <v>48</v>
      </c>
      <c r="H3622" t="s">
        <v>914</v>
      </c>
      <c r="I3622" s="2">
        <v>17.43</v>
      </c>
      <c r="J3622" s="3">
        <v>1</v>
      </c>
      <c r="K3622" s="2">
        <v>-13.36</v>
      </c>
    </row>
    <row r="3623" spans="1:11" x14ac:dyDescent="0.35">
      <c r="A3623" s="1">
        <v>42834</v>
      </c>
      <c r="B3623" s="3">
        <f t="shared" si="112"/>
        <v>2017</v>
      </c>
      <c r="C3623" s="3">
        <f t="shared" si="113"/>
        <v>4</v>
      </c>
      <c r="D3623" t="s">
        <v>2187</v>
      </c>
      <c r="E3623" t="s">
        <v>77</v>
      </c>
      <c r="F3623" t="s">
        <v>28</v>
      </c>
      <c r="G3623" t="s">
        <v>29</v>
      </c>
      <c r="H3623" t="s">
        <v>1822</v>
      </c>
      <c r="I3623" s="2">
        <v>251.64</v>
      </c>
      <c r="J3623" s="3">
        <v>3</v>
      </c>
      <c r="K3623" s="2">
        <v>88.07</v>
      </c>
    </row>
    <row r="3624" spans="1:11" x14ac:dyDescent="0.35">
      <c r="A3624" s="1">
        <v>42834</v>
      </c>
      <c r="B3624" s="3">
        <f t="shared" si="112"/>
        <v>2017</v>
      </c>
      <c r="C3624" s="3">
        <f t="shared" si="113"/>
        <v>4</v>
      </c>
      <c r="D3624" t="s">
        <v>929</v>
      </c>
      <c r="E3624" t="s">
        <v>71</v>
      </c>
      <c r="F3624" t="s">
        <v>28</v>
      </c>
      <c r="G3624" t="s">
        <v>48</v>
      </c>
      <c r="H3624" t="s">
        <v>398</v>
      </c>
      <c r="I3624" s="2">
        <v>478.24</v>
      </c>
      <c r="J3624" s="3">
        <v>8</v>
      </c>
      <c r="K3624" s="2">
        <v>219.99</v>
      </c>
    </row>
    <row r="3625" spans="1:11" x14ac:dyDescent="0.35">
      <c r="A3625" s="1">
        <v>42834</v>
      </c>
      <c r="B3625" s="3">
        <f t="shared" si="112"/>
        <v>2017</v>
      </c>
      <c r="C3625" s="3">
        <f t="shared" si="113"/>
        <v>4</v>
      </c>
      <c r="D3625" t="s">
        <v>1112</v>
      </c>
      <c r="E3625" t="s">
        <v>89</v>
      </c>
      <c r="F3625" t="s">
        <v>28</v>
      </c>
      <c r="G3625" t="s">
        <v>48</v>
      </c>
      <c r="H3625" t="s">
        <v>1574</v>
      </c>
      <c r="I3625" s="2">
        <v>37.9</v>
      </c>
      <c r="J3625" s="3">
        <v>4</v>
      </c>
      <c r="K3625" s="2">
        <v>-29.05</v>
      </c>
    </row>
    <row r="3626" spans="1:11" x14ac:dyDescent="0.35">
      <c r="A3626" s="1">
        <v>42834</v>
      </c>
      <c r="B3626" s="3">
        <f t="shared" si="112"/>
        <v>2017</v>
      </c>
      <c r="C3626" s="3">
        <f t="shared" si="113"/>
        <v>4</v>
      </c>
      <c r="D3626" t="s">
        <v>1112</v>
      </c>
      <c r="E3626" t="s">
        <v>89</v>
      </c>
      <c r="F3626" t="s">
        <v>28</v>
      </c>
      <c r="G3626" t="s">
        <v>29</v>
      </c>
      <c r="H3626" t="s">
        <v>512</v>
      </c>
      <c r="I3626" s="2">
        <v>65.58</v>
      </c>
      <c r="J3626" s="3">
        <v>2</v>
      </c>
      <c r="K3626" s="2">
        <v>23.77</v>
      </c>
    </row>
    <row r="3627" spans="1:11" x14ac:dyDescent="0.35">
      <c r="A3627" s="1">
        <v>42864</v>
      </c>
      <c r="B3627" s="3">
        <f t="shared" si="112"/>
        <v>2017</v>
      </c>
      <c r="C3627" s="3">
        <f t="shared" si="113"/>
        <v>5</v>
      </c>
      <c r="D3627" t="s">
        <v>148</v>
      </c>
      <c r="E3627" t="s">
        <v>81</v>
      </c>
      <c r="F3627" t="s">
        <v>28</v>
      </c>
      <c r="G3627" t="s">
        <v>158</v>
      </c>
      <c r="H3627" t="s">
        <v>1622</v>
      </c>
      <c r="I3627" s="2">
        <v>65.23</v>
      </c>
      <c r="J3627" s="3">
        <v>3</v>
      </c>
      <c r="K3627" s="2">
        <v>22.02</v>
      </c>
    </row>
    <row r="3628" spans="1:11" x14ac:dyDescent="0.35">
      <c r="A3628" s="1">
        <v>42864</v>
      </c>
      <c r="B3628" s="3">
        <f t="shared" si="112"/>
        <v>2017</v>
      </c>
      <c r="C3628" s="3">
        <f t="shared" si="113"/>
        <v>5</v>
      </c>
      <c r="D3628" t="s">
        <v>148</v>
      </c>
      <c r="E3628" t="s">
        <v>81</v>
      </c>
      <c r="F3628" t="s">
        <v>18</v>
      </c>
      <c r="G3628" t="s">
        <v>19</v>
      </c>
      <c r="H3628" t="s">
        <v>35</v>
      </c>
      <c r="I3628" s="2">
        <v>207</v>
      </c>
      <c r="J3628" s="3">
        <v>3</v>
      </c>
      <c r="K3628" s="2">
        <v>25.88</v>
      </c>
    </row>
    <row r="3629" spans="1:11" x14ac:dyDescent="0.35">
      <c r="A3629" s="1">
        <v>42864</v>
      </c>
      <c r="B3629" s="3">
        <f t="shared" si="112"/>
        <v>2017</v>
      </c>
      <c r="C3629" s="3">
        <f t="shared" si="113"/>
        <v>5</v>
      </c>
      <c r="D3629" t="s">
        <v>1669</v>
      </c>
      <c r="E3629" t="s">
        <v>17</v>
      </c>
      <c r="F3629" t="s">
        <v>28</v>
      </c>
      <c r="G3629" t="s">
        <v>48</v>
      </c>
      <c r="H3629" t="s">
        <v>1734</v>
      </c>
      <c r="I3629" s="2">
        <v>147.91999999999999</v>
      </c>
      <c r="J3629" s="3">
        <v>5</v>
      </c>
      <c r="K3629" s="2">
        <v>46.23</v>
      </c>
    </row>
    <row r="3630" spans="1:11" x14ac:dyDescent="0.35">
      <c r="A3630" s="1">
        <v>42864</v>
      </c>
      <c r="B3630" s="3">
        <f t="shared" si="112"/>
        <v>2017</v>
      </c>
      <c r="C3630" s="3">
        <f t="shared" si="113"/>
        <v>5</v>
      </c>
      <c r="D3630" t="s">
        <v>1669</v>
      </c>
      <c r="E3630" t="s">
        <v>17</v>
      </c>
      <c r="F3630" t="s">
        <v>28</v>
      </c>
      <c r="G3630" t="s">
        <v>38</v>
      </c>
      <c r="H3630" t="s">
        <v>2345</v>
      </c>
      <c r="I3630" s="2">
        <v>104.28</v>
      </c>
      <c r="J3630" s="3">
        <v>3</v>
      </c>
      <c r="K3630" s="2">
        <v>26.07</v>
      </c>
    </row>
    <row r="3631" spans="1:11" x14ac:dyDescent="0.35">
      <c r="A3631" s="1">
        <v>42864</v>
      </c>
      <c r="B3631" s="3">
        <f t="shared" si="112"/>
        <v>2017</v>
      </c>
      <c r="C3631" s="3">
        <f t="shared" si="113"/>
        <v>5</v>
      </c>
      <c r="D3631" t="s">
        <v>1669</v>
      </c>
      <c r="E3631" t="s">
        <v>17</v>
      </c>
      <c r="F3631" t="s">
        <v>18</v>
      </c>
      <c r="G3631" t="s">
        <v>42</v>
      </c>
      <c r="H3631" t="s">
        <v>633</v>
      </c>
      <c r="I3631" s="2">
        <v>286.85000000000002</v>
      </c>
      <c r="J3631" s="3">
        <v>1</v>
      </c>
      <c r="K3631" s="2">
        <v>63.11</v>
      </c>
    </row>
    <row r="3632" spans="1:11" x14ac:dyDescent="0.35">
      <c r="A3632" s="1">
        <v>42864</v>
      </c>
      <c r="B3632" s="3">
        <f t="shared" si="112"/>
        <v>2017</v>
      </c>
      <c r="C3632" s="3">
        <f t="shared" si="113"/>
        <v>5</v>
      </c>
      <c r="D3632" t="s">
        <v>1669</v>
      </c>
      <c r="E3632" t="s">
        <v>17</v>
      </c>
      <c r="F3632" t="s">
        <v>28</v>
      </c>
      <c r="G3632" t="s">
        <v>38</v>
      </c>
      <c r="H3632" t="s">
        <v>52</v>
      </c>
      <c r="I3632" s="2">
        <v>66.959999999999994</v>
      </c>
      <c r="J3632" s="3">
        <v>4</v>
      </c>
      <c r="K3632" s="2">
        <v>2.68</v>
      </c>
    </row>
    <row r="3633" spans="1:11" x14ac:dyDescent="0.35">
      <c r="A3633" s="1">
        <v>42864</v>
      </c>
      <c r="B3633" s="3">
        <f t="shared" si="112"/>
        <v>2017</v>
      </c>
      <c r="C3633" s="3">
        <f t="shared" si="113"/>
        <v>5</v>
      </c>
      <c r="D3633" t="s">
        <v>1669</v>
      </c>
      <c r="E3633" t="s">
        <v>17</v>
      </c>
      <c r="F3633" t="s">
        <v>13</v>
      </c>
      <c r="G3633" t="s">
        <v>14</v>
      </c>
      <c r="H3633" t="s">
        <v>228</v>
      </c>
      <c r="I3633" s="2">
        <v>199.98</v>
      </c>
      <c r="J3633" s="3">
        <v>2</v>
      </c>
      <c r="K3633" s="2">
        <v>87.99</v>
      </c>
    </row>
    <row r="3634" spans="1:11" x14ac:dyDescent="0.35">
      <c r="A3634" s="1">
        <v>42895</v>
      </c>
      <c r="B3634" s="3">
        <f t="shared" si="112"/>
        <v>2017</v>
      </c>
      <c r="C3634" s="3">
        <f t="shared" si="113"/>
        <v>6</v>
      </c>
      <c r="D3634" t="s">
        <v>2193</v>
      </c>
      <c r="E3634" t="s">
        <v>26</v>
      </c>
      <c r="F3634" t="s">
        <v>18</v>
      </c>
      <c r="G3634" t="s">
        <v>36</v>
      </c>
      <c r="H3634" t="s">
        <v>243</v>
      </c>
      <c r="I3634" s="2">
        <v>23.98</v>
      </c>
      <c r="J3634" s="3">
        <v>3</v>
      </c>
      <c r="K3634" s="2">
        <v>-14.39</v>
      </c>
    </row>
    <row r="3635" spans="1:11" x14ac:dyDescent="0.35">
      <c r="A3635" s="1">
        <v>42895</v>
      </c>
      <c r="B3635" s="3">
        <f t="shared" si="112"/>
        <v>2017</v>
      </c>
      <c r="C3635" s="3">
        <f t="shared" si="113"/>
        <v>6</v>
      </c>
      <c r="D3635" t="s">
        <v>2193</v>
      </c>
      <c r="E3635" t="s">
        <v>26</v>
      </c>
      <c r="F3635" t="s">
        <v>18</v>
      </c>
      <c r="G3635" t="s">
        <v>42</v>
      </c>
      <c r="H3635" t="s">
        <v>540</v>
      </c>
      <c r="I3635" s="2">
        <v>108.93</v>
      </c>
      <c r="J3635" s="3">
        <v>1</v>
      </c>
      <c r="K3635" s="2">
        <v>-71.89</v>
      </c>
    </row>
    <row r="3636" spans="1:11" x14ac:dyDescent="0.35">
      <c r="A3636" s="1">
        <v>42895</v>
      </c>
      <c r="B3636" s="3">
        <f t="shared" si="112"/>
        <v>2017</v>
      </c>
      <c r="C3636" s="3">
        <f t="shared" si="113"/>
        <v>6</v>
      </c>
      <c r="D3636" t="s">
        <v>2193</v>
      </c>
      <c r="E3636" t="s">
        <v>26</v>
      </c>
      <c r="F3636" t="s">
        <v>28</v>
      </c>
      <c r="G3636" t="s">
        <v>29</v>
      </c>
      <c r="H3636" t="s">
        <v>2276</v>
      </c>
      <c r="I3636" s="2">
        <v>36.35</v>
      </c>
      <c r="J3636" s="3">
        <v>8</v>
      </c>
      <c r="K3636" s="2">
        <v>11.36</v>
      </c>
    </row>
    <row r="3637" spans="1:11" x14ac:dyDescent="0.35">
      <c r="A3637" s="1">
        <v>42895</v>
      </c>
      <c r="B3637" s="3">
        <f t="shared" si="112"/>
        <v>2017</v>
      </c>
      <c r="C3637" s="3">
        <f t="shared" si="113"/>
        <v>6</v>
      </c>
      <c r="D3637" t="s">
        <v>1112</v>
      </c>
      <c r="E3637" t="s">
        <v>32</v>
      </c>
      <c r="F3637" t="s">
        <v>28</v>
      </c>
      <c r="G3637" t="s">
        <v>38</v>
      </c>
      <c r="H3637" t="s">
        <v>587</v>
      </c>
      <c r="I3637" s="2">
        <v>720.76</v>
      </c>
      <c r="J3637" s="3">
        <v>5</v>
      </c>
      <c r="K3637" s="2">
        <v>54.06</v>
      </c>
    </row>
    <row r="3638" spans="1:11" x14ac:dyDescent="0.35">
      <c r="A3638" s="1">
        <v>42895</v>
      </c>
      <c r="B3638" s="3">
        <f t="shared" si="112"/>
        <v>2017</v>
      </c>
      <c r="C3638" s="3">
        <f t="shared" si="113"/>
        <v>6</v>
      </c>
      <c r="D3638" t="s">
        <v>1363</v>
      </c>
      <c r="E3638" t="s">
        <v>173</v>
      </c>
      <c r="F3638" t="s">
        <v>28</v>
      </c>
      <c r="G3638" t="s">
        <v>29</v>
      </c>
      <c r="H3638" t="s">
        <v>123</v>
      </c>
      <c r="I3638" s="2">
        <v>49.12</v>
      </c>
      <c r="J3638" s="3">
        <v>4</v>
      </c>
      <c r="K3638" s="2">
        <v>23.09</v>
      </c>
    </row>
    <row r="3639" spans="1:11" x14ac:dyDescent="0.35">
      <c r="A3639" s="1">
        <v>42925</v>
      </c>
      <c r="B3639" s="3">
        <f t="shared" si="112"/>
        <v>2017</v>
      </c>
      <c r="C3639" s="3">
        <f t="shared" si="113"/>
        <v>7</v>
      </c>
      <c r="D3639" t="s">
        <v>2320</v>
      </c>
      <c r="E3639" t="s">
        <v>107</v>
      </c>
      <c r="F3639" t="s">
        <v>28</v>
      </c>
      <c r="G3639" t="s">
        <v>48</v>
      </c>
      <c r="H3639" t="s">
        <v>2098</v>
      </c>
      <c r="I3639" s="2">
        <v>1.08</v>
      </c>
      <c r="J3639" s="3">
        <v>2</v>
      </c>
      <c r="K3639" s="2">
        <v>-0.79</v>
      </c>
    </row>
    <row r="3640" spans="1:11" x14ac:dyDescent="0.35">
      <c r="A3640" s="1">
        <v>42925</v>
      </c>
      <c r="B3640" s="3">
        <f t="shared" si="112"/>
        <v>2017</v>
      </c>
      <c r="C3640" s="3">
        <f t="shared" si="113"/>
        <v>7</v>
      </c>
      <c r="D3640" t="s">
        <v>1368</v>
      </c>
      <c r="E3640" t="s">
        <v>26</v>
      </c>
      <c r="F3640" t="s">
        <v>28</v>
      </c>
      <c r="G3640" t="s">
        <v>64</v>
      </c>
      <c r="H3640" t="s">
        <v>2209</v>
      </c>
      <c r="I3640" s="2">
        <v>8.84</v>
      </c>
      <c r="J3640" s="3">
        <v>5</v>
      </c>
      <c r="K3640" s="2">
        <v>2.98</v>
      </c>
    </row>
    <row r="3641" spans="1:11" x14ac:dyDescent="0.35">
      <c r="A3641" s="1">
        <v>42925</v>
      </c>
      <c r="B3641" s="3">
        <f t="shared" si="112"/>
        <v>2017</v>
      </c>
      <c r="C3641" s="3">
        <f t="shared" si="113"/>
        <v>7</v>
      </c>
      <c r="D3641" t="s">
        <v>1368</v>
      </c>
      <c r="E3641" t="s">
        <v>26</v>
      </c>
      <c r="F3641" t="s">
        <v>28</v>
      </c>
      <c r="G3641" t="s">
        <v>58</v>
      </c>
      <c r="H3641" t="s">
        <v>2034</v>
      </c>
      <c r="I3641" s="2">
        <v>58.46</v>
      </c>
      <c r="J3641" s="3">
        <v>9</v>
      </c>
      <c r="K3641" s="2">
        <v>-146.16</v>
      </c>
    </row>
    <row r="3642" spans="1:11" x14ac:dyDescent="0.35">
      <c r="A3642" s="1">
        <v>42925</v>
      </c>
      <c r="B3642" s="3">
        <f t="shared" si="112"/>
        <v>2017</v>
      </c>
      <c r="C3642" s="3">
        <f t="shared" si="113"/>
        <v>7</v>
      </c>
      <c r="D3642" t="s">
        <v>1191</v>
      </c>
      <c r="E3642" t="s">
        <v>26</v>
      </c>
      <c r="F3642" t="s">
        <v>28</v>
      </c>
      <c r="G3642" t="s">
        <v>38</v>
      </c>
      <c r="H3642" t="s">
        <v>41</v>
      </c>
      <c r="I3642" s="2">
        <v>228.92</v>
      </c>
      <c r="J3642" s="3">
        <v>5</v>
      </c>
      <c r="K3642" s="2">
        <v>14.31</v>
      </c>
    </row>
    <row r="3643" spans="1:11" x14ac:dyDescent="0.35">
      <c r="A3643" s="1">
        <v>42925</v>
      </c>
      <c r="B3643" s="3">
        <f t="shared" si="112"/>
        <v>2017</v>
      </c>
      <c r="C3643" s="3">
        <f t="shared" si="113"/>
        <v>7</v>
      </c>
      <c r="D3643" t="s">
        <v>2346</v>
      </c>
      <c r="E3643" t="s">
        <v>575</v>
      </c>
      <c r="F3643" t="s">
        <v>18</v>
      </c>
      <c r="G3643" t="s">
        <v>36</v>
      </c>
      <c r="H3643" t="s">
        <v>1177</v>
      </c>
      <c r="I3643" s="2">
        <v>526.45000000000005</v>
      </c>
      <c r="J3643" s="3">
        <v>5</v>
      </c>
      <c r="K3643" s="2">
        <v>31.59</v>
      </c>
    </row>
    <row r="3644" spans="1:11" x14ac:dyDescent="0.35">
      <c r="A3644" s="1">
        <v>42925</v>
      </c>
      <c r="B3644" s="3">
        <f t="shared" si="112"/>
        <v>2017</v>
      </c>
      <c r="C3644" s="3">
        <f t="shared" si="113"/>
        <v>7</v>
      </c>
      <c r="D3644" t="s">
        <v>1720</v>
      </c>
      <c r="E3644" t="s">
        <v>323</v>
      </c>
      <c r="F3644" t="s">
        <v>28</v>
      </c>
      <c r="G3644" t="s">
        <v>29</v>
      </c>
      <c r="H3644" t="s">
        <v>1651</v>
      </c>
      <c r="I3644" s="2">
        <v>274.8</v>
      </c>
      <c r="J3644" s="3">
        <v>5</v>
      </c>
      <c r="K3644" s="2">
        <v>134.65</v>
      </c>
    </row>
    <row r="3645" spans="1:11" x14ac:dyDescent="0.35">
      <c r="A3645" s="1">
        <v>42925</v>
      </c>
      <c r="B3645" s="3">
        <f t="shared" si="112"/>
        <v>2017</v>
      </c>
      <c r="C3645" s="3">
        <f t="shared" si="113"/>
        <v>7</v>
      </c>
      <c r="D3645" t="s">
        <v>1720</v>
      </c>
      <c r="E3645" t="s">
        <v>323</v>
      </c>
      <c r="F3645" t="s">
        <v>28</v>
      </c>
      <c r="G3645" t="s">
        <v>38</v>
      </c>
      <c r="H3645" t="s">
        <v>1089</v>
      </c>
      <c r="I3645" s="2">
        <v>195.64</v>
      </c>
      <c r="J3645" s="3">
        <v>4</v>
      </c>
      <c r="K3645" s="2">
        <v>3.91</v>
      </c>
    </row>
    <row r="3646" spans="1:11" x14ac:dyDescent="0.35">
      <c r="A3646" s="1">
        <v>42925</v>
      </c>
      <c r="B3646" s="3">
        <f t="shared" si="112"/>
        <v>2017</v>
      </c>
      <c r="C3646" s="3">
        <f t="shared" si="113"/>
        <v>7</v>
      </c>
      <c r="D3646" t="s">
        <v>1720</v>
      </c>
      <c r="E3646" t="s">
        <v>323</v>
      </c>
      <c r="F3646" t="s">
        <v>13</v>
      </c>
      <c r="G3646" t="s">
        <v>23</v>
      </c>
      <c r="H3646" t="s">
        <v>1409</v>
      </c>
      <c r="I3646" s="2">
        <v>257.98</v>
      </c>
      <c r="J3646" s="3">
        <v>2</v>
      </c>
      <c r="K3646" s="2">
        <v>74.81</v>
      </c>
    </row>
    <row r="3647" spans="1:11" x14ac:dyDescent="0.35">
      <c r="A3647" s="1">
        <v>42925</v>
      </c>
      <c r="B3647" s="3">
        <f t="shared" si="112"/>
        <v>2017</v>
      </c>
      <c r="C3647" s="3">
        <f t="shared" si="113"/>
        <v>7</v>
      </c>
      <c r="D3647" t="s">
        <v>1720</v>
      </c>
      <c r="E3647" t="s">
        <v>323</v>
      </c>
      <c r="F3647" t="s">
        <v>28</v>
      </c>
      <c r="G3647" t="s">
        <v>64</v>
      </c>
      <c r="H3647" t="s">
        <v>976</v>
      </c>
      <c r="I3647" s="2">
        <v>119.04</v>
      </c>
      <c r="J3647" s="3">
        <v>6</v>
      </c>
      <c r="K3647" s="2">
        <v>48.81</v>
      </c>
    </row>
    <row r="3648" spans="1:11" x14ac:dyDescent="0.35">
      <c r="A3648" s="1">
        <v>42987</v>
      </c>
      <c r="B3648" s="3">
        <f t="shared" si="112"/>
        <v>2017</v>
      </c>
      <c r="C3648" s="3">
        <f t="shared" si="113"/>
        <v>9</v>
      </c>
      <c r="D3648" t="s">
        <v>715</v>
      </c>
      <c r="E3648" t="s">
        <v>89</v>
      </c>
      <c r="F3648" t="s">
        <v>18</v>
      </c>
      <c r="G3648" t="s">
        <v>19</v>
      </c>
      <c r="H3648" t="s">
        <v>1344</v>
      </c>
      <c r="I3648" s="2">
        <v>141.37</v>
      </c>
      <c r="J3648" s="3">
        <v>2</v>
      </c>
      <c r="K3648" s="2">
        <v>-48.47</v>
      </c>
    </row>
    <row r="3649" spans="1:11" x14ac:dyDescent="0.35">
      <c r="A3649" s="1">
        <v>42987</v>
      </c>
      <c r="B3649" s="3">
        <f t="shared" si="112"/>
        <v>2017</v>
      </c>
      <c r="C3649" s="3">
        <f t="shared" si="113"/>
        <v>9</v>
      </c>
      <c r="D3649" t="s">
        <v>715</v>
      </c>
      <c r="E3649" t="s">
        <v>89</v>
      </c>
      <c r="F3649" t="s">
        <v>28</v>
      </c>
      <c r="G3649" t="s">
        <v>48</v>
      </c>
      <c r="H3649" t="s">
        <v>1163</v>
      </c>
      <c r="I3649" s="2">
        <v>3.04</v>
      </c>
      <c r="J3649" s="3">
        <v>2</v>
      </c>
      <c r="K3649" s="2">
        <v>-2.33</v>
      </c>
    </row>
    <row r="3650" spans="1:11" x14ac:dyDescent="0.35">
      <c r="A3650" s="1">
        <v>42987</v>
      </c>
      <c r="B3650" s="3">
        <f t="shared" ref="B3650:B3713" si="114">YEAR(A3650)</f>
        <v>2017</v>
      </c>
      <c r="C3650" s="3">
        <f t="shared" ref="C3650:C3713" si="115">MONTH(A3650)</f>
        <v>9</v>
      </c>
      <c r="D3650" t="s">
        <v>715</v>
      </c>
      <c r="E3650" t="s">
        <v>89</v>
      </c>
      <c r="F3650" t="s">
        <v>28</v>
      </c>
      <c r="G3650" t="s">
        <v>48</v>
      </c>
      <c r="H3650" t="s">
        <v>2017</v>
      </c>
      <c r="I3650" s="2">
        <v>4.5</v>
      </c>
      <c r="J3650" s="3">
        <v>1</v>
      </c>
      <c r="K3650" s="2">
        <v>-3.6</v>
      </c>
    </row>
    <row r="3651" spans="1:11" x14ac:dyDescent="0.35">
      <c r="A3651" s="1">
        <v>42987</v>
      </c>
      <c r="B3651" s="3">
        <f t="shared" si="114"/>
        <v>2017</v>
      </c>
      <c r="C3651" s="3">
        <f t="shared" si="115"/>
        <v>9</v>
      </c>
      <c r="D3651" t="s">
        <v>715</v>
      </c>
      <c r="E3651" t="s">
        <v>89</v>
      </c>
      <c r="F3651" t="s">
        <v>28</v>
      </c>
      <c r="G3651" t="s">
        <v>64</v>
      </c>
      <c r="H3651" t="s">
        <v>2300</v>
      </c>
      <c r="I3651" s="2">
        <v>4.67</v>
      </c>
      <c r="J3651" s="3">
        <v>1</v>
      </c>
      <c r="K3651" s="2">
        <v>1.58</v>
      </c>
    </row>
    <row r="3652" spans="1:11" x14ac:dyDescent="0.35">
      <c r="A3652" s="1">
        <v>42987</v>
      </c>
      <c r="B3652" s="3">
        <f t="shared" si="114"/>
        <v>2017</v>
      </c>
      <c r="C3652" s="3">
        <f t="shared" si="115"/>
        <v>9</v>
      </c>
      <c r="D3652" t="s">
        <v>715</v>
      </c>
      <c r="E3652" t="s">
        <v>89</v>
      </c>
      <c r="F3652" t="s">
        <v>13</v>
      </c>
      <c r="G3652" t="s">
        <v>14</v>
      </c>
      <c r="H3652" t="s">
        <v>1356</v>
      </c>
      <c r="I3652" s="2">
        <v>95.88</v>
      </c>
      <c r="J3652" s="3">
        <v>3</v>
      </c>
      <c r="K3652" s="2">
        <v>28.76</v>
      </c>
    </row>
    <row r="3653" spans="1:11" x14ac:dyDescent="0.35">
      <c r="A3653" s="1">
        <v>42987</v>
      </c>
      <c r="B3653" s="3">
        <f t="shared" si="114"/>
        <v>2017</v>
      </c>
      <c r="C3653" s="3">
        <f t="shared" si="115"/>
        <v>9</v>
      </c>
      <c r="D3653" t="s">
        <v>715</v>
      </c>
      <c r="E3653" t="s">
        <v>89</v>
      </c>
      <c r="F3653" t="s">
        <v>18</v>
      </c>
      <c r="G3653" t="s">
        <v>36</v>
      </c>
      <c r="H3653" t="s">
        <v>861</v>
      </c>
      <c r="I3653" s="2">
        <v>17.02</v>
      </c>
      <c r="J3653" s="3">
        <v>2</v>
      </c>
      <c r="K3653" s="2">
        <v>1.7</v>
      </c>
    </row>
    <row r="3654" spans="1:11" x14ac:dyDescent="0.35">
      <c r="A3654" s="1">
        <v>42987</v>
      </c>
      <c r="B3654" s="3">
        <f t="shared" si="114"/>
        <v>2017</v>
      </c>
      <c r="C3654" s="3">
        <f t="shared" si="115"/>
        <v>9</v>
      </c>
      <c r="D3654" t="s">
        <v>715</v>
      </c>
      <c r="E3654" t="s">
        <v>89</v>
      </c>
      <c r="F3654" t="s">
        <v>13</v>
      </c>
      <c r="G3654" t="s">
        <v>14</v>
      </c>
      <c r="H3654" t="s">
        <v>1883</v>
      </c>
      <c r="I3654" s="2">
        <v>258.7</v>
      </c>
      <c r="J3654" s="3">
        <v>3</v>
      </c>
      <c r="K3654" s="2">
        <v>64.67</v>
      </c>
    </row>
    <row r="3655" spans="1:11" x14ac:dyDescent="0.35">
      <c r="A3655" s="1">
        <v>42987</v>
      </c>
      <c r="B3655" s="3">
        <f t="shared" si="114"/>
        <v>2017</v>
      </c>
      <c r="C3655" s="3">
        <f t="shared" si="115"/>
        <v>9</v>
      </c>
      <c r="D3655" t="s">
        <v>715</v>
      </c>
      <c r="E3655" t="s">
        <v>89</v>
      </c>
      <c r="F3655" t="s">
        <v>13</v>
      </c>
      <c r="G3655" t="s">
        <v>23</v>
      </c>
      <c r="H3655" t="s">
        <v>2347</v>
      </c>
      <c r="I3655" s="2">
        <v>1931.96</v>
      </c>
      <c r="J3655" s="3">
        <v>7</v>
      </c>
      <c r="K3655" s="2">
        <v>-386.39</v>
      </c>
    </row>
    <row r="3656" spans="1:11" x14ac:dyDescent="0.35">
      <c r="A3656" s="1">
        <v>42987</v>
      </c>
      <c r="B3656" s="3">
        <f t="shared" si="114"/>
        <v>2017</v>
      </c>
      <c r="C3656" s="3">
        <f t="shared" si="115"/>
        <v>9</v>
      </c>
      <c r="D3656" t="s">
        <v>623</v>
      </c>
      <c r="E3656" t="s">
        <v>351</v>
      </c>
      <c r="F3656" t="s">
        <v>28</v>
      </c>
      <c r="G3656" t="s">
        <v>38</v>
      </c>
      <c r="H3656" t="s">
        <v>2348</v>
      </c>
      <c r="I3656" s="2">
        <v>628.80999999999995</v>
      </c>
      <c r="J3656" s="3">
        <v>7</v>
      </c>
      <c r="K3656" s="2">
        <v>12.58</v>
      </c>
    </row>
    <row r="3657" spans="1:11" x14ac:dyDescent="0.35">
      <c r="A3657" s="1">
        <v>42987</v>
      </c>
      <c r="B3657" s="3">
        <f t="shared" si="114"/>
        <v>2017</v>
      </c>
      <c r="C3657" s="3">
        <f t="shared" si="115"/>
        <v>9</v>
      </c>
      <c r="D3657" t="s">
        <v>623</v>
      </c>
      <c r="E3657" t="s">
        <v>351</v>
      </c>
      <c r="F3657" t="s">
        <v>28</v>
      </c>
      <c r="G3657" t="s">
        <v>38</v>
      </c>
      <c r="H3657" t="s">
        <v>656</v>
      </c>
      <c r="I3657" s="2">
        <v>56.45</v>
      </c>
      <c r="J3657" s="3">
        <v>5</v>
      </c>
      <c r="K3657" s="2">
        <v>14.68</v>
      </c>
    </row>
    <row r="3658" spans="1:11" x14ac:dyDescent="0.35">
      <c r="A3658" s="1">
        <v>42987</v>
      </c>
      <c r="B3658" s="3">
        <f t="shared" si="114"/>
        <v>2017</v>
      </c>
      <c r="C3658" s="3">
        <f t="shared" si="115"/>
        <v>9</v>
      </c>
      <c r="D3658" t="s">
        <v>1247</v>
      </c>
      <c r="E3658" t="s">
        <v>326</v>
      </c>
      <c r="F3658" t="s">
        <v>28</v>
      </c>
      <c r="G3658" t="s">
        <v>215</v>
      </c>
      <c r="H3658" t="s">
        <v>765</v>
      </c>
      <c r="I3658" s="2">
        <v>8.83</v>
      </c>
      <c r="J3658" s="3">
        <v>3</v>
      </c>
      <c r="K3658" s="2">
        <v>-1.99</v>
      </c>
    </row>
    <row r="3659" spans="1:11" x14ac:dyDescent="0.35">
      <c r="A3659" s="1">
        <v>42987</v>
      </c>
      <c r="B3659" s="3">
        <f t="shared" si="114"/>
        <v>2017</v>
      </c>
      <c r="C3659" s="3">
        <f t="shared" si="115"/>
        <v>9</v>
      </c>
      <c r="D3659" t="s">
        <v>1247</v>
      </c>
      <c r="E3659" t="s">
        <v>326</v>
      </c>
      <c r="F3659" t="s">
        <v>28</v>
      </c>
      <c r="G3659" t="s">
        <v>29</v>
      </c>
      <c r="H3659" t="s">
        <v>2221</v>
      </c>
      <c r="I3659" s="2">
        <v>177.54</v>
      </c>
      <c r="J3659" s="3">
        <v>4</v>
      </c>
      <c r="K3659" s="2">
        <v>62.14</v>
      </c>
    </row>
    <row r="3660" spans="1:11" x14ac:dyDescent="0.35">
      <c r="A3660" s="1">
        <v>42987</v>
      </c>
      <c r="B3660" s="3">
        <f t="shared" si="114"/>
        <v>2017</v>
      </c>
      <c r="C3660" s="3">
        <f t="shared" si="115"/>
        <v>9</v>
      </c>
      <c r="D3660" t="s">
        <v>1247</v>
      </c>
      <c r="E3660" t="s">
        <v>326</v>
      </c>
      <c r="F3660" t="s">
        <v>28</v>
      </c>
      <c r="G3660" t="s">
        <v>38</v>
      </c>
      <c r="H3660" t="s">
        <v>1428</v>
      </c>
      <c r="I3660" s="2">
        <v>258.48</v>
      </c>
      <c r="J3660" s="3">
        <v>2</v>
      </c>
      <c r="K3660" s="2">
        <v>-3.23</v>
      </c>
    </row>
    <row r="3661" spans="1:11" x14ac:dyDescent="0.35">
      <c r="A3661" s="1">
        <v>42987</v>
      </c>
      <c r="B3661" s="3">
        <f t="shared" si="114"/>
        <v>2017</v>
      </c>
      <c r="C3661" s="3">
        <f t="shared" si="115"/>
        <v>9</v>
      </c>
      <c r="D3661" t="s">
        <v>1247</v>
      </c>
      <c r="E3661" t="s">
        <v>326</v>
      </c>
      <c r="F3661" t="s">
        <v>18</v>
      </c>
      <c r="G3661" t="s">
        <v>36</v>
      </c>
      <c r="H3661" t="s">
        <v>886</v>
      </c>
      <c r="I3661" s="2">
        <v>14.14</v>
      </c>
      <c r="J3661" s="3">
        <v>3</v>
      </c>
      <c r="K3661" s="2">
        <v>4.24</v>
      </c>
    </row>
    <row r="3662" spans="1:11" x14ac:dyDescent="0.35">
      <c r="A3662" s="1">
        <v>42987</v>
      </c>
      <c r="B3662" s="3">
        <f t="shared" si="114"/>
        <v>2017</v>
      </c>
      <c r="C3662" s="3">
        <f t="shared" si="115"/>
        <v>9</v>
      </c>
      <c r="D3662" t="s">
        <v>2009</v>
      </c>
      <c r="E3662" t="s">
        <v>71</v>
      </c>
      <c r="F3662" t="s">
        <v>28</v>
      </c>
      <c r="G3662" t="s">
        <v>158</v>
      </c>
      <c r="H3662" t="s">
        <v>557</v>
      </c>
      <c r="I3662" s="2">
        <v>17.48</v>
      </c>
      <c r="J3662" s="3">
        <v>2</v>
      </c>
      <c r="K3662" s="2">
        <v>8.2200000000000006</v>
      </c>
    </row>
    <row r="3663" spans="1:11" x14ac:dyDescent="0.35">
      <c r="A3663" s="1">
        <v>42987</v>
      </c>
      <c r="B3663" s="3">
        <f t="shared" si="114"/>
        <v>2017</v>
      </c>
      <c r="C3663" s="3">
        <f t="shared" si="115"/>
        <v>9</v>
      </c>
      <c r="D3663" t="s">
        <v>830</v>
      </c>
      <c r="E3663" t="s">
        <v>211</v>
      </c>
      <c r="F3663" t="s">
        <v>28</v>
      </c>
      <c r="G3663" t="s">
        <v>29</v>
      </c>
      <c r="H3663" t="s">
        <v>2349</v>
      </c>
      <c r="I3663" s="2">
        <v>6.37</v>
      </c>
      <c r="J3663" s="3">
        <v>2</v>
      </c>
      <c r="K3663" s="2">
        <v>2.39</v>
      </c>
    </row>
    <row r="3664" spans="1:11" x14ac:dyDescent="0.35">
      <c r="A3664" s="1">
        <v>42987</v>
      </c>
      <c r="B3664" s="3">
        <f t="shared" si="114"/>
        <v>2017</v>
      </c>
      <c r="C3664" s="3">
        <f t="shared" si="115"/>
        <v>9</v>
      </c>
      <c r="D3664" t="s">
        <v>223</v>
      </c>
      <c r="E3664" t="s">
        <v>45</v>
      </c>
      <c r="F3664" t="s">
        <v>28</v>
      </c>
      <c r="G3664" t="s">
        <v>64</v>
      </c>
      <c r="H3664" t="s">
        <v>2350</v>
      </c>
      <c r="I3664" s="2">
        <v>6.56</v>
      </c>
      <c r="J3664" s="3">
        <v>2</v>
      </c>
      <c r="K3664" s="2">
        <v>1.9</v>
      </c>
    </row>
    <row r="3665" spans="1:11" x14ac:dyDescent="0.35">
      <c r="A3665" s="1">
        <v>42987</v>
      </c>
      <c r="B3665" s="3">
        <f t="shared" si="114"/>
        <v>2017</v>
      </c>
      <c r="C3665" s="3">
        <f t="shared" si="115"/>
        <v>9</v>
      </c>
      <c r="D3665" t="s">
        <v>223</v>
      </c>
      <c r="E3665" t="s">
        <v>45</v>
      </c>
      <c r="F3665" t="s">
        <v>18</v>
      </c>
      <c r="G3665" t="s">
        <v>19</v>
      </c>
      <c r="H3665" t="s">
        <v>1570</v>
      </c>
      <c r="I3665" s="2">
        <v>243.92</v>
      </c>
      <c r="J3665" s="3">
        <v>5</v>
      </c>
      <c r="K3665" s="2">
        <v>-15.25</v>
      </c>
    </row>
    <row r="3666" spans="1:11" x14ac:dyDescent="0.35">
      <c r="A3666" s="1">
        <v>42987</v>
      </c>
      <c r="B3666" s="3">
        <f t="shared" si="114"/>
        <v>2017</v>
      </c>
      <c r="C3666" s="3">
        <f t="shared" si="115"/>
        <v>9</v>
      </c>
      <c r="D3666" t="s">
        <v>223</v>
      </c>
      <c r="E3666" t="s">
        <v>45</v>
      </c>
      <c r="F3666" t="s">
        <v>28</v>
      </c>
      <c r="G3666" t="s">
        <v>29</v>
      </c>
      <c r="H3666" t="s">
        <v>822</v>
      </c>
      <c r="I3666" s="2">
        <v>47.52</v>
      </c>
      <c r="J3666" s="3">
        <v>9</v>
      </c>
      <c r="K3666" s="2">
        <v>22.81</v>
      </c>
    </row>
    <row r="3667" spans="1:11" x14ac:dyDescent="0.35">
      <c r="A3667" s="1">
        <v>42987</v>
      </c>
      <c r="B3667" s="3">
        <f t="shared" si="114"/>
        <v>2017</v>
      </c>
      <c r="C3667" s="3">
        <f t="shared" si="115"/>
        <v>9</v>
      </c>
      <c r="D3667" t="s">
        <v>1083</v>
      </c>
      <c r="E3667" t="s">
        <v>45</v>
      </c>
      <c r="F3667" t="s">
        <v>28</v>
      </c>
      <c r="G3667" t="s">
        <v>38</v>
      </c>
      <c r="H3667" t="s">
        <v>2201</v>
      </c>
      <c r="I3667" s="2">
        <v>99.87</v>
      </c>
      <c r="J3667" s="3">
        <v>3</v>
      </c>
      <c r="K3667" s="2">
        <v>23.97</v>
      </c>
    </row>
    <row r="3668" spans="1:11" x14ac:dyDescent="0.35">
      <c r="A3668" s="1">
        <v>42987</v>
      </c>
      <c r="B3668" s="3">
        <f t="shared" si="114"/>
        <v>2017</v>
      </c>
      <c r="C3668" s="3">
        <f t="shared" si="115"/>
        <v>9</v>
      </c>
      <c r="D3668" t="s">
        <v>2351</v>
      </c>
      <c r="E3668" t="s">
        <v>32</v>
      </c>
      <c r="F3668" t="s">
        <v>28</v>
      </c>
      <c r="G3668" t="s">
        <v>46</v>
      </c>
      <c r="H3668" t="s">
        <v>1926</v>
      </c>
      <c r="I3668" s="2">
        <v>9.86</v>
      </c>
      <c r="J3668" s="3">
        <v>4</v>
      </c>
      <c r="K3668" s="2">
        <v>3.45</v>
      </c>
    </row>
    <row r="3669" spans="1:11" x14ac:dyDescent="0.35">
      <c r="A3669" s="1">
        <v>42987</v>
      </c>
      <c r="B3669" s="3">
        <f t="shared" si="114"/>
        <v>2017</v>
      </c>
      <c r="C3669" s="3">
        <f t="shared" si="115"/>
        <v>9</v>
      </c>
      <c r="D3669" t="s">
        <v>798</v>
      </c>
      <c r="E3669" t="s">
        <v>131</v>
      </c>
      <c r="F3669" t="s">
        <v>28</v>
      </c>
      <c r="G3669" t="s">
        <v>64</v>
      </c>
      <c r="H3669" t="s">
        <v>353</v>
      </c>
      <c r="I3669" s="2">
        <v>25.92</v>
      </c>
      <c r="J3669" s="3">
        <v>5</v>
      </c>
      <c r="K3669" s="2">
        <v>3.89</v>
      </c>
    </row>
    <row r="3670" spans="1:11" x14ac:dyDescent="0.35">
      <c r="A3670" s="1">
        <v>42987</v>
      </c>
      <c r="B3670" s="3">
        <f t="shared" si="114"/>
        <v>2017</v>
      </c>
      <c r="C3670" s="3">
        <f t="shared" si="115"/>
        <v>9</v>
      </c>
      <c r="D3670" t="s">
        <v>798</v>
      </c>
      <c r="E3670" t="s">
        <v>131</v>
      </c>
      <c r="F3670" t="s">
        <v>18</v>
      </c>
      <c r="G3670" t="s">
        <v>36</v>
      </c>
      <c r="H3670" t="s">
        <v>908</v>
      </c>
      <c r="I3670" s="2">
        <v>66.11</v>
      </c>
      <c r="J3670" s="3">
        <v>2</v>
      </c>
      <c r="K3670" s="2">
        <v>-9.09</v>
      </c>
    </row>
    <row r="3671" spans="1:11" x14ac:dyDescent="0.35">
      <c r="A3671" s="1">
        <v>42987</v>
      </c>
      <c r="B3671" s="3">
        <f t="shared" si="114"/>
        <v>2017</v>
      </c>
      <c r="C3671" s="3">
        <f t="shared" si="115"/>
        <v>9</v>
      </c>
      <c r="D3671" t="s">
        <v>148</v>
      </c>
      <c r="E3671" t="s">
        <v>45</v>
      </c>
      <c r="F3671" t="s">
        <v>13</v>
      </c>
      <c r="G3671" t="s">
        <v>14</v>
      </c>
      <c r="H3671" t="s">
        <v>2352</v>
      </c>
      <c r="I3671" s="2">
        <v>159.96</v>
      </c>
      <c r="J3671" s="3">
        <v>4</v>
      </c>
      <c r="K3671" s="2">
        <v>51.19</v>
      </c>
    </row>
    <row r="3672" spans="1:11" x14ac:dyDescent="0.35">
      <c r="A3672" s="1">
        <v>42987</v>
      </c>
      <c r="B3672" s="3">
        <f t="shared" si="114"/>
        <v>2017</v>
      </c>
      <c r="C3672" s="3">
        <f t="shared" si="115"/>
        <v>9</v>
      </c>
      <c r="D3672" t="s">
        <v>1354</v>
      </c>
      <c r="E3672" t="s">
        <v>107</v>
      </c>
      <c r="F3672" t="s">
        <v>28</v>
      </c>
      <c r="G3672" t="s">
        <v>29</v>
      </c>
      <c r="H3672" t="s">
        <v>1635</v>
      </c>
      <c r="I3672" s="2">
        <v>31.1</v>
      </c>
      <c r="J3672" s="3">
        <v>6</v>
      </c>
      <c r="K3672" s="2">
        <v>11.28</v>
      </c>
    </row>
    <row r="3673" spans="1:11" x14ac:dyDescent="0.35">
      <c r="A3673" s="1">
        <v>42987</v>
      </c>
      <c r="B3673" s="3">
        <f t="shared" si="114"/>
        <v>2017</v>
      </c>
      <c r="C3673" s="3">
        <f t="shared" si="115"/>
        <v>9</v>
      </c>
      <c r="D3673" t="s">
        <v>1354</v>
      </c>
      <c r="E3673" t="s">
        <v>107</v>
      </c>
      <c r="F3673" t="s">
        <v>28</v>
      </c>
      <c r="G3673" t="s">
        <v>58</v>
      </c>
      <c r="H3673" t="s">
        <v>1914</v>
      </c>
      <c r="I3673" s="2">
        <v>11.18</v>
      </c>
      <c r="J3673" s="3">
        <v>1</v>
      </c>
      <c r="K3673" s="2">
        <v>0.84</v>
      </c>
    </row>
    <row r="3674" spans="1:11" x14ac:dyDescent="0.35">
      <c r="A3674" s="1">
        <v>42987</v>
      </c>
      <c r="B3674" s="3">
        <f t="shared" si="114"/>
        <v>2017</v>
      </c>
      <c r="C3674" s="3">
        <f t="shared" si="115"/>
        <v>9</v>
      </c>
      <c r="D3674" t="s">
        <v>399</v>
      </c>
      <c r="E3674" t="s">
        <v>131</v>
      </c>
      <c r="F3674" t="s">
        <v>28</v>
      </c>
      <c r="G3674" t="s">
        <v>46</v>
      </c>
      <c r="H3674" t="s">
        <v>999</v>
      </c>
      <c r="I3674" s="2">
        <v>17.71</v>
      </c>
      <c r="J3674" s="3">
        <v>6</v>
      </c>
      <c r="K3674" s="2">
        <v>5.98</v>
      </c>
    </row>
    <row r="3675" spans="1:11" x14ac:dyDescent="0.35">
      <c r="A3675" s="1">
        <v>42987</v>
      </c>
      <c r="B3675" s="3">
        <f t="shared" si="114"/>
        <v>2017</v>
      </c>
      <c r="C3675" s="3">
        <f t="shared" si="115"/>
        <v>9</v>
      </c>
      <c r="D3675" t="s">
        <v>399</v>
      </c>
      <c r="E3675" t="s">
        <v>131</v>
      </c>
      <c r="F3675" t="s">
        <v>28</v>
      </c>
      <c r="G3675" t="s">
        <v>48</v>
      </c>
      <c r="H3675" t="s">
        <v>1569</v>
      </c>
      <c r="I3675" s="2">
        <v>4.8600000000000003</v>
      </c>
      <c r="J3675" s="3">
        <v>3</v>
      </c>
      <c r="K3675" s="2">
        <v>-3.56</v>
      </c>
    </row>
    <row r="3676" spans="1:11" x14ac:dyDescent="0.35">
      <c r="A3676" s="1">
        <v>42987</v>
      </c>
      <c r="B3676" s="3">
        <f t="shared" si="114"/>
        <v>2017</v>
      </c>
      <c r="C3676" s="3">
        <f t="shared" si="115"/>
        <v>9</v>
      </c>
      <c r="D3676" t="s">
        <v>399</v>
      </c>
      <c r="E3676" t="s">
        <v>131</v>
      </c>
      <c r="F3676" t="s">
        <v>28</v>
      </c>
      <c r="G3676" t="s">
        <v>48</v>
      </c>
      <c r="H3676" t="s">
        <v>2353</v>
      </c>
      <c r="I3676" s="2">
        <v>6.26</v>
      </c>
      <c r="J3676" s="3">
        <v>2</v>
      </c>
      <c r="K3676" s="2">
        <v>-5.22</v>
      </c>
    </row>
    <row r="3677" spans="1:11" x14ac:dyDescent="0.35">
      <c r="A3677" s="1">
        <v>43017</v>
      </c>
      <c r="B3677" s="3">
        <f t="shared" si="114"/>
        <v>2017</v>
      </c>
      <c r="C3677" s="3">
        <f t="shared" si="115"/>
        <v>10</v>
      </c>
      <c r="D3677" t="s">
        <v>1606</v>
      </c>
      <c r="E3677" t="s">
        <v>81</v>
      </c>
      <c r="F3677" t="s">
        <v>28</v>
      </c>
      <c r="G3677" t="s">
        <v>29</v>
      </c>
      <c r="H3677" t="s">
        <v>1072</v>
      </c>
      <c r="I3677" s="2">
        <v>10.82</v>
      </c>
      <c r="J3677" s="3">
        <v>4</v>
      </c>
      <c r="K3677" s="2">
        <v>3.52</v>
      </c>
    </row>
    <row r="3678" spans="1:11" x14ac:dyDescent="0.35">
      <c r="A3678" s="1">
        <v>43017</v>
      </c>
      <c r="B3678" s="3">
        <f t="shared" si="114"/>
        <v>2017</v>
      </c>
      <c r="C3678" s="3">
        <f t="shared" si="115"/>
        <v>10</v>
      </c>
      <c r="D3678" t="s">
        <v>592</v>
      </c>
      <c r="E3678" t="s">
        <v>26</v>
      </c>
      <c r="F3678" t="s">
        <v>18</v>
      </c>
      <c r="G3678" t="s">
        <v>42</v>
      </c>
      <c r="H3678" t="s">
        <v>273</v>
      </c>
      <c r="I3678" s="2">
        <v>652.45000000000005</v>
      </c>
      <c r="J3678" s="3">
        <v>5</v>
      </c>
      <c r="K3678" s="2">
        <v>-430.62</v>
      </c>
    </row>
    <row r="3679" spans="1:11" x14ac:dyDescent="0.35">
      <c r="A3679" s="1">
        <v>43017</v>
      </c>
      <c r="B3679" s="3">
        <f t="shared" si="114"/>
        <v>2017</v>
      </c>
      <c r="C3679" s="3">
        <f t="shared" si="115"/>
        <v>10</v>
      </c>
      <c r="D3679" t="s">
        <v>592</v>
      </c>
      <c r="E3679" t="s">
        <v>26</v>
      </c>
      <c r="F3679" t="s">
        <v>18</v>
      </c>
      <c r="G3679" t="s">
        <v>42</v>
      </c>
      <c r="H3679" t="s">
        <v>1741</v>
      </c>
      <c r="I3679" s="2">
        <v>66.650000000000006</v>
      </c>
      <c r="J3679" s="3">
        <v>3</v>
      </c>
      <c r="K3679" s="2">
        <v>-42.65</v>
      </c>
    </row>
    <row r="3680" spans="1:11" x14ac:dyDescent="0.35">
      <c r="A3680" s="1">
        <v>43017</v>
      </c>
      <c r="B3680" s="3">
        <f t="shared" si="114"/>
        <v>2017</v>
      </c>
      <c r="C3680" s="3">
        <f t="shared" si="115"/>
        <v>10</v>
      </c>
      <c r="D3680" t="s">
        <v>421</v>
      </c>
      <c r="E3680" t="s">
        <v>131</v>
      </c>
      <c r="F3680" t="s">
        <v>18</v>
      </c>
      <c r="G3680" t="s">
        <v>36</v>
      </c>
      <c r="H3680" t="s">
        <v>2153</v>
      </c>
      <c r="I3680" s="2">
        <v>45.89</v>
      </c>
      <c r="J3680" s="3">
        <v>4</v>
      </c>
      <c r="K3680" s="2">
        <v>9.18</v>
      </c>
    </row>
    <row r="3681" spans="1:11" x14ac:dyDescent="0.35">
      <c r="A3681" s="1">
        <v>43017</v>
      </c>
      <c r="B3681" s="3">
        <f t="shared" si="114"/>
        <v>2017</v>
      </c>
      <c r="C3681" s="3">
        <f t="shared" si="115"/>
        <v>10</v>
      </c>
      <c r="D3681" t="s">
        <v>2286</v>
      </c>
      <c r="E3681" t="s">
        <v>22</v>
      </c>
      <c r="F3681" t="s">
        <v>28</v>
      </c>
      <c r="G3681" t="s">
        <v>48</v>
      </c>
      <c r="H3681" t="s">
        <v>1407</v>
      </c>
      <c r="I3681" s="2">
        <v>12.82</v>
      </c>
      <c r="J3681" s="3">
        <v>3</v>
      </c>
      <c r="K3681" s="2">
        <v>4.33</v>
      </c>
    </row>
    <row r="3682" spans="1:11" x14ac:dyDescent="0.35">
      <c r="A3682" s="1">
        <v>43017</v>
      </c>
      <c r="B3682" s="3">
        <f t="shared" si="114"/>
        <v>2017</v>
      </c>
      <c r="C3682" s="3">
        <f t="shared" si="115"/>
        <v>10</v>
      </c>
      <c r="D3682" t="s">
        <v>2286</v>
      </c>
      <c r="E3682" t="s">
        <v>22</v>
      </c>
      <c r="F3682" t="s">
        <v>18</v>
      </c>
      <c r="G3682" t="s">
        <v>237</v>
      </c>
      <c r="H3682" t="s">
        <v>2200</v>
      </c>
      <c r="I3682" s="2">
        <v>314.35000000000002</v>
      </c>
      <c r="J3682" s="3">
        <v>3</v>
      </c>
      <c r="K3682" s="2">
        <v>-15.72</v>
      </c>
    </row>
    <row r="3683" spans="1:11" x14ac:dyDescent="0.35">
      <c r="A3683" s="1">
        <v>43017</v>
      </c>
      <c r="B3683" s="3">
        <f t="shared" si="114"/>
        <v>2017</v>
      </c>
      <c r="C3683" s="3">
        <f t="shared" si="115"/>
        <v>10</v>
      </c>
      <c r="D3683" t="s">
        <v>2286</v>
      </c>
      <c r="E3683" t="s">
        <v>22</v>
      </c>
      <c r="F3683" t="s">
        <v>28</v>
      </c>
      <c r="G3683" t="s">
        <v>29</v>
      </c>
      <c r="H3683" t="s">
        <v>2354</v>
      </c>
      <c r="I3683" s="2">
        <v>18.98</v>
      </c>
      <c r="J3683" s="3">
        <v>2</v>
      </c>
      <c r="K3683" s="2">
        <v>8.92</v>
      </c>
    </row>
    <row r="3684" spans="1:11" x14ac:dyDescent="0.35">
      <c r="A3684" s="1">
        <v>43017</v>
      </c>
      <c r="B3684" s="3">
        <f t="shared" si="114"/>
        <v>2017</v>
      </c>
      <c r="C3684" s="3">
        <f t="shared" si="115"/>
        <v>10</v>
      </c>
      <c r="D3684" t="s">
        <v>2286</v>
      </c>
      <c r="E3684" t="s">
        <v>22</v>
      </c>
      <c r="F3684" t="s">
        <v>28</v>
      </c>
      <c r="G3684" t="s">
        <v>48</v>
      </c>
      <c r="H3684" t="s">
        <v>1279</v>
      </c>
      <c r="I3684" s="2">
        <v>18.239999999999998</v>
      </c>
      <c r="J3684" s="3">
        <v>6</v>
      </c>
      <c r="K3684" s="2">
        <v>6.16</v>
      </c>
    </row>
    <row r="3685" spans="1:11" x14ac:dyDescent="0.35">
      <c r="A3685" s="1">
        <v>43017</v>
      </c>
      <c r="B3685" s="3">
        <f t="shared" si="114"/>
        <v>2017</v>
      </c>
      <c r="C3685" s="3">
        <f t="shared" si="115"/>
        <v>10</v>
      </c>
      <c r="D3685" t="s">
        <v>691</v>
      </c>
      <c r="E3685" t="s">
        <v>32</v>
      </c>
      <c r="F3685" t="s">
        <v>28</v>
      </c>
      <c r="G3685" t="s">
        <v>64</v>
      </c>
      <c r="H3685" t="s">
        <v>997</v>
      </c>
      <c r="I3685" s="2">
        <v>67.14</v>
      </c>
      <c r="J3685" s="3">
        <v>7</v>
      </c>
      <c r="K3685" s="2">
        <v>5.88</v>
      </c>
    </row>
    <row r="3686" spans="1:11" x14ac:dyDescent="0.35">
      <c r="A3686" s="1">
        <v>43017</v>
      </c>
      <c r="B3686" s="3">
        <f t="shared" si="114"/>
        <v>2017</v>
      </c>
      <c r="C3686" s="3">
        <f t="shared" si="115"/>
        <v>10</v>
      </c>
      <c r="D3686" t="s">
        <v>691</v>
      </c>
      <c r="E3686" t="s">
        <v>32</v>
      </c>
      <c r="F3686" t="s">
        <v>18</v>
      </c>
      <c r="G3686" t="s">
        <v>19</v>
      </c>
      <c r="H3686" t="s">
        <v>2355</v>
      </c>
      <c r="I3686" s="2">
        <v>254.06</v>
      </c>
      <c r="J3686" s="3">
        <v>3</v>
      </c>
      <c r="K3686" s="2">
        <v>-32.659999999999997</v>
      </c>
    </row>
    <row r="3687" spans="1:11" x14ac:dyDescent="0.35">
      <c r="A3687" s="1">
        <v>43017</v>
      </c>
      <c r="B3687" s="3">
        <f t="shared" si="114"/>
        <v>2017</v>
      </c>
      <c r="C3687" s="3">
        <f t="shared" si="115"/>
        <v>10</v>
      </c>
      <c r="D3687" t="s">
        <v>571</v>
      </c>
      <c r="E3687" t="s">
        <v>45</v>
      </c>
      <c r="F3687" t="s">
        <v>28</v>
      </c>
      <c r="G3687" t="s">
        <v>29</v>
      </c>
      <c r="H3687" t="s">
        <v>2356</v>
      </c>
      <c r="I3687" s="2">
        <v>35.200000000000003</v>
      </c>
      <c r="J3687" s="3">
        <v>5</v>
      </c>
      <c r="K3687" s="2">
        <v>16.54</v>
      </c>
    </row>
    <row r="3688" spans="1:11" x14ac:dyDescent="0.35">
      <c r="A3688" s="1">
        <v>43048</v>
      </c>
      <c r="B3688" s="3">
        <f t="shared" si="114"/>
        <v>2017</v>
      </c>
      <c r="C3688" s="3">
        <f t="shared" si="115"/>
        <v>11</v>
      </c>
      <c r="D3688" t="s">
        <v>1369</v>
      </c>
      <c r="E3688" t="s">
        <v>22</v>
      </c>
      <c r="F3688" t="s">
        <v>18</v>
      </c>
      <c r="G3688" t="s">
        <v>36</v>
      </c>
      <c r="H3688" t="s">
        <v>83</v>
      </c>
      <c r="I3688" s="2">
        <v>96.53</v>
      </c>
      <c r="J3688" s="3">
        <v>7</v>
      </c>
      <c r="K3688" s="2">
        <v>40.54</v>
      </c>
    </row>
    <row r="3689" spans="1:11" x14ac:dyDescent="0.35">
      <c r="A3689" s="1">
        <v>43048</v>
      </c>
      <c r="B3689" s="3">
        <f t="shared" si="114"/>
        <v>2017</v>
      </c>
      <c r="C3689" s="3">
        <f t="shared" si="115"/>
        <v>11</v>
      </c>
      <c r="D3689" t="s">
        <v>1047</v>
      </c>
      <c r="E3689" t="s">
        <v>45</v>
      </c>
      <c r="F3689" t="s">
        <v>18</v>
      </c>
      <c r="G3689" t="s">
        <v>19</v>
      </c>
      <c r="H3689" t="s">
        <v>1708</v>
      </c>
      <c r="I3689" s="2">
        <v>215.98</v>
      </c>
      <c r="J3689" s="3">
        <v>3</v>
      </c>
      <c r="K3689" s="2">
        <v>-2.7</v>
      </c>
    </row>
    <row r="3690" spans="1:11" x14ac:dyDescent="0.35">
      <c r="A3690" s="1">
        <v>43048</v>
      </c>
      <c r="B3690" s="3">
        <f t="shared" si="114"/>
        <v>2017</v>
      </c>
      <c r="C3690" s="3">
        <f t="shared" si="115"/>
        <v>11</v>
      </c>
      <c r="D3690" t="s">
        <v>2087</v>
      </c>
      <c r="E3690" t="s">
        <v>45</v>
      </c>
      <c r="F3690" t="s">
        <v>28</v>
      </c>
      <c r="G3690" t="s">
        <v>38</v>
      </c>
      <c r="H3690" t="s">
        <v>389</v>
      </c>
      <c r="I3690" s="2">
        <v>63.56</v>
      </c>
      <c r="J3690" s="3">
        <v>2</v>
      </c>
      <c r="K3690" s="2">
        <v>3.18</v>
      </c>
    </row>
    <row r="3691" spans="1:11" x14ac:dyDescent="0.35">
      <c r="A3691" s="1">
        <v>43048</v>
      </c>
      <c r="B3691" s="3">
        <f t="shared" si="114"/>
        <v>2017</v>
      </c>
      <c r="C3691" s="3">
        <f t="shared" si="115"/>
        <v>11</v>
      </c>
      <c r="D3691" t="s">
        <v>2087</v>
      </c>
      <c r="E3691" t="s">
        <v>45</v>
      </c>
      <c r="F3691" t="s">
        <v>13</v>
      </c>
      <c r="G3691" t="s">
        <v>14</v>
      </c>
      <c r="H3691" t="s">
        <v>228</v>
      </c>
      <c r="I3691" s="2">
        <v>99.99</v>
      </c>
      <c r="J3691" s="3">
        <v>1</v>
      </c>
      <c r="K3691" s="2">
        <v>44</v>
      </c>
    </row>
    <row r="3692" spans="1:11" x14ac:dyDescent="0.35">
      <c r="A3692" s="1">
        <v>43048</v>
      </c>
      <c r="B3692" s="3">
        <f t="shared" si="114"/>
        <v>2017</v>
      </c>
      <c r="C3692" s="3">
        <f t="shared" si="115"/>
        <v>11</v>
      </c>
      <c r="D3692" t="s">
        <v>771</v>
      </c>
      <c r="E3692" t="s">
        <v>249</v>
      </c>
      <c r="F3692" t="s">
        <v>28</v>
      </c>
      <c r="G3692" t="s">
        <v>48</v>
      </c>
      <c r="H3692" t="s">
        <v>881</v>
      </c>
      <c r="I3692" s="2">
        <v>9.64</v>
      </c>
      <c r="J3692" s="3">
        <v>2</v>
      </c>
      <c r="K3692" s="2">
        <v>4.43</v>
      </c>
    </row>
    <row r="3693" spans="1:11" x14ac:dyDescent="0.35">
      <c r="A3693" s="1">
        <v>43048</v>
      </c>
      <c r="B3693" s="3">
        <f t="shared" si="114"/>
        <v>2017</v>
      </c>
      <c r="C3693" s="3">
        <f t="shared" si="115"/>
        <v>11</v>
      </c>
      <c r="D3693" t="s">
        <v>771</v>
      </c>
      <c r="E3693" t="s">
        <v>249</v>
      </c>
      <c r="F3693" t="s">
        <v>13</v>
      </c>
      <c r="G3693" t="s">
        <v>14</v>
      </c>
      <c r="H3693" t="s">
        <v>2142</v>
      </c>
      <c r="I3693" s="2">
        <v>826.62</v>
      </c>
      <c r="J3693" s="3">
        <v>3</v>
      </c>
      <c r="K3693" s="2">
        <v>355.45</v>
      </c>
    </row>
    <row r="3694" spans="1:11" x14ac:dyDescent="0.35">
      <c r="A3694" s="1">
        <v>43048</v>
      </c>
      <c r="B3694" s="3">
        <f t="shared" si="114"/>
        <v>2017</v>
      </c>
      <c r="C3694" s="3">
        <f t="shared" si="115"/>
        <v>11</v>
      </c>
      <c r="D3694" t="s">
        <v>771</v>
      </c>
      <c r="E3694" t="s">
        <v>249</v>
      </c>
      <c r="F3694" t="s">
        <v>28</v>
      </c>
      <c r="G3694" t="s">
        <v>38</v>
      </c>
      <c r="H3694" t="s">
        <v>231</v>
      </c>
      <c r="I3694" s="2">
        <v>1633.14</v>
      </c>
      <c r="J3694" s="3">
        <v>9</v>
      </c>
      <c r="K3694" s="2">
        <v>473.61</v>
      </c>
    </row>
    <row r="3695" spans="1:11" x14ac:dyDescent="0.35">
      <c r="A3695" s="1">
        <v>43048</v>
      </c>
      <c r="B3695" s="3">
        <f t="shared" si="114"/>
        <v>2017</v>
      </c>
      <c r="C3695" s="3">
        <f t="shared" si="115"/>
        <v>11</v>
      </c>
      <c r="D3695" t="s">
        <v>771</v>
      </c>
      <c r="E3695" t="s">
        <v>249</v>
      </c>
      <c r="F3695" t="s">
        <v>28</v>
      </c>
      <c r="G3695" t="s">
        <v>38</v>
      </c>
      <c r="H3695" t="s">
        <v>231</v>
      </c>
      <c r="I3695" s="2">
        <v>544.38</v>
      </c>
      <c r="J3695" s="3">
        <v>3</v>
      </c>
      <c r="K3695" s="2">
        <v>157.87</v>
      </c>
    </row>
    <row r="3696" spans="1:11" x14ac:dyDescent="0.35">
      <c r="A3696" s="1">
        <v>43048</v>
      </c>
      <c r="B3696" s="3">
        <f t="shared" si="114"/>
        <v>2017</v>
      </c>
      <c r="C3696" s="3">
        <f t="shared" si="115"/>
        <v>11</v>
      </c>
      <c r="D3696" t="s">
        <v>1674</v>
      </c>
      <c r="E3696" t="s">
        <v>45</v>
      </c>
      <c r="F3696" t="s">
        <v>18</v>
      </c>
      <c r="G3696" t="s">
        <v>36</v>
      </c>
      <c r="H3696" t="s">
        <v>886</v>
      </c>
      <c r="I3696" s="2">
        <v>47.12</v>
      </c>
      <c r="J3696" s="3">
        <v>8</v>
      </c>
      <c r="K3696" s="2">
        <v>20.73</v>
      </c>
    </row>
    <row r="3697" spans="1:11" x14ac:dyDescent="0.35">
      <c r="A3697" s="1">
        <v>43048</v>
      </c>
      <c r="B3697" s="3">
        <f t="shared" si="114"/>
        <v>2017</v>
      </c>
      <c r="C3697" s="3">
        <f t="shared" si="115"/>
        <v>11</v>
      </c>
      <c r="D3697" t="s">
        <v>1563</v>
      </c>
      <c r="E3697" t="s">
        <v>45</v>
      </c>
      <c r="F3697" t="s">
        <v>18</v>
      </c>
      <c r="G3697" t="s">
        <v>19</v>
      </c>
      <c r="H3697" t="s">
        <v>618</v>
      </c>
      <c r="I3697" s="2">
        <v>523.39</v>
      </c>
      <c r="J3697" s="3">
        <v>3</v>
      </c>
      <c r="K3697" s="2">
        <v>52.34</v>
      </c>
    </row>
    <row r="3698" spans="1:11" x14ac:dyDescent="0.35">
      <c r="A3698" s="1">
        <v>43048</v>
      </c>
      <c r="B3698" s="3">
        <f t="shared" si="114"/>
        <v>2017</v>
      </c>
      <c r="C3698" s="3">
        <f t="shared" si="115"/>
        <v>11</v>
      </c>
      <c r="D3698" t="s">
        <v>1973</v>
      </c>
      <c r="E3698" t="s">
        <v>77</v>
      </c>
      <c r="F3698" t="s">
        <v>13</v>
      </c>
      <c r="G3698" t="s">
        <v>14</v>
      </c>
      <c r="H3698" t="s">
        <v>1027</v>
      </c>
      <c r="I3698" s="2">
        <v>191.98</v>
      </c>
      <c r="J3698" s="3">
        <v>3</v>
      </c>
      <c r="K3698" s="2">
        <v>38.4</v>
      </c>
    </row>
    <row r="3699" spans="1:11" x14ac:dyDescent="0.35">
      <c r="A3699" s="1">
        <v>43048</v>
      </c>
      <c r="B3699" s="3">
        <f t="shared" si="114"/>
        <v>2017</v>
      </c>
      <c r="C3699" s="3">
        <f t="shared" si="115"/>
        <v>11</v>
      </c>
      <c r="D3699" t="s">
        <v>1973</v>
      </c>
      <c r="E3699" t="s">
        <v>77</v>
      </c>
      <c r="F3699" t="s">
        <v>13</v>
      </c>
      <c r="G3699" t="s">
        <v>23</v>
      </c>
      <c r="H3699" t="s">
        <v>1912</v>
      </c>
      <c r="I3699" s="2">
        <v>499.17</v>
      </c>
      <c r="J3699" s="3">
        <v>4</v>
      </c>
      <c r="K3699" s="2">
        <v>31.2</v>
      </c>
    </row>
    <row r="3700" spans="1:11" x14ac:dyDescent="0.35">
      <c r="A3700" s="1">
        <v>43078</v>
      </c>
      <c r="B3700" s="3">
        <f t="shared" si="114"/>
        <v>2017</v>
      </c>
      <c r="C3700" s="3">
        <f t="shared" si="115"/>
        <v>12</v>
      </c>
      <c r="D3700" t="s">
        <v>1514</v>
      </c>
      <c r="E3700" t="s">
        <v>32</v>
      </c>
      <c r="F3700" t="s">
        <v>28</v>
      </c>
      <c r="G3700" t="s">
        <v>48</v>
      </c>
      <c r="H3700" t="s">
        <v>2268</v>
      </c>
      <c r="I3700" s="2">
        <v>1.25</v>
      </c>
      <c r="J3700" s="3">
        <v>3</v>
      </c>
      <c r="K3700" s="2">
        <v>-1.93</v>
      </c>
    </row>
    <row r="3701" spans="1:11" x14ac:dyDescent="0.35">
      <c r="A3701" s="1">
        <v>43078</v>
      </c>
      <c r="B3701" s="3">
        <f t="shared" si="114"/>
        <v>2017</v>
      </c>
      <c r="C3701" s="3">
        <f t="shared" si="115"/>
        <v>12</v>
      </c>
      <c r="D3701" t="s">
        <v>1514</v>
      </c>
      <c r="E3701" t="s">
        <v>32</v>
      </c>
      <c r="F3701" t="s">
        <v>18</v>
      </c>
      <c r="G3701" t="s">
        <v>36</v>
      </c>
      <c r="H3701" t="s">
        <v>1800</v>
      </c>
      <c r="I3701" s="2">
        <v>9.7100000000000009</v>
      </c>
      <c r="J3701" s="3">
        <v>3</v>
      </c>
      <c r="K3701" s="2">
        <v>-5.82</v>
      </c>
    </row>
    <row r="3702" spans="1:11" x14ac:dyDescent="0.35">
      <c r="A3702" s="1">
        <v>43078</v>
      </c>
      <c r="B3702" s="3">
        <f t="shared" si="114"/>
        <v>2017</v>
      </c>
      <c r="C3702" s="3">
        <f t="shared" si="115"/>
        <v>12</v>
      </c>
      <c r="D3702" t="s">
        <v>1514</v>
      </c>
      <c r="E3702" t="s">
        <v>32</v>
      </c>
      <c r="F3702" t="s">
        <v>28</v>
      </c>
      <c r="G3702" t="s">
        <v>38</v>
      </c>
      <c r="H3702" t="s">
        <v>1980</v>
      </c>
      <c r="I3702" s="2">
        <v>27.24</v>
      </c>
      <c r="J3702" s="3">
        <v>3</v>
      </c>
      <c r="K3702" s="2">
        <v>2.72</v>
      </c>
    </row>
    <row r="3703" spans="1:11" x14ac:dyDescent="0.35">
      <c r="A3703" s="1">
        <v>43078</v>
      </c>
      <c r="B3703" s="3">
        <f t="shared" si="114"/>
        <v>2017</v>
      </c>
      <c r="C3703" s="3">
        <f t="shared" si="115"/>
        <v>12</v>
      </c>
      <c r="D3703" t="s">
        <v>1615</v>
      </c>
      <c r="E3703" t="s">
        <v>45</v>
      </c>
      <c r="F3703" t="s">
        <v>13</v>
      </c>
      <c r="G3703" t="s">
        <v>23</v>
      </c>
      <c r="H3703" t="s">
        <v>1699</v>
      </c>
      <c r="I3703" s="2">
        <v>444.77</v>
      </c>
      <c r="J3703" s="3">
        <v>4</v>
      </c>
      <c r="K3703" s="2">
        <v>44.48</v>
      </c>
    </row>
    <row r="3704" spans="1:11" x14ac:dyDescent="0.35">
      <c r="A3704" s="1">
        <v>43078</v>
      </c>
      <c r="B3704" s="3">
        <f t="shared" si="114"/>
        <v>2017</v>
      </c>
      <c r="C3704" s="3">
        <f t="shared" si="115"/>
        <v>12</v>
      </c>
      <c r="D3704" t="s">
        <v>1723</v>
      </c>
      <c r="E3704" t="s">
        <v>131</v>
      </c>
      <c r="F3704" t="s">
        <v>28</v>
      </c>
      <c r="G3704" t="s">
        <v>38</v>
      </c>
      <c r="H3704" t="s">
        <v>363</v>
      </c>
      <c r="I3704" s="2">
        <v>37.21</v>
      </c>
      <c r="J3704" s="3">
        <v>1</v>
      </c>
      <c r="K3704" s="2">
        <v>-7.44</v>
      </c>
    </row>
    <row r="3705" spans="1:11" x14ac:dyDescent="0.35">
      <c r="A3705" s="1">
        <v>43078</v>
      </c>
      <c r="B3705" s="3">
        <f t="shared" si="114"/>
        <v>2017</v>
      </c>
      <c r="C3705" s="3">
        <f t="shared" si="115"/>
        <v>12</v>
      </c>
      <c r="D3705" t="s">
        <v>1723</v>
      </c>
      <c r="E3705" t="s">
        <v>131</v>
      </c>
      <c r="F3705" t="s">
        <v>28</v>
      </c>
      <c r="G3705" t="s">
        <v>158</v>
      </c>
      <c r="H3705" t="s">
        <v>2357</v>
      </c>
      <c r="I3705" s="2">
        <v>57.58</v>
      </c>
      <c r="J3705" s="3">
        <v>3</v>
      </c>
      <c r="K3705" s="2">
        <v>21.59</v>
      </c>
    </row>
    <row r="3706" spans="1:11" x14ac:dyDescent="0.35">
      <c r="A3706" s="1">
        <v>43078</v>
      </c>
      <c r="B3706" s="3">
        <f t="shared" si="114"/>
        <v>2017</v>
      </c>
      <c r="C3706" s="3">
        <f t="shared" si="115"/>
        <v>12</v>
      </c>
      <c r="D3706" t="s">
        <v>1354</v>
      </c>
      <c r="E3706" t="s">
        <v>71</v>
      </c>
      <c r="F3706" t="s">
        <v>18</v>
      </c>
      <c r="G3706" t="s">
        <v>19</v>
      </c>
      <c r="H3706" t="s">
        <v>1686</v>
      </c>
      <c r="I3706" s="2">
        <v>872.94</v>
      </c>
      <c r="J3706" s="3">
        <v>3</v>
      </c>
      <c r="K3706" s="2">
        <v>226.96</v>
      </c>
    </row>
    <row r="3707" spans="1:11" x14ac:dyDescent="0.35">
      <c r="A3707" s="1">
        <v>43078</v>
      </c>
      <c r="B3707" s="3">
        <f t="shared" si="114"/>
        <v>2017</v>
      </c>
      <c r="C3707" s="3">
        <f t="shared" si="115"/>
        <v>12</v>
      </c>
      <c r="D3707" t="s">
        <v>1354</v>
      </c>
      <c r="E3707" t="s">
        <v>71</v>
      </c>
      <c r="F3707" t="s">
        <v>28</v>
      </c>
      <c r="G3707" t="s">
        <v>48</v>
      </c>
      <c r="H3707" t="s">
        <v>553</v>
      </c>
      <c r="I3707" s="2">
        <v>41.54</v>
      </c>
      <c r="J3707" s="3">
        <v>2</v>
      </c>
      <c r="K3707" s="2">
        <v>19.52</v>
      </c>
    </row>
    <row r="3708" spans="1:11" x14ac:dyDescent="0.35">
      <c r="A3708" s="1">
        <v>43078</v>
      </c>
      <c r="B3708" s="3">
        <f t="shared" si="114"/>
        <v>2017</v>
      </c>
      <c r="C3708" s="3">
        <f t="shared" si="115"/>
        <v>12</v>
      </c>
      <c r="D3708" t="s">
        <v>1354</v>
      </c>
      <c r="E3708" t="s">
        <v>71</v>
      </c>
      <c r="F3708" t="s">
        <v>28</v>
      </c>
      <c r="G3708" t="s">
        <v>29</v>
      </c>
      <c r="H3708" t="s">
        <v>1244</v>
      </c>
      <c r="I3708" s="2">
        <v>12.96</v>
      </c>
      <c r="J3708" s="3">
        <v>2</v>
      </c>
      <c r="K3708" s="2">
        <v>6.22</v>
      </c>
    </row>
    <row r="3709" spans="1:11" x14ac:dyDescent="0.35">
      <c r="A3709" s="1">
        <v>43078</v>
      </c>
      <c r="B3709" s="3">
        <f t="shared" si="114"/>
        <v>2017</v>
      </c>
      <c r="C3709" s="3">
        <f t="shared" si="115"/>
        <v>12</v>
      </c>
      <c r="D3709" t="s">
        <v>1649</v>
      </c>
      <c r="E3709" t="s">
        <v>575</v>
      </c>
      <c r="F3709" t="s">
        <v>28</v>
      </c>
      <c r="G3709" t="s">
        <v>29</v>
      </c>
      <c r="H3709" t="s">
        <v>2024</v>
      </c>
      <c r="I3709" s="2">
        <v>33.450000000000003</v>
      </c>
      <c r="J3709" s="3">
        <v>5</v>
      </c>
      <c r="K3709" s="2">
        <v>15.39</v>
      </c>
    </row>
    <row r="3710" spans="1:11" x14ac:dyDescent="0.35">
      <c r="A3710" s="1">
        <v>43078</v>
      </c>
      <c r="B3710" s="3">
        <f t="shared" si="114"/>
        <v>2017</v>
      </c>
      <c r="C3710" s="3">
        <f t="shared" si="115"/>
        <v>12</v>
      </c>
      <c r="D3710" t="s">
        <v>1649</v>
      </c>
      <c r="E3710" t="s">
        <v>575</v>
      </c>
      <c r="F3710" t="s">
        <v>28</v>
      </c>
      <c r="G3710" t="s">
        <v>48</v>
      </c>
      <c r="H3710" t="s">
        <v>2268</v>
      </c>
      <c r="I3710" s="2">
        <v>10.4</v>
      </c>
      <c r="J3710" s="3">
        <v>5</v>
      </c>
      <c r="K3710" s="2">
        <v>5.0999999999999996</v>
      </c>
    </row>
    <row r="3711" spans="1:11" x14ac:dyDescent="0.35">
      <c r="A3711" s="1">
        <v>43078</v>
      </c>
      <c r="B3711" s="3">
        <f t="shared" si="114"/>
        <v>2017</v>
      </c>
      <c r="C3711" s="3">
        <f t="shared" si="115"/>
        <v>12</v>
      </c>
      <c r="D3711" t="s">
        <v>1317</v>
      </c>
      <c r="E3711" t="s">
        <v>89</v>
      </c>
      <c r="F3711" t="s">
        <v>28</v>
      </c>
      <c r="G3711" t="s">
        <v>64</v>
      </c>
      <c r="H3711" t="s">
        <v>433</v>
      </c>
      <c r="I3711" s="2">
        <v>2.62</v>
      </c>
      <c r="J3711" s="3">
        <v>1</v>
      </c>
      <c r="K3711" s="2">
        <v>0.43</v>
      </c>
    </row>
    <row r="3712" spans="1:11" x14ac:dyDescent="0.35">
      <c r="A3712" s="1">
        <v>43078</v>
      </c>
      <c r="B3712" s="3">
        <f t="shared" si="114"/>
        <v>2017</v>
      </c>
      <c r="C3712" s="3">
        <f t="shared" si="115"/>
        <v>12</v>
      </c>
      <c r="D3712" t="s">
        <v>1853</v>
      </c>
      <c r="E3712" t="s">
        <v>71</v>
      </c>
      <c r="F3712" t="s">
        <v>13</v>
      </c>
      <c r="G3712" t="s">
        <v>14</v>
      </c>
      <c r="H3712" t="s">
        <v>2358</v>
      </c>
      <c r="I3712" s="2">
        <v>104.88</v>
      </c>
      <c r="J3712" s="3">
        <v>6</v>
      </c>
      <c r="K3712" s="2">
        <v>41.95</v>
      </c>
    </row>
    <row r="3713" spans="1:11" x14ac:dyDescent="0.35">
      <c r="A3713" s="1">
        <v>43078</v>
      </c>
      <c r="B3713" s="3">
        <f t="shared" si="114"/>
        <v>2017</v>
      </c>
      <c r="C3713" s="3">
        <f t="shared" si="115"/>
        <v>12</v>
      </c>
      <c r="D3713" t="s">
        <v>1853</v>
      </c>
      <c r="E3713" t="s">
        <v>71</v>
      </c>
      <c r="F3713" t="s">
        <v>28</v>
      </c>
      <c r="G3713" t="s">
        <v>64</v>
      </c>
      <c r="H3713" t="s">
        <v>2359</v>
      </c>
      <c r="I3713" s="2">
        <v>34.700000000000003</v>
      </c>
      <c r="J3713" s="3">
        <v>5</v>
      </c>
      <c r="K3713" s="2">
        <v>12.49</v>
      </c>
    </row>
    <row r="3714" spans="1:11" x14ac:dyDescent="0.35">
      <c r="A3714" s="1">
        <v>43078</v>
      </c>
      <c r="B3714" s="3">
        <f t="shared" ref="B3714:B3777" si="116">YEAR(A3714)</f>
        <v>2017</v>
      </c>
      <c r="C3714" s="3">
        <f t="shared" ref="C3714:C3777" si="117">MONTH(A3714)</f>
        <v>12</v>
      </c>
      <c r="D3714" t="s">
        <v>1853</v>
      </c>
      <c r="E3714" t="s">
        <v>71</v>
      </c>
      <c r="F3714" t="s">
        <v>28</v>
      </c>
      <c r="G3714" t="s">
        <v>48</v>
      </c>
      <c r="H3714" t="s">
        <v>1903</v>
      </c>
      <c r="I3714" s="2">
        <v>33.72</v>
      </c>
      <c r="J3714" s="3">
        <v>4</v>
      </c>
      <c r="K3714" s="2">
        <v>15.51</v>
      </c>
    </row>
    <row r="3715" spans="1:11" x14ac:dyDescent="0.35">
      <c r="A3715" s="1">
        <v>43078</v>
      </c>
      <c r="B3715" s="3">
        <f t="shared" si="116"/>
        <v>2017</v>
      </c>
      <c r="C3715" s="3">
        <f t="shared" si="117"/>
        <v>12</v>
      </c>
      <c r="D3715" t="s">
        <v>1853</v>
      </c>
      <c r="E3715" t="s">
        <v>71</v>
      </c>
      <c r="F3715" t="s">
        <v>28</v>
      </c>
      <c r="G3715" t="s">
        <v>29</v>
      </c>
      <c r="H3715" t="s">
        <v>123</v>
      </c>
      <c r="I3715" s="2">
        <v>14.94</v>
      </c>
      <c r="J3715" s="3">
        <v>3</v>
      </c>
      <c r="K3715" s="2">
        <v>7.02</v>
      </c>
    </row>
    <row r="3716" spans="1:11" x14ac:dyDescent="0.35">
      <c r="A3716" s="1">
        <v>43078</v>
      </c>
      <c r="B3716" s="3">
        <f t="shared" si="116"/>
        <v>2017</v>
      </c>
      <c r="C3716" s="3">
        <f t="shared" si="117"/>
        <v>12</v>
      </c>
      <c r="D3716" t="s">
        <v>2273</v>
      </c>
      <c r="E3716" t="s">
        <v>26</v>
      </c>
      <c r="F3716" t="s">
        <v>28</v>
      </c>
      <c r="G3716" t="s">
        <v>29</v>
      </c>
      <c r="H3716" t="s">
        <v>1956</v>
      </c>
      <c r="I3716" s="2">
        <v>15.98</v>
      </c>
      <c r="J3716" s="3">
        <v>2</v>
      </c>
      <c r="K3716" s="2">
        <v>5</v>
      </c>
    </row>
    <row r="3717" spans="1:11" x14ac:dyDescent="0.35">
      <c r="A3717" s="1">
        <v>43078</v>
      </c>
      <c r="B3717" s="3">
        <f t="shared" si="116"/>
        <v>2017</v>
      </c>
      <c r="C3717" s="3">
        <f t="shared" si="117"/>
        <v>12</v>
      </c>
      <c r="D3717" t="s">
        <v>1330</v>
      </c>
      <c r="E3717" t="s">
        <v>45</v>
      </c>
      <c r="F3717" t="s">
        <v>28</v>
      </c>
      <c r="G3717" t="s">
        <v>64</v>
      </c>
      <c r="H3717" t="s">
        <v>1450</v>
      </c>
      <c r="I3717" s="2">
        <v>11.16</v>
      </c>
      <c r="J3717" s="3">
        <v>2</v>
      </c>
      <c r="K3717" s="2">
        <v>2.79</v>
      </c>
    </row>
    <row r="3718" spans="1:11" x14ac:dyDescent="0.35">
      <c r="A3718" s="1">
        <v>43078</v>
      </c>
      <c r="B3718" s="3">
        <f t="shared" si="116"/>
        <v>2017</v>
      </c>
      <c r="C3718" s="3">
        <f t="shared" si="117"/>
        <v>12</v>
      </c>
      <c r="D3718" t="s">
        <v>1330</v>
      </c>
      <c r="E3718" t="s">
        <v>45</v>
      </c>
      <c r="F3718" t="s">
        <v>18</v>
      </c>
      <c r="G3718" t="s">
        <v>42</v>
      </c>
      <c r="H3718" t="s">
        <v>672</v>
      </c>
      <c r="I3718" s="2">
        <v>896.33</v>
      </c>
      <c r="J3718" s="3">
        <v>9</v>
      </c>
      <c r="K3718" s="2">
        <v>22.41</v>
      </c>
    </row>
    <row r="3719" spans="1:11" x14ac:dyDescent="0.35">
      <c r="A3719" s="1">
        <v>43078</v>
      </c>
      <c r="B3719" s="3">
        <f t="shared" si="116"/>
        <v>2017</v>
      </c>
      <c r="C3719" s="3">
        <f t="shared" si="117"/>
        <v>12</v>
      </c>
      <c r="D3719" t="s">
        <v>1330</v>
      </c>
      <c r="E3719" t="s">
        <v>45</v>
      </c>
      <c r="F3719" t="s">
        <v>28</v>
      </c>
      <c r="G3719" t="s">
        <v>58</v>
      </c>
      <c r="H3719" t="s">
        <v>2360</v>
      </c>
      <c r="I3719" s="2">
        <v>189</v>
      </c>
      <c r="J3719" s="3">
        <v>1</v>
      </c>
      <c r="K3719" s="2">
        <v>68.040000000000006</v>
      </c>
    </row>
    <row r="3720" spans="1:11" x14ac:dyDescent="0.35">
      <c r="A3720" s="1">
        <v>43078</v>
      </c>
      <c r="B3720" s="3">
        <f t="shared" si="116"/>
        <v>2017</v>
      </c>
      <c r="C3720" s="3">
        <f t="shared" si="117"/>
        <v>12</v>
      </c>
      <c r="D3720" t="s">
        <v>96</v>
      </c>
      <c r="E3720" t="s">
        <v>26</v>
      </c>
      <c r="F3720" t="s">
        <v>28</v>
      </c>
      <c r="G3720" t="s">
        <v>29</v>
      </c>
      <c r="H3720" t="s">
        <v>293</v>
      </c>
      <c r="I3720" s="2">
        <v>143.86000000000001</v>
      </c>
      <c r="J3720" s="3">
        <v>9</v>
      </c>
      <c r="K3720" s="2">
        <v>48.55</v>
      </c>
    </row>
    <row r="3721" spans="1:11" x14ac:dyDescent="0.35">
      <c r="A3721" s="1">
        <v>43078</v>
      </c>
      <c r="B3721" s="3">
        <f t="shared" si="116"/>
        <v>2017</v>
      </c>
      <c r="C3721" s="3">
        <f t="shared" si="117"/>
        <v>12</v>
      </c>
      <c r="D3721" t="s">
        <v>2101</v>
      </c>
      <c r="E3721" t="s">
        <v>211</v>
      </c>
      <c r="F3721" t="s">
        <v>28</v>
      </c>
      <c r="G3721" t="s">
        <v>29</v>
      </c>
      <c r="H3721" t="s">
        <v>1767</v>
      </c>
      <c r="I3721" s="2">
        <v>419.4</v>
      </c>
      <c r="J3721" s="3">
        <v>5</v>
      </c>
      <c r="K3721" s="2">
        <v>146.79</v>
      </c>
    </row>
    <row r="3722" spans="1:11" x14ac:dyDescent="0.35">
      <c r="A3722" s="1">
        <v>43078</v>
      </c>
      <c r="B3722" s="3">
        <f t="shared" si="116"/>
        <v>2017</v>
      </c>
      <c r="C3722" s="3">
        <f t="shared" si="117"/>
        <v>12</v>
      </c>
      <c r="D3722" t="s">
        <v>2101</v>
      </c>
      <c r="E3722" t="s">
        <v>211</v>
      </c>
      <c r="F3722" t="s">
        <v>28</v>
      </c>
      <c r="G3722" t="s">
        <v>48</v>
      </c>
      <c r="H3722" t="s">
        <v>2266</v>
      </c>
      <c r="I3722" s="2">
        <v>13.01</v>
      </c>
      <c r="J3722" s="3">
        <v>3</v>
      </c>
      <c r="K3722" s="2">
        <v>-9.9700000000000006</v>
      </c>
    </row>
    <row r="3723" spans="1:11" x14ac:dyDescent="0.35">
      <c r="A3723" s="1">
        <v>43078</v>
      </c>
      <c r="B3723" s="3">
        <f t="shared" si="116"/>
        <v>2017</v>
      </c>
      <c r="C3723" s="3">
        <f t="shared" si="117"/>
        <v>12</v>
      </c>
      <c r="D3723" t="s">
        <v>1645</v>
      </c>
      <c r="E3723" t="s">
        <v>45</v>
      </c>
      <c r="F3723" t="s">
        <v>18</v>
      </c>
      <c r="G3723" t="s">
        <v>237</v>
      </c>
      <c r="H3723" t="s">
        <v>2295</v>
      </c>
      <c r="I3723" s="2">
        <v>148.26</v>
      </c>
      <c r="J3723" s="3">
        <v>3</v>
      </c>
      <c r="K3723" s="2">
        <v>15.7</v>
      </c>
    </row>
    <row r="3724" spans="1:11" x14ac:dyDescent="0.35">
      <c r="A3724" s="1">
        <v>43078</v>
      </c>
      <c r="B3724" s="3">
        <f t="shared" si="116"/>
        <v>2017</v>
      </c>
      <c r="C3724" s="3">
        <f t="shared" si="117"/>
        <v>12</v>
      </c>
      <c r="D3724" t="s">
        <v>621</v>
      </c>
      <c r="E3724" t="s">
        <v>118</v>
      </c>
      <c r="F3724" t="s">
        <v>28</v>
      </c>
      <c r="G3724" t="s">
        <v>48</v>
      </c>
      <c r="H3724" t="s">
        <v>1039</v>
      </c>
      <c r="I3724" s="2">
        <v>29.36</v>
      </c>
      <c r="J3724" s="3">
        <v>2</v>
      </c>
      <c r="K3724" s="2">
        <v>13.51</v>
      </c>
    </row>
    <row r="3725" spans="1:11" x14ac:dyDescent="0.35">
      <c r="A3725" s="1">
        <v>43078</v>
      </c>
      <c r="B3725" s="3">
        <f t="shared" si="116"/>
        <v>2017</v>
      </c>
      <c r="C3725" s="3">
        <f t="shared" si="117"/>
        <v>12</v>
      </c>
      <c r="D3725" t="s">
        <v>621</v>
      </c>
      <c r="E3725" t="s">
        <v>118</v>
      </c>
      <c r="F3725" t="s">
        <v>28</v>
      </c>
      <c r="G3725" t="s">
        <v>58</v>
      </c>
      <c r="H3725" t="s">
        <v>1704</v>
      </c>
      <c r="I3725" s="2">
        <v>214.9</v>
      </c>
      <c r="J3725" s="3">
        <v>5</v>
      </c>
      <c r="K3725" s="2">
        <v>62.32</v>
      </c>
    </row>
    <row r="3726" spans="1:11" x14ac:dyDescent="0.35">
      <c r="A3726" s="1">
        <v>43078</v>
      </c>
      <c r="B3726" s="3">
        <f t="shared" si="116"/>
        <v>2017</v>
      </c>
      <c r="C3726" s="3">
        <f t="shared" si="117"/>
        <v>12</v>
      </c>
      <c r="D3726" t="s">
        <v>621</v>
      </c>
      <c r="E3726" t="s">
        <v>118</v>
      </c>
      <c r="F3726" t="s">
        <v>28</v>
      </c>
      <c r="G3726" t="s">
        <v>48</v>
      </c>
      <c r="H3726" t="s">
        <v>1189</v>
      </c>
      <c r="I3726" s="2">
        <v>15.92</v>
      </c>
      <c r="J3726" s="3">
        <v>4</v>
      </c>
      <c r="K3726" s="2">
        <v>7.48</v>
      </c>
    </row>
    <row r="3727" spans="1:11" x14ac:dyDescent="0.35">
      <c r="A3727" s="1">
        <v>43078</v>
      </c>
      <c r="B3727" s="3">
        <f t="shared" si="116"/>
        <v>2017</v>
      </c>
      <c r="C3727" s="3">
        <f t="shared" si="117"/>
        <v>12</v>
      </c>
      <c r="D3727" t="s">
        <v>621</v>
      </c>
      <c r="E3727" t="s">
        <v>118</v>
      </c>
      <c r="F3727" t="s">
        <v>13</v>
      </c>
      <c r="G3727" t="s">
        <v>14</v>
      </c>
      <c r="H3727" t="s">
        <v>910</v>
      </c>
      <c r="I3727" s="2">
        <v>146.44999999999999</v>
      </c>
      <c r="J3727" s="3">
        <v>5</v>
      </c>
      <c r="K3727" s="2">
        <v>48.33</v>
      </c>
    </row>
    <row r="3728" spans="1:11" x14ac:dyDescent="0.35">
      <c r="A3728" s="1">
        <v>43078</v>
      </c>
      <c r="B3728" s="3">
        <f t="shared" si="116"/>
        <v>2017</v>
      </c>
      <c r="C3728" s="3">
        <f t="shared" si="117"/>
        <v>12</v>
      </c>
      <c r="D3728" t="s">
        <v>621</v>
      </c>
      <c r="E3728" t="s">
        <v>118</v>
      </c>
      <c r="F3728" t="s">
        <v>28</v>
      </c>
      <c r="G3728" t="s">
        <v>38</v>
      </c>
      <c r="H3728" t="s">
        <v>1182</v>
      </c>
      <c r="I3728" s="2">
        <v>15.14</v>
      </c>
      <c r="J3728" s="3">
        <v>1</v>
      </c>
      <c r="K3728" s="2">
        <v>0.61</v>
      </c>
    </row>
    <row r="3729" spans="1:11" x14ac:dyDescent="0.35">
      <c r="A3729" s="1">
        <v>43078</v>
      </c>
      <c r="B3729" s="3">
        <f t="shared" si="116"/>
        <v>2017</v>
      </c>
      <c r="C3729" s="3">
        <f t="shared" si="117"/>
        <v>12</v>
      </c>
      <c r="D3729" t="s">
        <v>621</v>
      </c>
      <c r="E3729" t="s">
        <v>118</v>
      </c>
      <c r="F3729" t="s">
        <v>28</v>
      </c>
      <c r="G3729" t="s">
        <v>46</v>
      </c>
      <c r="H3729" t="s">
        <v>741</v>
      </c>
      <c r="I3729" s="2">
        <v>5.76</v>
      </c>
      <c r="J3729" s="3">
        <v>2</v>
      </c>
      <c r="K3729" s="2">
        <v>2.65</v>
      </c>
    </row>
    <row r="3730" spans="1:11" x14ac:dyDescent="0.35">
      <c r="A3730" s="1">
        <v>43078</v>
      </c>
      <c r="B3730" s="3">
        <f t="shared" si="116"/>
        <v>2017</v>
      </c>
      <c r="C3730" s="3">
        <f t="shared" si="117"/>
        <v>12</v>
      </c>
      <c r="D3730" t="s">
        <v>621</v>
      </c>
      <c r="E3730" t="s">
        <v>118</v>
      </c>
      <c r="F3730" t="s">
        <v>13</v>
      </c>
      <c r="G3730" t="s">
        <v>143</v>
      </c>
      <c r="H3730" t="s">
        <v>563</v>
      </c>
      <c r="I3730" s="2">
        <v>1399.98</v>
      </c>
      <c r="J3730" s="3">
        <v>2</v>
      </c>
      <c r="K3730" s="2">
        <v>629.99</v>
      </c>
    </row>
    <row r="3731" spans="1:11" x14ac:dyDescent="0.35">
      <c r="A3731" s="1">
        <v>43078</v>
      </c>
      <c r="B3731" s="3">
        <f t="shared" si="116"/>
        <v>2017</v>
      </c>
      <c r="C3731" s="3">
        <f t="shared" si="117"/>
        <v>12</v>
      </c>
      <c r="D3731" t="s">
        <v>219</v>
      </c>
      <c r="E3731" t="s">
        <v>89</v>
      </c>
      <c r="F3731" t="s">
        <v>28</v>
      </c>
      <c r="G3731" t="s">
        <v>48</v>
      </c>
      <c r="H3731" t="s">
        <v>1294</v>
      </c>
      <c r="I3731" s="2">
        <v>11.09</v>
      </c>
      <c r="J3731" s="3">
        <v>7</v>
      </c>
      <c r="K3731" s="2">
        <v>-8.1300000000000008</v>
      </c>
    </row>
    <row r="3732" spans="1:11" x14ac:dyDescent="0.35">
      <c r="A3732" s="1">
        <v>43078</v>
      </c>
      <c r="B3732" s="3">
        <f t="shared" si="116"/>
        <v>2017</v>
      </c>
      <c r="C3732" s="3">
        <f t="shared" si="117"/>
        <v>12</v>
      </c>
      <c r="D3732" t="s">
        <v>1012</v>
      </c>
      <c r="E3732" t="s">
        <v>71</v>
      </c>
      <c r="F3732" t="s">
        <v>28</v>
      </c>
      <c r="G3732" t="s">
        <v>48</v>
      </c>
      <c r="H3732" t="s">
        <v>2361</v>
      </c>
      <c r="I3732" s="2">
        <v>54.9</v>
      </c>
      <c r="J3732" s="3">
        <v>5</v>
      </c>
      <c r="K3732" s="2">
        <v>26.9</v>
      </c>
    </row>
    <row r="3733" spans="1:11" x14ac:dyDescent="0.35">
      <c r="A3733" s="1">
        <v>42776</v>
      </c>
      <c r="B3733" s="3">
        <f t="shared" si="116"/>
        <v>2017</v>
      </c>
      <c r="C3733" s="3">
        <f t="shared" si="117"/>
        <v>2</v>
      </c>
      <c r="D3733" t="s">
        <v>1352</v>
      </c>
      <c r="E3733" t="s">
        <v>45</v>
      </c>
      <c r="F3733" t="s">
        <v>18</v>
      </c>
      <c r="G3733" t="s">
        <v>237</v>
      </c>
      <c r="H3733" t="s">
        <v>1826</v>
      </c>
      <c r="I3733" s="2">
        <v>203.98</v>
      </c>
      <c r="J3733" s="3">
        <v>2</v>
      </c>
      <c r="K3733" s="2">
        <v>16.8</v>
      </c>
    </row>
    <row r="3734" spans="1:11" x14ac:dyDescent="0.35">
      <c r="A3734" s="1">
        <v>42776</v>
      </c>
      <c r="B3734" s="3">
        <f t="shared" si="116"/>
        <v>2017</v>
      </c>
      <c r="C3734" s="3">
        <f t="shared" si="117"/>
        <v>2</v>
      </c>
      <c r="D3734" t="s">
        <v>918</v>
      </c>
      <c r="E3734" t="s">
        <v>249</v>
      </c>
      <c r="F3734" t="s">
        <v>28</v>
      </c>
      <c r="G3734" t="s">
        <v>29</v>
      </c>
      <c r="H3734" t="s">
        <v>1621</v>
      </c>
      <c r="I3734" s="2">
        <v>23.12</v>
      </c>
      <c r="J3734" s="3">
        <v>4</v>
      </c>
      <c r="K3734" s="2">
        <v>11.33</v>
      </c>
    </row>
    <row r="3735" spans="1:11" x14ac:dyDescent="0.35">
      <c r="A3735" s="1">
        <v>42804</v>
      </c>
      <c r="B3735" s="3">
        <f t="shared" si="116"/>
        <v>2017</v>
      </c>
      <c r="C3735" s="3">
        <f t="shared" si="117"/>
        <v>3</v>
      </c>
      <c r="D3735" t="s">
        <v>2362</v>
      </c>
      <c r="E3735" t="s">
        <v>89</v>
      </c>
      <c r="F3735" t="s">
        <v>28</v>
      </c>
      <c r="G3735" t="s">
        <v>64</v>
      </c>
      <c r="H3735" t="s">
        <v>1824</v>
      </c>
      <c r="I3735" s="2">
        <v>5.25</v>
      </c>
      <c r="J3735" s="3">
        <v>2</v>
      </c>
      <c r="K3735" s="2">
        <v>0.59</v>
      </c>
    </row>
    <row r="3736" spans="1:11" x14ac:dyDescent="0.35">
      <c r="A3736" s="1">
        <v>42804</v>
      </c>
      <c r="B3736" s="3">
        <f t="shared" si="116"/>
        <v>2017</v>
      </c>
      <c r="C3736" s="3">
        <f t="shared" si="117"/>
        <v>3</v>
      </c>
      <c r="D3736" t="s">
        <v>2362</v>
      </c>
      <c r="E3736" t="s">
        <v>89</v>
      </c>
      <c r="F3736" t="s">
        <v>13</v>
      </c>
      <c r="G3736" t="s">
        <v>23</v>
      </c>
      <c r="H3736" t="s">
        <v>1265</v>
      </c>
      <c r="I3736" s="2">
        <v>35.909999999999997</v>
      </c>
      <c r="J3736" s="3">
        <v>3</v>
      </c>
      <c r="K3736" s="2">
        <v>-8.3800000000000008</v>
      </c>
    </row>
    <row r="3737" spans="1:11" x14ac:dyDescent="0.35">
      <c r="A3737" s="1">
        <v>42804</v>
      </c>
      <c r="B3737" s="3">
        <f t="shared" si="116"/>
        <v>2017</v>
      </c>
      <c r="C3737" s="3">
        <f t="shared" si="117"/>
        <v>3</v>
      </c>
      <c r="D3737" t="s">
        <v>2362</v>
      </c>
      <c r="E3737" t="s">
        <v>89</v>
      </c>
      <c r="F3737" t="s">
        <v>18</v>
      </c>
      <c r="G3737" t="s">
        <v>36</v>
      </c>
      <c r="H3737" t="s">
        <v>850</v>
      </c>
      <c r="I3737" s="2">
        <v>6.7</v>
      </c>
      <c r="J3737" s="3">
        <v>1</v>
      </c>
      <c r="K3737" s="2">
        <v>0.5</v>
      </c>
    </row>
    <row r="3738" spans="1:11" x14ac:dyDescent="0.35">
      <c r="A3738" s="1">
        <v>42804</v>
      </c>
      <c r="B3738" s="3">
        <f t="shared" si="116"/>
        <v>2017</v>
      </c>
      <c r="C3738" s="3">
        <f t="shared" si="117"/>
        <v>3</v>
      </c>
      <c r="D3738" t="s">
        <v>2362</v>
      </c>
      <c r="E3738" t="s">
        <v>89</v>
      </c>
      <c r="F3738" t="s">
        <v>18</v>
      </c>
      <c r="G3738" t="s">
        <v>36</v>
      </c>
      <c r="H3738" t="s">
        <v>2329</v>
      </c>
      <c r="I3738" s="2">
        <v>43.87</v>
      </c>
      <c r="J3738" s="3">
        <v>2</v>
      </c>
      <c r="K3738" s="2">
        <v>11.52</v>
      </c>
    </row>
    <row r="3739" spans="1:11" x14ac:dyDescent="0.35">
      <c r="A3739" s="1">
        <v>42804</v>
      </c>
      <c r="B3739" s="3">
        <f t="shared" si="116"/>
        <v>2017</v>
      </c>
      <c r="C3739" s="3">
        <f t="shared" si="117"/>
        <v>3</v>
      </c>
      <c r="D3739" t="s">
        <v>450</v>
      </c>
      <c r="E3739" t="s">
        <v>89</v>
      </c>
      <c r="F3739" t="s">
        <v>13</v>
      </c>
      <c r="G3739" t="s">
        <v>23</v>
      </c>
      <c r="H3739" t="s">
        <v>1459</v>
      </c>
      <c r="I3739" s="2">
        <v>53.98</v>
      </c>
      <c r="J3739" s="3">
        <v>3</v>
      </c>
      <c r="K3739" s="2">
        <v>-10.8</v>
      </c>
    </row>
    <row r="3740" spans="1:11" x14ac:dyDescent="0.35">
      <c r="A3740" s="1">
        <v>42804</v>
      </c>
      <c r="B3740" s="3">
        <f t="shared" si="116"/>
        <v>2017</v>
      </c>
      <c r="C3740" s="3">
        <f t="shared" si="117"/>
        <v>3</v>
      </c>
      <c r="D3740" t="s">
        <v>2363</v>
      </c>
      <c r="E3740" t="s">
        <v>81</v>
      </c>
      <c r="F3740" t="s">
        <v>28</v>
      </c>
      <c r="G3740" t="s">
        <v>58</v>
      </c>
      <c r="H3740" t="s">
        <v>1992</v>
      </c>
      <c r="I3740" s="2">
        <v>48.78</v>
      </c>
      <c r="J3740" s="3">
        <v>1</v>
      </c>
      <c r="K3740" s="2">
        <v>3.66</v>
      </c>
    </row>
    <row r="3741" spans="1:11" x14ac:dyDescent="0.35">
      <c r="A3741" s="1">
        <v>42804</v>
      </c>
      <c r="B3741" s="3">
        <f t="shared" si="116"/>
        <v>2017</v>
      </c>
      <c r="C3741" s="3">
        <f t="shared" si="117"/>
        <v>3</v>
      </c>
      <c r="D3741" t="s">
        <v>2363</v>
      </c>
      <c r="E3741" t="s">
        <v>81</v>
      </c>
      <c r="F3741" t="s">
        <v>28</v>
      </c>
      <c r="G3741" t="s">
        <v>48</v>
      </c>
      <c r="H3741" t="s">
        <v>1703</v>
      </c>
      <c r="I3741" s="2">
        <v>13.09</v>
      </c>
      <c r="J3741" s="3">
        <v>4</v>
      </c>
      <c r="K3741" s="2">
        <v>-10.039999999999999</v>
      </c>
    </row>
    <row r="3742" spans="1:11" x14ac:dyDescent="0.35">
      <c r="A3742" s="1">
        <v>42804</v>
      </c>
      <c r="B3742" s="3">
        <f t="shared" si="116"/>
        <v>2017</v>
      </c>
      <c r="C3742" s="3">
        <f t="shared" si="117"/>
        <v>3</v>
      </c>
      <c r="D3742" t="s">
        <v>2364</v>
      </c>
      <c r="E3742" t="s">
        <v>45</v>
      </c>
      <c r="F3742" t="s">
        <v>13</v>
      </c>
      <c r="G3742" t="s">
        <v>14</v>
      </c>
      <c r="H3742" t="s">
        <v>2108</v>
      </c>
      <c r="I3742" s="2">
        <v>111.96</v>
      </c>
      <c r="J3742" s="3">
        <v>4</v>
      </c>
      <c r="K3742" s="2">
        <v>21.27</v>
      </c>
    </row>
    <row r="3743" spans="1:11" x14ac:dyDescent="0.35">
      <c r="A3743" s="1">
        <v>42804</v>
      </c>
      <c r="B3743" s="3">
        <f t="shared" si="116"/>
        <v>2017</v>
      </c>
      <c r="C3743" s="3">
        <f t="shared" si="117"/>
        <v>3</v>
      </c>
      <c r="D3743" t="s">
        <v>497</v>
      </c>
      <c r="E3743" t="s">
        <v>32</v>
      </c>
      <c r="F3743" t="s">
        <v>18</v>
      </c>
      <c r="G3743" t="s">
        <v>42</v>
      </c>
      <c r="H3743" t="s">
        <v>978</v>
      </c>
      <c r="I3743" s="2">
        <v>933.41</v>
      </c>
      <c r="J3743" s="3">
        <v>4</v>
      </c>
      <c r="K3743" s="2">
        <v>-173.35</v>
      </c>
    </row>
    <row r="3744" spans="1:11" x14ac:dyDescent="0.35">
      <c r="A3744" s="1">
        <v>42835</v>
      </c>
      <c r="B3744" s="3">
        <f t="shared" si="116"/>
        <v>2017</v>
      </c>
      <c r="C3744" s="3">
        <f t="shared" si="117"/>
        <v>4</v>
      </c>
      <c r="D3744" t="s">
        <v>1940</v>
      </c>
      <c r="E3744" t="s">
        <v>62</v>
      </c>
      <c r="F3744" t="s">
        <v>28</v>
      </c>
      <c r="G3744" t="s">
        <v>29</v>
      </c>
      <c r="H3744" t="s">
        <v>1226</v>
      </c>
      <c r="I3744" s="2">
        <v>7.61</v>
      </c>
      <c r="J3744" s="3">
        <v>1</v>
      </c>
      <c r="K3744" s="2">
        <v>3.58</v>
      </c>
    </row>
    <row r="3745" spans="1:11" x14ac:dyDescent="0.35">
      <c r="A3745" s="1">
        <v>42835</v>
      </c>
      <c r="B3745" s="3">
        <f t="shared" si="116"/>
        <v>2017</v>
      </c>
      <c r="C3745" s="3">
        <f t="shared" si="117"/>
        <v>4</v>
      </c>
      <c r="D3745" t="s">
        <v>1940</v>
      </c>
      <c r="E3745" t="s">
        <v>62</v>
      </c>
      <c r="F3745" t="s">
        <v>28</v>
      </c>
      <c r="G3745" t="s">
        <v>33</v>
      </c>
      <c r="H3745" t="s">
        <v>1455</v>
      </c>
      <c r="I3745" s="2">
        <v>7.16</v>
      </c>
      <c r="J3745" s="3">
        <v>2</v>
      </c>
      <c r="K3745" s="2">
        <v>3.58</v>
      </c>
    </row>
    <row r="3746" spans="1:11" x14ac:dyDescent="0.35">
      <c r="A3746" s="1">
        <v>42835</v>
      </c>
      <c r="B3746" s="3">
        <f t="shared" si="116"/>
        <v>2017</v>
      </c>
      <c r="C3746" s="3">
        <f t="shared" si="117"/>
        <v>4</v>
      </c>
      <c r="D3746" t="s">
        <v>313</v>
      </c>
      <c r="E3746" t="s">
        <v>32</v>
      </c>
      <c r="F3746" t="s">
        <v>28</v>
      </c>
      <c r="G3746" t="s">
        <v>29</v>
      </c>
      <c r="H3746" t="s">
        <v>1534</v>
      </c>
      <c r="I3746" s="2">
        <v>10.37</v>
      </c>
      <c r="J3746" s="3">
        <v>2</v>
      </c>
      <c r="K3746" s="2">
        <v>3.63</v>
      </c>
    </row>
    <row r="3747" spans="1:11" x14ac:dyDescent="0.35">
      <c r="A3747" s="1">
        <v>42835</v>
      </c>
      <c r="B3747" s="3">
        <f t="shared" si="116"/>
        <v>2017</v>
      </c>
      <c r="C3747" s="3">
        <f t="shared" si="117"/>
        <v>4</v>
      </c>
      <c r="D3747" t="s">
        <v>313</v>
      </c>
      <c r="E3747" t="s">
        <v>32</v>
      </c>
      <c r="F3747" t="s">
        <v>13</v>
      </c>
      <c r="G3747" t="s">
        <v>14</v>
      </c>
      <c r="H3747" t="s">
        <v>1707</v>
      </c>
      <c r="I3747" s="2">
        <v>95.74</v>
      </c>
      <c r="J3747" s="3">
        <v>3</v>
      </c>
      <c r="K3747" s="2">
        <v>20.34</v>
      </c>
    </row>
    <row r="3748" spans="1:11" x14ac:dyDescent="0.35">
      <c r="A3748" s="1">
        <v>42835</v>
      </c>
      <c r="B3748" s="3">
        <f t="shared" si="116"/>
        <v>2017</v>
      </c>
      <c r="C3748" s="3">
        <f t="shared" si="117"/>
        <v>4</v>
      </c>
      <c r="D3748" t="s">
        <v>2365</v>
      </c>
      <c r="E3748" t="s">
        <v>77</v>
      </c>
      <c r="F3748" t="s">
        <v>18</v>
      </c>
      <c r="G3748" t="s">
        <v>36</v>
      </c>
      <c r="H3748" t="s">
        <v>1277</v>
      </c>
      <c r="I3748" s="2">
        <v>12.32</v>
      </c>
      <c r="J3748" s="3">
        <v>5</v>
      </c>
      <c r="K3748" s="2">
        <v>1.85</v>
      </c>
    </row>
    <row r="3749" spans="1:11" x14ac:dyDescent="0.35">
      <c r="A3749" s="1">
        <v>42835</v>
      </c>
      <c r="B3749" s="3">
        <f t="shared" si="116"/>
        <v>2017</v>
      </c>
      <c r="C3749" s="3">
        <f t="shared" si="117"/>
        <v>4</v>
      </c>
      <c r="D3749" t="s">
        <v>2365</v>
      </c>
      <c r="E3749" t="s">
        <v>77</v>
      </c>
      <c r="F3749" t="s">
        <v>28</v>
      </c>
      <c r="G3749" t="s">
        <v>48</v>
      </c>
      <c r="H3749" t="s">
        <v>322</v>
      </c>
      <c r="I3749" s="2">
        <v>4.42</v>
      </c>
      <c r="J3749" s="3">
        <v>3</v>
      </c>
      <c r="K3749" s="2">
        <v>-3.09</v>
      </c>
    </row>
    <row r="3750" spans="1:11" x14ac:dyDescent="0.35">
      <c r="A3750" s="1">
        <v>42835</v>
      </c>
      <c r="B3750" s="3">
        <f t="shared" si="116"/>
        <v>2017</v>
      </c>
      <c r="C3750" s="3">
        <f t="shared" si="117"/>
        <v>4</v>
      </c>
      <c r="D3750" t="s">
        <v>2366</v>
      </c>
      <c r="E3750" t="s">
        <v>323</v>
      </c>
      <c r="F3750" t="s">
        <v>13</v>
      </c>
      <c r="G3750" t="s">
        <v>14</v>
      </c>
      <c r="H3750" t="s">
        <v>568</v>
      </c>
      <c r="I3750" s="2">
        <v>99.99</v>
      </c>
      <c r="J3750" s="3">
        <v>1</v>
      </c>
      <c r="K3750" s="2">
        <v>42</v>
      </c>
    </row>
    <row r="3751" spans="1:11" x14ac:dyDescent="0.35">
      <c r="A3751" s="1">
        <v>42835</v>
      </c>
      <c r="B3751" s="3">
        <f t="shared" si="116"/>
        <v>2017</v>
      </c>
      <c r="C3751" s="3">
        <f t="shared" si="117"/>
        <v>4</v>
      </c>
      <c r="D3751" t="s">
        <v>2366</v>
      </c>
      <c r="E3751" t="s">
        <v>323</v>
      </c>
      <c r="F3751" t="s">
        <v>28</v>
      </c>
      <c r="G3751" t="s">
        <v>38</v>
      </c>
      <c r="H3751" t="s">
        <v>41</v>
      </c>
      <c r="I3751" s="2">
        <v>286.14999999999998</v>
      </c>
      <c r="J3751" s="3">
        <v>5</v>
      </c>
      <c r="K3751" s="2">
        <v>71.540000000000006</v>
      </c>
    </row>
    <row r="3752" spans="1:11" x14ac:dyDescent="0.35">
      <c r="A3752" s="1">
        <v>42835</v>
      </c>
      <c r="B3752" s="3">
        <f t="shared" si="116"/>
        <v>2017</v>
      </c>
      <c r="C3752" s="3">
        <f t="shared" si="117"/>
        <v>4</v>
      </c>
      <c r="D3752" t="s">
        <v>289</v>
      </c>
      <c r="E3752" t="s">
        <v>89</v>
      </c>
      <c r="F3752" t="s">
        <v>28</v>
      </c>
      <c r="G3752" t="s">
        <v>58</v>
      </c>
      <c r="H3752" t="s">
        <v>2367</v>
      </c>
      <c r="I3752" s="2">
        <v>195.1</v>
      </c>
      <c r="J3752" s="3">
        <v>4</v>
      </c>
      <c r="K3752" s="2">
        <v>21.95</v>
      </c>
    </row>
    <row r="3753" spans="1:11" x14ac:dyDescent="0.35">
      <c r="A3753" s="1">
        <v>42835</v>
      </c>
      <c r="B3753" s="3">
        <f t="shared" si="116"/>
        <v>2017</v>
      </c>
      <c r="C3753" s="3">
        <f t="shared" si="117"/>
        <v>4</v>
      </c>
      <c r="D3753" t="s">
        <v>289</v>
      </c>
      <c r="E3753" t="s">
        <v>89</v>
      </c>
      <c r="F3753" t="s">
        <v>18</v>
      </c>
      <c r="G3753" t="s">
        <v>36</v>
      </c>
      <c r="H3753" t="s">
        <v>151</v>
      </c>
      <c r="I3753" s="2">
        <v>36.67</v>
      </c>
      <c r="J3753" s="3">
        <v>3</v>
      </c>
      <c r="K3753" s="2">
        <v>6.42</v>
      </c>
    </row>
    <row r="3754" spans="1:11" x14ac:dyDescent="0.35">
      <c r="A3754" s="1">
        <v>42896</v>
      </c>
      <c r="B3754" s="3">
        <f t="shared" si="116"/>
        <v>2017</v>
      </c>
      <c r="C3754" s="3">
        <f t="shared" si="117"/>
        <v>6</v>
      </c>
      <c r="D3754" t="s">
        <v>2046</v>
      </c>
      <c r="E3754" t="s">
        <v>45</v>
      </c>
      <c r="F3754" t="s">
        <v>28</v>
      </c>
      <c r="G3754" t="s">
        <v>46</v>
      </c>
      <c r="H3754" t="s">
        <v>793</v>
      </c>
      <c r="I3754" s="2">
        <v>29.6</v>
      </c>
      <c r="J3754" s="3">
        <v>2</v>
      </c>
      <c r="K3754" s="2">
        <v>14.8</v>
      </c>
    </row>
    <row r="3755" spans="1:11" x14ac:dyDescent="0.35">
      <c r="A3755" s="1">
        <v>42896</v>
      </c>
      <c r="B3755" s="3">
        <f t="shared" si="116"/>
        <v>2017</v>
      </c>
      <c r="C3755" s="3">
        <f t="shared" si="117"/>
        <v>6</v>
      </c>
      <c r="D3755" t="s">
        <v>2046</v>
      </c>
      <c r="E3755" t="s">
        <v>45</v>
      </c>
      <c r="F3755" t="s">
        <v>18</v>
      </c>
      <c r="G3755" t="s">
        <v>237</v>
      </c>
      <c r="H3755" t="s">
        <v>973</v>
      </c>
      <c r="I3755" s="2">
        <v>514.16999999999996</v>
      </c>
      <c r="J3755" s="3">
        <v>5</v>
      </c>
      <c r="K3755" s="2">
        <v>-30.25</v>
      </c>
    </row>
    <row r="3756" spans="1:11" x14ac:dyDescent="0.35">
      <c r="A3756" s="1">
        <v>42896</v>
      </c>
      <c r="B3756" s="3">
        <f t="shared" si="116"/>
        <v>2017</v>
      </c>
      <c r="C3756" s="3">
        <f t="shared" si="117"/>
        <v>6</v>
      </c>
      <c r="D3756" t="s">
        <v>2046</v>
      </c>
      <c r="E3756" t="s">
        <v>45</v>
      </c>
      <c r="F3756" t="s">
        <v>13</v>
      </c>
      <c r="G3756" t="s">
        <v>23</v>
      </c>
      <c r="H3756" t="s">
        <v>2337</v>
      </c>
      <c r="I3756" s="2">
        <v>279.95999999999998</v>
      </c>
      <c r="J3756" s="3">
        <v>5</v>
      </c>
      <c r="K3756" s="2">
        <v>17.5</v>
      </c>
    </row>
    <row r="3757" spans="1:11" x14ac:dyDescent="0.35">
      <c r="A3757" s="1">
        <v>42896</v>
      </c>
      <c r="B3757" s="3">
        <f t="shared" si="116"/>
        <v>2017</v>
      </c>
      <c r="C3757" s="3">
        <f t="shared" si="117"/>
        <v>6</v>
      </c>
      <c r="D3757" t="s">
        <v>2129</v>
      </c>
      <c r="E3757" t="s">
        <v>71</v>
      </c>
      <c r="F3757" t="s">
        <v>13</v>
      </c>
      <c r="G3757" t="s">
        <v>14</v>
      </c>
      <c r="H3757" t="s">
        <v>1025</v>
      </c>
      <c r="I3757" s="2">
        <v>132.52000000000001</v>
      </c>
      <c r="J3757" s="3">
        <v>4</v>
      </c>
      <c r="K3757" s="2">
        <v>54.33</v>
      </c>
    </row>
    <row r="3758" spans="1:11" x14ac:dyDescent="0.35">
      <c r="A3758" s="1">
        <v>42896</v>
      </c>
      <c r="B3758" s="3">
        <f t="shared" si="116"/>
        <v>2017</v>
      </c>
      <c r="C3758" s="3">
        <f t="shared" si="117"/>
        <v>6</v>
      </c>
      <c r="D3758" t="s">
        <v>993</v>
      </c>
      <c r="E3758" t="s">
        <v>45</v>
      </c>
      <c r="F3758" t="s">
        <v>28</v>
      </c>
      <c r="G3758" t="s">
        <v>64</v>
      </c>
      <c r="H3758" t="s">
        <v>2368</v>
      </c>
      <c r="I3758" s="2">
        <v>16.399999999999999</v>
      </c>
      <c r="J3758" s="3">
        <v>5</v>
      </c>
      <c r="K3758" s="2">
        <v>4.76</v>
      </c>
    </row>
    <row r="3759" spans="1:11" x14ac:dyDescent="0.35">
      <c r="A3759" s="1">
        <v>42896</v>
      </c>
      <c r="B3759" s="3">
        <f t="shared" si="116"/>
        <v>2017</v>
      </c>
      <c r="C3759" s="3">
        <f t="shared" si="117"/>
        <v>6</v>
      </c>
      <c r="D3759" t="s">
        <v>1675</v>
      </c>
      <c r="E3759" t="s">
        <v>89</v>
      </c>
      <c r="F3759" t="s">
        <v>28</v>
      </c>
      <c r="G3759" t="s">
        <v>29</v>
      </c>
      <c r="H3759" t="s">
        <v>2311</v>
      </c>
      <c r="I3759" s="2">
        <v>40.03</v>
      </c>
      <c r="J3759" s="3">
        <v>6</v>
      </c>
      <c r="K3759" s="2">
        <v>15.01</v>
      </c>
    </row>
    <row r="3760" spans="1:11" x14ac:dyDescent="0.35">
      <c r="A3760" s="1">
        <v>42896</v>
      </c>
      <c r="B3760" s="3">
        <f t="shared" si="116"/>
        <v>2017</v>
      </c>
      <c r="C3760" s="3">
        <f t="shared" si="117"/>
        <v>6</v>
      </c>
      <c r="D3760" t="s">
        <v>531</v>
      </c>
      <c r="E3760" t="s">
        <v>77</v>
      </c>
      <c r="F3760" t="s">
        <v>28</v>
      </c>
      <c r="G3760" t="s">
        <v>38</v>
      </c>
      <c r="H3760" t="s">
        <v>2239</v>
      </c>
      <c r="I3760" s="2">
        <v>1347.52</v>
      </c>
      <c r="J3760" s="3">
        <v>8</v>
      </c>
      <c r="K3760" s="2">
        <v>84.22</v>
      </c>
    </row>
    <row r="3761" spans="1:11" x14ac:dyDescent="0.35">
      <c r="A3761" s="1">
        <v>42896</v>
      </c>
      <c r="B3761" s="3">
        <f t="shared" si="116"/>
        <v>2017</v>
      </c>
      <c r="C3761" s="3">
        <f t="shared" si="117"/>
        <v>6</v>
      </c>
      <c r="D3761" t="s">
        <v>1795</v>
      </c>
      <c r="E3761" t="s">
        <v>22</v>
      </c>
      <c r="F3761" t="s">
        <v>28</v>
      </c>
      <c r="G3761" t="s">
        <v>64</v>
      </c>
      <c r="H3761" t="s">
        <v>337</v>
      </c>
      <c r="I3761" s="2">
        <v>8.4</v>
      </c>
      <c r="J3761" s="3">
        <v>5</v>
      </c>
      <c r="K3761" s="2">
        <v>4.2</v>
      </c>
    </row>
    <row r="3762" spans="1:11" x14ac:dyDescent="0.35">
      <c r="A3762" s="1">
        <v>42896</v>
      </c>
      <c r="B3762" s="3">
        <f t="shared" si="116"/>
        <v>2017</v>
      </c>
      <c r="C3762" s="3">
        <f t="shared" si="117"/>
        <v>6</v>
      </c>
      <c r="D3762" t="s">
        <v>1525</v>
      </c>
      <c r="E3762" t="s">
        <v>17</v>
      </c>
      <c r="F3762" t="s">
        <v>13</v>
      </c>
      <c r="G3762" t="s">
        <v>23</v>
      </c>
      <c r="H3762" t="s">
        <v>187</v>
      </c>
      <c r="I3762" s="2">
        <v>88.78</v>
      </c>
      <c r="J3762" s="3">
        <v>3</v>
      </c>
      <c r="K3762" s="2">
        <v>7.77</v>
      </c>
    </row>
    <row r="3763" spans="1:11" x14ac:dyDescent="0.35">
      <c r="A3763" s="1">
        <v>42896</v>
      </c>
      <c r="B3763" s="3">
        <f t="shared" si="116"/>
        <v>2017</v>
      </c>
      <c r="C3763" s="3">
        <f t="shared" si="117"/>
        <v>6</v>
      </c>
      <c r="D3763" t="s">
        <v>1525</v>
      </c>
      <c r="E3763" t="s">
        <v>17</v>
      </c>
      <c r="F3763" t="s">
        <v>28</v>
      </c>
      <c r="G3763" t="s">
        <v>46</v>
      </c>
      <c r="H3763" t="s">
        <v>397</v>
      </c>
      <c r="I3763" s="2">
        <v>11.56</v>
      </c>
      <c r="J3763" s="3">
        <v>4</v>
      </c>
      <c r="K3763" s="2">
        <v>5.43</v>
      </c>
    </row>
    <row r="3764" spans="1:11" x14ac:dyDescent="0.35">
      <c r="A3764" s="1">
        <v>42896</v>
      </c>
      <c r="B3764" s="3">
        <f t="shared" si="116"/>
        <v>2017</v>
      </c>
      <c r="C3764" s="3">
        <f t="shared" si="117"/>
        <v>6</v>
      </c>
      <c r="D3764" t="s">
        <v>1525</v>
      </c>
      <c r="E3764" t="s">
        <v>17</v>
      </c>
      <c r="F3764" t="s">
        <v>28</v>
      </c>
      <c r="G3764" t="s">
        <v>38</v>
      </c>
      <c r="H3764" t="s">
        <v>2126</v>
      </c>
      <c r="I3764" s="2">
        <v>15.58</v>
      </c>
      <c r="J3764" s="3">
        <v>1</v>
      </c>
      <c r="K3764" s="2">
        <v>3.9</v>
      </c>
    </row>
    <row r="3765" spans="1:11" x14ac:dyDescent="0.35">
      <c r="A3765" s="1">
        <v>42896</v>
      </c>
      <c r="B3765" s="3">
        <f t="shared" si="116"/>
        <v>2017</v>
      </c>
      <c r="C3765" s="3">
        <f t="shared" si="117"/>
        <v>6</v>
      </c>
      <c r="D3765" t="s">
        <v>2369</v>
      </c>
      <c r="E3765" t="s">
        <v>45</v>
      </c>
      <c r="F3765" t="s">
        <v>28</v>
      </c>
      <c r="G3765" t="s">
        <v>64</v>
      </c>
      <c r="H3765" t="s">
        <v>2370</v>
      </c>
      <c r="I3765" s="2">
        <v>14.7</v>
      </c>
      <c r="J3765" s="3">
        <v>7</v>
      </c>
      <c r="K3765" s="2">
        <v>4.12</v>
      </c>
    </row>
    <row r="3766" spans="1:11" x14ac:dyDescent="0.35">
      <c r="A3766" s="1">
        <v>42896</v>
      </c>
      <c r="B3766" s="3">
        <f t="shared" si="116"/>
        <v>2017</v>
      </c>
      <c r="C3766" s="3">
        <f t="shared" si="117"/>
        <v>6</v>
      </c>
      <c r="D3766" t="s">
        <v>2277</v>
      </c>
      <c r="E3766" t="s">
        <v>22</v>
      </c>
      <c r="F3766" t="s">
        <v>28</v>
      </c>
      <c r="G3766" t="s">
        <v>33</v>
      </c>
      <c r="H3766" t="s">
        <v>34</v>
      </c>
      <c r="I3766" s="2">
        <v>14.13</v>
      </c>
      <c r="J3766" s="3">
        <v>3</v>
      </c>
      <c r="K3766" s="2">
        <v>0.71</v>
      </c>
    </row>
    <row r="3767" spans="1:11" x14ac:dyDescent="0.35">
      <c r="A3767" s="1">
        <v>42926</v>
      </c>
      <c r="B3767" s="3">
        <f t="shared" si="116"/>
        <v>2017</v>
      </c>
      <c r="C3767" s="3">
        <f t="shared" si="117"/>
        <v>7</v>
      </c>
      <c r="D3767" t="s">
        <v>1228</v>
      </c>
      <c r="E3767" t="s">
        <v>165</v>
      </c>
      <c r="F3767" t="s">
        <v>18</v>
      </c>
      <c r="G3767" t="s">
        <v>36</v>
      </c>
      <c r="H3767" t="s">
        <v>2371</v>
      </c>
      <c r="I3767" s="2">
        <v>18.84</v>
      </c>
      <c r="J3767" s="3">
        <v>3</v>
      </c>
      <c r="K3767" s="2">
        <v>7.91</v>
      </c>
    </row>
    <row r="3768" spans="1:11" x14ac:dyDescent="0.35">
      <c r="A3768" s="1">
        <v>42926</v>
      </c>
      <c r="B3768" s="3">
        <f t="shared" si="116"/>
        <v>2017</v>
      </c>
      <c r="C3768" s="3">
        <f t="shared" si="117"/>
        <v>7</v>
      </c>
      <c r="D3768" t="s">
        <v>2155</v>
      </c>
      <c r="E3768" t="s">
        <v>26</v>
      </c>
      <c r="F3768" t="s">
        <v>28</v>
      </c>
      <c r="G3768" t="s">
        <v>38</v>
      </c>
      <c r="H3768" t="s">
        <v>1830</v>
      </c>
      <c r="I3768" s="2">
        <v>298.45999999999998</v>
      </c>
      <c r="J3768" s="3">
        <v>6</v>
      </c>
      <c r="K3768" s="2">
        <v>26.12</v>
      </c>
    </row>
    <row r="3769" spans="1:11" x14ac:dyDescent="0.35">
      <c r="A3769" s="1">
        <v>42926</v>
      </c>
      <c r="B3769" s="3">
        <f t="shared" si="116"/>
        <v>2017</v>
      </c>
      <c r="C3769" s="3">
        <f t="shared" si="117"/>
        <v>7</v>
      </c>
      <c r="D3769" t="s">
        <v>2216</v>
      </c>
      <c r="E3769" t="s">
        <v>165</v>
      </c>
      <c r="F3769" t="s">
        <v>28</v>
      </c>
      <c r="G3769" t="s">
        <v>58</v>
      </c>
      <c r="H3769" t="s">
        <v>1914</v>
      </c>
      <c r="I3769" s="2">
        <v>41.91</v>
      </c>
      <c r="J3769" s="3">
        <v>3</v>
      </c>
      <c r="K3769" s="2">
        <v>10.9</v>
      </c>
    </row>
    <row r="3770" spans="1:11" x14ac:dyDescent="0.35">
      <c r="A3770" s="1">
        <v>42957</v>
      </c>
      <c r="B3770" s="3">
        <f t="shared" si="116"/>
        <v>2017</v>
      </c>
      <c r="C3770" s="3">
        <f t="shared" si="117"/>
        <v>8</v>
      </c>
      <c r="D3770" t="s">
        <v>86</v>
      </c>
      <c r="E3770" t="s">
        <v>575</v>
      </c>
      <c r="F3770" t="s">
        <v>28</v>
      </c>
      <c r="G3770" t="s">
        <v>158</v>
      </c>
      <c r="H3770" t="s">
        <v>159</v>
      </c>
      <c r="I3770" s="2">
        <v>70.08</v>
      </c>
      <c r="J3770" s="3">
        <v>6</v>
      </c>
      <c r="K3770" s="2">
        <v>35.04</v>
      </c>
    </row>
    <row r="3771" spans="1:11" x14ac:dyDescent="0.35">
      <c r="A3771" s="1">
        <v>42957</v>
      </c>
      <c r="B3771" s="3">
        <f t="shared" si="116"/>
        <v>2017</v>
      </c>
      <c r="C3771" s="3">
        <f t="shared" si="117"/>
        <v>8</v>
      </c>
      <c r="D3771" t="s">
        <v>86</v>
      </c>
      <c r="E3771" t="s">
        <v>575</v>
      </c>
      <c r="F3771" t="s">
        <v>18</v>
      </c>
      <c r="G3771" t="s">
        <v>36</v>
      </c>
      <c r="H3771" t="s">
        <v>1441</v>
      </c>
      <c r="I3771" s="2">
        <v>121.3</v>
      </c>
      <c r="J3771" s="3">
        <v>2</v>
      </c>
      <c r="K3771" s="2">
        <v>25.47</v>
      </c>
    </row>
    <row r="3772" spans="1:11" x14ac:dyDescent="0.35">
      <c r="A3772" s="1">
        <v>42957</v>
      </c>
      <c r="B3772" s="3">
        <f t="shared" si="116"/>
        <v>2017</v>
      </c>
      <c r="C3772" s="3">
        <f t="shared" si="117"/>
        <v>8</v>
      </c>
      <c r="D3772" t="s">
        <v>86</v>
      </c>
      <c r="E3772" t="s">
        <v>575</v>
      </c>
      <c r="F3772" t="s">
        <v>13</v>
      </c>
      <c r="G3772" t="s">
        <v>23</v>
      </c>
      <c r="H3772" t="s">
        <v>533</v>
      </c>
      <c r="I3772" s="2">
        <v>1454.49</v>
      </c>
      <c r="J3772" s="3">
        <v>9</v>
      </c>
      <c r="K3772" s="2">
        <v>378.17</v>
      </c>
    </row>
    <row r="3773" spans="1:11" x14ac:dyDescent="0.35">
      <c r="A3773" s="1">
        <v>42957</v>
      </c>
      <c r="B3773" s="3">
        <f t="shared" si="116"/>
        <v>2017</v>
      </c>
      <c r="C3773" s="3">
        <f t="shared" si="117"/>
        <v>8</v>
      </c>
      <c r="D3773" t="s">
        <v>1537</v>
      </c>
      <c r="E3773" t="s">
        <v>575</v>
      </c>
      <c r="F3773" t="s">
        <v>28</v>
      </c>
      <c r="G3773" t="s">
        <v>29</v>
      </c>
      <c r="H3773" t="s">
        <v>1324</v>
      </c>
      <c r="I3773" s="2">
        <v>177.2</v>
      </c>
      <c r="J3773" s="3">
        <v>5</v>
      </c>
      <c r="K3773" s="2">
        <v>83.28</v>
      </c>
    </row>
    <row r="3774" spans="1:11" x14ac:dyDescent="0.35">
      <c r="A3774" s="1">
        <v>42988</v>
      </c>
      <c r="B3774" s="3">
        <f t="shared" si="116"/>
        <v>2017</v>
      </c>
      <c r="C3774" s="3">
        <f t="shared" si="117"/>
        <v>9</v>
      </c>
      <c r="D3774" t="s">
        <v>1795</v>
      </c>
      <c r="E3774" t="s">
        <v>26</v>
      </c>
      <c r="F3774" t="s">
        <v>13</v>
      </c>
      <c r="G3774" t="s">
        <v>23</v>
      </c>
      <c r="H3774" t="s">
        <v>406</v>
      </c>
      <c r="I3774" s="2">
        <v>147.16999999999999</v>
      </c>
      <c r="J3774" s="3">
        <v>4</v>
      </c>
      <c r="K3774" s="2">
        <v>16.559999999999999</v>
      </c>
    </row>
    <row r="3775" spans="1:11" x14ac:dyDescent="0.35">
      <c r="A3775" s="1">
        <v>42988</v>
      </c>
      <c r="B3775" s="3">
        <f t="shared" si="116"/>
        <v>2017</v>
      </c>
      <c r="C3775" s="3">
        <f t="shared" si="117"/>
        <v>9</v>
      </c>
      <c r="D3775" t="s">
        <v>546</v>
      </c>
      <c r="E3775" t="s">
        <v>45</v>
      </c>
      <c r="F3775" t="s">
        <v>18</v>
      </c>
      <c r="G3775" t="s">
        <v>19</v>
      </c>
      <c r="H3775" t="s">
        <v>404</v>
      </c>
      <c r="I3775" s="2">
        <v>362.35</v>
      </c>
      <c r="J3775" s="3">
        <v>3</v>
      </c>
      <c r="K3775" s="2">
        <v>27.18</v>
      </c>
    </row>
    <row r="3776" spans="1:11" x14ac:dyDescent="0.35">
      <c r="A3776" s="1">
        <v>42988</v>
      </c>
      <c r="B3776" s="3">
        <f t="shared" si="116"/>
        <v>2017</v>
      </c>
      <c r="C3776" s="3">
        <f t="shared" si="117"/>
        <v>9</v>
      </c>
      <c r="D3776" t="s">
        <v>546</v>
      </c>
      <c r="E3776" t="s">
        <v>45</v>
      </c>
      <c r="F3776" t="s">
        <v>28</v>
      </c>
      <c r="G3776" t="s">
        <v>48</v>
      </c>
      <c r="H3776" t="s">
        <v>360</v>
      </c>
      <c r="I3776" s="2">
        <v>7.18</v>
      </c>
      <c r="J3776" s="3">
        <v>2</v>
      </c>
      <c r="K3776" s="2">
        <v>2.25</v>
      </c>
    </row>
    <row r="3777" spans="1:11" x14ac:dyDescent="0.35">
      <c r="A3777" s="1">
        <v>42988</v>
      </c>
      <c r="B3777" s="3">
        <f t="shared" si="116"/>
        <v>2017</v>
      </c>
      <c r="C3777" s="3">
        <f t="shared" si="117"/>
        <v>9</v>
      </c>
      <c r="D3777" t="s">
        <v>2372</v>
      </c>
      <c r="E3777" t="s">
        <v>190</v>
      </c>
      <c r="F3777" t="s">
        <v>28</v>
      </c>
      <c r="G3777" t="s">
        <v>48</v>
      </c>
      <c r="H3777" t="s">
        <v>1569</v>
      </c>
      <c r="I3777" s="2">
        <v>16.2</v>
      </c>
      <c r="J3777" s="3">
        <v>3</v>
      </c>
      <c r="K3777" s="2">
        <v>7.78</v>
      </c>
    </row>
    <row r="3778" spans="1:11" x14ac:dyDescent="0.35">
      <c r="A3778" s="1">
        <v>42988</v>
      </c>
      <c r="B3778" s="3">
        <f t="shared" ref="B3778:B3841" si="118">YEAR(A3778)</f>
        <v>2017</v>
      </c>
      <c r="C3778" s="3">
        <f t="shared" ref="C3778:C3841" si="119">MONTH(A3778)</f>
        <v>9</v>
      </c>
      <c r="D3778" t="s">
        <v>2372</v>
      </c>
      <c r="E3778" t="s">
        <v>190</v>
      </c>
      <c r="F3778" t="s">
        <v>28</v>
      </c>
      <c r="G3778" t="s">
        <v>58</v>
      </c>
      <c r="H3778" t="s">
        <v>710</v>
      </c>
      <c r="I3778" s="2">
        <v>33.99</v>
      </c>
      <c r="J3778" s="3">
        <v>3</v>
      </c>
      <c r="K3778" s="2">
        <v>14.62</v>
      </c>
    </row>
    <row r="3779" spans="1:11" x14ac:dyDescent="0.35">
      <c r="A3779" s="1">
        <v>42988</v>
      </c>
      <c r="B3779" s="3">
        <f t="shared" si="118"/>
        <v>2017</v>
      </c>
      <c r="C3779" s="3">
        <f t="shared" si="119"/>
        <v>9</v>
      </c>
      <c r="D3779" t="s">
        <v>2372</v>
      </c>
      <c r="E3779" t="s">
        <v>190</v>
      </c>
      <c r="F3779" t="s">
        <v>13</v>
      </c>
      <c r="G3779" t="s">
        <v>14</v>
      </c>
      <c r="H3779" t="s">
        <v>312</v>
      </c>
      <c r="I3779" s="2">
        <v>296.85000000000002</v>
      </c>
      <c r="J3779" s="3">
        <v>5</v>
      </c>
      <c r="K3779" s="2">
        <v>53.43</v>
      </c>
    </row>
    <row r="3780" spans="1:11" x14ac:dyDescent="0.35">
      <c r="A3780" s="1">
        <v>42988</v>
      </c>
      <c r="B3780" s="3">
        <f t="shared" si="118"/>
        <v>2017</v>
      </c>
      <c r="C3780" s="3">
        <f t="shared" si="119"/>
        <v>9</v>
      </c>
      <c r="D3780" t="s">
        <v>2372</v>
      </c>
      <c r="E3780" t="s">
        <v>190</v>
      </c>
      <c r="F3780" t="s">
        <v>13</v>
      </c>
      <c r="G3780" t="s">
        <v>14</v>
      </c>
      <c r="H3780" t="s">
        <v>1724</v>
      </c>
      <c r="I3780" s="2">
        <v>112.8</v>
      </c>
      <c r="J3780" s="3">
        <v>6</v>
      </c>
      <c r="K3780" s="2">
        <v>6.77</v>
      </c>
    </row>
    <row r="3781" spans="1:11" x14ac:dyDescent="0.35">
      <c r="A3781" s="1">
        <v>42988</v>
      </c>
      <c r="B3781" s="3">
        <f t="shared" si="118"/>
        <v>2017</v>
      </c>
      <c r="C3781" s="3">
        <f t="shared" si="119"/>
        <v>9</v>
      </c>
      <c r="D3781" t="s">
        <v>2372</v>
      </c>
      <c r="E3781" t="s">
        <v>190</v>
      </c>
      <c r="F3781" t="s">
        <v>28</v>
      </c>
      <c r="G3781" t="s">
        <v>48</v>
      </c>
      <c r="H3781" t="s">
        <v>923</v>
      </c>
      <c r="I3781" s="2">
        <v>13.71</v>
      </c>
      <c r="J3781" s="3">
        <v>3</v>
      </c>
      <c r="K3781" s="2">
        <v>6.58</v>
      </c>
    </row>
    <row r="3782" spans="1:11" x14ac:dyDescent="0.35">
      <c r="A3782" s="1">
        <v>42988</v>
      </c>
      <c r="B3782" s="3">
        <f t="shared" si="118"/>
        <v>2017</v>
      </c>
      <c r="C3782" s="3">
        <f t="shared" si="119"/>
        <v>9</v>
      </c>
      <c r="D3782" t="s">
        <v>2372</v>
      </c>
      <c r="E3782" t="s">
        <v>190</v>
      </c>
      <c r="F3782" t="s">
        <v>28</v>
      </c>
      <c r="G3782" t="s">
        <v>29</v>
      </c>
      <c r="H3782" t="s">
        <v>1340</v>
      </c>
      <c r="I3782" s="2">
        <v>24.9</v>
      </c>
      <c r="J3782" s="3">
        <v>5</v>
      </c>
      <c r="K3782" s="2">
        <v>11.7</v>
      </c>
    </row>
    <row r="3783" spans="1:11" x14ac:dyDescent="0.35">
      <c r="A3783" s="1">
        <v>42988</v>
      </c>
      <c r="B3783" s="3">
        <f t="shared" si="118"/>
        <v>2017</v>
      </c>
      <c r="C3783" s="3">
        <f t="shared" si="119"/>
        <v>9</v>
      </c>
      <c r="D3783" t="s">
        <v>2372</v>
      </c>
      <c r="E3783" t="s">
        <v>190</v>
      </c>
      <c r="F3783" t="s">
        <v>28</v>
      </c>
      <c r="G3783" t="s">
        <v>38</v>
      </c>
      <c r="H3783" t="s">
        <v>2188</v>
      </c>
      <c r="I3783" s="2">
        <v>286.29000000000002</v>
      </c>
      <c r="J3783" s="3">
        <v>3</v>
      </c>
      <c r="K3783" s="2">
        <v>17.18</v>
      </c>
    </row>
    <row r="3784" spans="1:11" x14ac:dyDescent="0.35">
      <c r="A3784" s="1">
        <v>42988</v>
      </c>
      <c r="B3784" s="3">
        <f t="shared" si="118"/>
        <v>2017</v>
      </c>
      <c r="C3784" s="3">
        <f t="shared" si="119"/>
        <v>9</v>
      </c>
      <c r="D3784" t="s">
        <v>2372</v>
      </c>
      <c r="E3784" t="s">
        <v>190</v>
      </c>
      <c r="F3784" t="s">
        <v>28</v>
      </c>
      <c r="G3784" t="s">
        <v>58</v>
      </c>
      <c r="H3784" t="s">
        <v>2373</v>
      </c>
      <c r="I3784" s="2">
        <v>24.18</v>
      </c>
      <c r="J3784" s="3">
        <v>2</v>
      </c>
      <c r="K3784" s="2">
        <v>7.25</v>
      </c>
    </row>
    <row r="3785" spans="1:11" x14ac:dyDescent="0.35">
      <c r="A3785" s="1">
        <v>42988</v>
      </c>
      <c r="B3785" s="3">
        <f t="shared" si="118"/>
        <v>2017</v>
      </c>
      <c r="C3785" s="3">
        <f t="shared" si="119"/>
        <v>9</v>
      </c>
      <c r="D3785" t="s">
        <v>1583</v>
      </c>
      <c r="E3785" t="s">
        <v>26</v>
      </c>
      <c r="F3785" t="s">
        <v>28</v>
      </c>
      <c r="G3785" t="s">
        <v>48</v>
      </c>
      <c r="H3785" t="s">
        <v>964</v>
      </c>
      <c r="I3785" s="2">
        <v>762.59</v>
      </c>
      <c r="J3785" s="3">
        <v>3</v>
      </c>
      <c r="K3785" s="2">
        <v>-1143.8900000000001</v>
      </c>
    </row>
    <row r="3786" spans="1:11" x14ac:dyDescent="0.35">
      <c r="A3786" s="1">
        <v>42988</v>
      </c>
      <c r="B3786" s="3">
        <f t="shared" si="118"/>
        <v>2017</v>
      </c>
      <c r="C3786" s="3">
        <f t="shared" si="119"/>
        <v>9</v>
      </c>
      <c r="D3786" t="s">
        <v>229</v>
      </c>
      <c r="E3786" t="s">
        <v>22</v>
      </c>
      <c r="F3786" t="s">
        <v>28</v>
      </c>
      <c r="G3786" t="s">
        <v>29</v>
      </c>
      <c r="H3786" t="s">
        <v>2374</v>
      </c>
      <c r="I3786" s="2">
        <v>18.760000000000002</v>
      </c>
      <c r="J3786" s="3">
        <v>2</v>
      </c>
      <c r="K3786" s="2">
        <v>9</v>
      </c>
    </row>
    <row r="3787" spans="1:11" x14ac:dyDescent="0.35">
      <c r="A3787" s="1">
        <v>42988</v>
      </c>
      <c r="B3787" s="3">
        <f t="shared" si="118"/>
        <v>2017</v>
      </c>
      <c r="C3787" s="3">
        <f t="shared" si="119"/>
        <v>9</v>
      </c>
      <c r="D3787" t="s">
        <v>1532</v>
      </c>
      <c r="E3787" t="s">
        <v>51</v>
      </c>
      <c r="F3787" t="s">
        <v>28</v>
      </c>
      <c r="G3787" t="s">
        <v>64</v>
      </c>
      <c r="H3787" t="s">
        <v>1971</v>
      </c>
      <c r="I3787" s="2">
        <v>14.88</v>
      </c>
      <c r="J3787" s="3">
        <v>2</v>
      </c>
      <c r="K3787" s="2">
        <v>3.72</v>
      </c>
    </row>
    <row r="3788" spans="1:11" x14ac:dyDescent="0.35">
      <c r="A3788" s="1">
        <v>42988</v>
      </c>
      <c r="B3788" s="3">
        <f t="shared" si="118"/>
        <v>2017</v>
      </c>
      <c r="C3788" s="3">
        <f t="shared" si="119"/>
        <v>9</v>
      </c>
      <c r="D3788" t="s">
        <v>110</v>
      </c>
      <c r="E3788" t="s">
        <v>131</v>
      </c>
      <c r="F3788" t="s">
        <v>28</v>
      </c>
      <c r="G3788" t="s">
        <v>29</v>
      </c>
      <c r="H3788" t="s">
        <v>1324</v>
      </c>
      <c r="I3788" s="2">
        <v>85.06</v>
      </c>
      <c r="J3788" s="3">
        <v>3</v>
      </c>
      <c r="K3788" s="2">
        <v>28.71</v>
      </c>
    </row>
    <row r="3789" spans="1:11" x14ac:dyDescent="0.35">
      <c r="A3789" s="1">
        <v>42988</v>
      </c>
      <c r="B3789" s="3">
        <f t="shared" si="118"/>
        <v>2017</v>
      </c>
      <c r="C3789" s="3">
        <f t="shared" si="119"/>
        <v>9</v>
      </c>
      <c r="D3789" t="s">
        <v>643</v>
      </c>
      <c r="E3789" t="s">
        <v>165</v>
      </c>
      <c r="F3789" t="s">
        <v>28</v>
      </c>
      <c r="G3789" t="s">
        <v>48</v>
      </c>
      <c r="H3789" t="s">
        <v>2375</v>
      </c>
      <c r="I3789" s="2">
        <v>2.78</v>
      </c>
      <c r="J3789" s="3">
        <v>1</v>
      </c>
      <c r="K3789" s="2">
        <v>1.36</v>
      </c>
    </row>
    <row r="3790" spans="1:11" x14ac:dyDescent="0.35">
      <c r="A3790" s="1">
        <v>42988</v>
      </c>
      <c r="B3790" s="3">
        <f t="shared" si="118"/>
        <v>2017</v>
      </c>
      <c r="C3790" s="3">
        <f t="shared" si="119"/>
        <v>9</v>
      </c>
      <c r="D3790" t="s">
        <v>1442</v>
      </c>
      <c r="E3790" t="s">
        <v>131</v>
      </c>
      <c r="F3790" t="s">
        <v>13</v>
      </c>
      <c r="G3790" t="s">
        <v>14</v>
      </c>
      <c r="H3790" t="s">
        <v>1312</v>
      </c>
      <c r="I3790" s="2">
        <v>37.06</v>
      </c>
      <c r="J3790" s="3">
        <v>4</v>
      </c>
      <c r="K3790" s="2">
        <v>8.8000000000000007</v>
      </c>
    </row>
    <row r="3791" spans="1:11" x14ac:dyDescent="0.35">
      <c r="A3791" s="1">
        <v>42988</v>
      </c>
      <c r="B3791" s="3">
        <f t="shared" si="118"/>
        <v>2017</v>
      </c>
      <c r="C3791" s="3">
        <f t="shared" si="119"/>
        <v>9</v>
      </c>
      <c r="D3791" t="s">
        <v>1442</v>
      </c>
      <c r="E3791" t="s">
        <v>131</v>
      </c>
      <c r="F3791" t="s">
        <v>13</v>
      </c>
      <c r="G3791" t="s">
        <v>23</v>
      </c>
      <c r="H3791" t="s">
        <v>1197</v>
      </c>
      <c r="I3791" s="2">
        <v>259.89999999999998</v>
      </c>
      <c r="J3791" s="3">
        <v>2</v>
      </c>
      <c r="K3791" s="2">
        <v>-56.31</v>
      </c>
    </row>
    <row r="3792" spans="1:11" x14ac:dyDescent="0.35">
      <c r="A3792" s="1">
        <v>43018</v>
      </c>
      <c r="B3792" s="3">
        <f t="shared" si="118"/>
        <v>2017</v>
      </c>
      <c r="C3792" s="3">
        <f t="shared" si="119"/>
        <v>10</v>
      </c>
      <c r="D3792" t="s">
        <v>1144</v>
      </c>
      <c r="E3792" t="s">
        <v>26</v>
      </c>
      <c r="F3792" t="s">
        <v>18</v>
      </c>
      <c r="G3792" t="s">
        <v>19</v>
      </c>
      <c r="H3792" t="s">
        <v>1080</v>
      </c>
      <c r="I3792" s="2">
        <v>239.36</v>
      </c>
      <c r="J3792" s="3">
        <v>3</v>
      </c>
      <c r="K3792" s="2">
        <v>-47.87</v>
      </c>
    </row>
    <row r="3793" spans="1:11" x14ac:dyDescent="0.35">
      <c r="A3793" s="1">
        <v>43049</v>
      </c>
      <c r="B3793" s="3">
        <f t="shared" si="118"/>
        <v>2017</v>
      </c>
      <c r="C3793" s="3">
        <f t="shared" si="119"/>
        <v>11</v>
      </c>
      <c r="D3793" t="s">
        <v>2376</v>
      </c>
      <c r="E3793" t="s">
        <v>211</v>
      </c>
      <c r="F3793" t="s">
        <v>28</v>
      </c>
      <c r="G3793" t="s">
        <v>48</v>
      </c>
      <c r="H3793" t="s">
        <v>415</v>
      </c>
      <c r="I3793" s="2">
        <v>38.39</v>
      </c>
      <c r="J3793" s="3">
        <v>14</v>
      </c>
      <c r="K3793" s="2">
        <v>-25.59</v>
      </c>
    </row>
    <row r="3794" spans="1:11" x14ac:dyDescent="0.35">
      <c r="A3794" s="1">
        <v>43049</v>
      </c>
      <c r="B3794" s="3">
        <f t="shared" si="118"/>
        <v>2017</v>
      </c>
      <c r="C3794" s="3">
        <f t="shared" si="119"/>
        <v>11</v>
      </c>
      <c r="D3794" t="s">
        <v>2376</v>
      </c>
      <c r="E3794" t="s">
        <v>211</v>
      </c>
      <c r="F3794" t="s">
        <v>13</v>
      </c>
      <c r="G3794" t="s">
        <v>204</v>
      </c>
      <c r="H3794" t="s">
        <v>2377</v>
      </c>
      <c r="I3794" s="2">
        <v>95.99</v>
      </c>
      <c r="J3794" s="3">
        <v>2</v>
      </c>
      <c r="K3794" s="2">
        <v>-64</v>
      </c>
    </row>
    <row r="3795" spans="1:11" x14ac:dyDescent="0.35">
      <c r="A3795" s="1">
        <v>43049</v>
      </c>
      <c r="B3795" s="3">
        <f t="shared" si="118"/>
        <v>2017</v>
      </c>
      <c r="C3795" s="3">
        <f t="shared" si="119"/>
        <v>11</v>
      </c>
      <c r="D3795" t="s">
        <v>2376</v>
      </c>
      <c r="E3795" t="s">
        <v>211</v>
      </c>
      <c r="F3795" t="s">
        <v>13</v>
      </c>
      <c r="G3795" t="s">
        <v>14</v>
      </c>
      <c r="H3795" t="s">
        <v>2094</v>
      </c>
      <c r="I3795" s="2">
        <v>239.95</v>
      </c>
      <c r="J3795" s="3">
        <v>6</v>
      </c>
      <c r="K3795" s="2">
        <v>-35.99</v>
      </c>
    </row>
    <row r="3796" spans="1:11" x14ac:dyDescent="0.35">
      <c r="A3796" s="1">
        <v>43049</v>
      </c>
      <c r="B3796" s="3">
        <f t="shared" si="118"/>
        <v>2017</v>
      </c>
      <c r="C3796" s="3">
        <f t="shared" si="119"/>
        <v>11</v>
      </c>
      <c r="D3796" t="s">
        <v>2376</v>
      </c>
      <c r="E3796" t="s">
        <v>211</v>
      </c>
      <c r="F3796" t="s">
        <v>13</v>
      </c>
      <c r="G3796" t="s">
        <v>23</v>
      </c>
      <c r="H3796" t="s">
        <v>69</v>
      </c>
      <c r="I3796" s="2">
        <v>201.58</v>
      </c>
      <c r="J3796" s="3">
        <v>2</v>
      </c>
      <c r="K3796" s="2">
        <v>15.12</v>
      </c>
    </row>
    <row r="3797" spans="1:11" x14ac:dyDescent="0.35">
      <c r="A3797" s="1">
        <v>43049</v>
      </c>
      <c r="B3797" s="3">
        <f t="shared" si="118"/>
        <v>2017</v>
      </c>
      <c r="C3797" s="3">
        <f t="shared" si="119"/>
        <v>11</v>
      </c>
      <c r="D3797" t="s">
        <v>2376</v>
      </c>
      <c r="E3797" t="s">
        <v>211</v>
      </c>
      <c r="F3797" t="s">
        <v>18</v>
      </c>
      <c r="G3797" t="s">
        <v>19</v>
      </c>
      <c r="H3797" t="s">
        <v>1564</v>
      </c>
      <c r="I3797" s="2">
        <v>899.14</v>
      </c>
      <c r="J3797" s="3">
        <v>4</v>
      </c>
      <c r="K3797" s="2">
        <v>-146.11000000000001</v>
      </c>
    </row>
    <row r="3798" spans="1:11" x14ac:dyDescent="0.35">
      <c r="A3798" s="1">
        <v>43049</v>
      </c>
      <c r="B3798" s="3">
        <f t="shared" si="118"/>
        <v>2017</v>
      </c>
      <c r="C3798" s="3">
        <f t="shared" si="119"/>
        <v>11</v>
      </c>
      <c r="D3798" t="s">
        <v>546</v>
      </c>
      <c r="E3798" t="s">
        <v>22</v>
      </c>
      <c r="F3798" t="s">
        <v>28</v>
      </c>
      <c r="G3798" t="s">
        <v>48</v>
      </c>
      <c r="H3798" t="s">
        <v>2378</v>
      </c>
      <c r="I3798" s="2">
        <v>931.18</v>
      </c>
      <c r="J3798" s="3">
        <v>3</v>
      </c>
      <c r="K3798" s="2">
        <v>314.27</v>
      </c>
    </row>
    <row r="3799" spans="1:11" x14ac:dyDescent="0.35">
      <c r="A3799" s="1">
        <v>43049</v>
      </c>
      <c r="B3799" s="3">
        <f t="shared" si="118"/>
        <v>2017</v>
      </c>
      <c r="C3799" s="3">
        <f t="shared" si="119"/>
        <v>11</v>
      </c>
      <c r="D3799" t="s">
        <v>546</v>
      </c>
      <c r="E3799" t="s">
        <v>22</v>
      </c>
      <c r="F3799" t="s">
        <v>13</v>
      </c>
      <c r="G3799" t="s">
        <v>23</v>
      </c>
      <c r="H3799" t="s">
        <v>1151</v>
      </c>
      <c r="I3799" s="2">
        <v>430.88</v>
      </c>
      <c r="J3799" s="3">
        <v>2</v>
      </c>
      <c r="K3799" s="2">
        <v>124.96</v>
      </c>
    </row>
    <row r="3800" spans="1:11" x14ac:dyDescent="0.35">
      <c r="A3800" s="1">
        <v>43049</v>
      </c>
      <c r="B3800" s="3">
        <f t="shared" si="118"/>
        <v>2017</v>
      </c>
      <c r="C3800" s="3">
        <f t="shared" si="119"/>
        <v>11</v>
      </c>
      <c r="D3800" t="s">
        <v>1274</v>
      </c>
      <c r="E3800" t="s">
        <v>32</v>
      </c>
      <c r="F3800" t="s">
        <v>18</v>
      </c>
      <c r="G3800" t="s">
        <v>36</v>
      </c>
      <c r="H3800" t="s">
        <v>331</v>
      </c>
      <c r="I3800" s="2">
        <v>341.96</v>
      </c>
      <c r="J3800" s="3">
        <v>5</v>
      </c>
      <c r="K3800" s="2">
        <v>-427.45</v>
      </c>
    </row>
    <row r="3801" spans="1:11" x14ac:dyDescent="0.35">
      <c r="A3801" s="1">
        <v>43049</v>
      </c>
      <c r="B3801" s="3">
        <f t="shared" si="118"/>
        <v>2017</v>
      </c>
      <c r="C3801" s="3">
        <f t="shared" si="119"/>
        <v>11</v>
      </c>
      <c r="D3801" t="s">
        <v>2101</v>
      </c>
      <c r="E3801" t="s">
        <v>17</v>
      </c>
      <c r="F3801" t="s">
        <v>28</v>
      </c>
      <c r="G3801" t="s">
        <v>48</v>
      </c>
      <c r="H3801" t="s">
        <v>2361</v>
      </c>
      <c r="I3801" s="2">
        <v>26.35</v>
      </c>
      <c r="J3801" s="3">
        <v>3</v>
      </c>
      <c r="K3801" s="2">
        <v>9.5500000000000007</v>
      </c>
    </row>
    <row r="3802" spans="1:11" x14ac:dyDescent="0.35">
      <c r="A3802" s="1">
        <v>43049</v>
      </c>
      <c r="B3802" s="3">
        <f t="shared" si="118"/>
        <v>2017</v>
      </c>
      <c r="C3802" s="3">
        <f t="shared" si="119"/>
        <v>11</v>
      </c>
      <c r="D3802" t="s">
        <v>1060</v>
      </c>
      <c r="E3802" t="s">
        <v>77</v>
      </c>
      <c r="F3802" t="s">
        <v>28</v>
      </c>
      <c r="G3802" t="s">
        <v>48</v>
      </c>
      <c r="H3802" t="s">
        <v>301</v>
      </c>
      <c r="I3802" s="2">
        <v>11.52</v>
      </c>
      <c r="J3802" s="3">
        <v>5</v>
      </c>
      <c r="K3802" s="2">
        <v>-7.68</v>
      </c>
    </row>
    <row r="3803" spans="1:11" x14ac:dyDescent="0.35">
      <c r="A3803" s="1">
        <v>43049</v>
      </c>
      <c r="B3803" s="3">
        <f t="shared" si="118"/>
        <v>2017</v>
      </c>
      <c r="C3803" s="3">
        <f t="shared" si="119"/>
        <v>11</v>
      </c>
      <c r="D3803" t="s">
        <v>2379</v>
      </c>
      <c r="E3803" t="s">
        <v>45</v>
      </c>
      <c r="F3803" t="s">
        <v>28</v>
      </c>
      <c r="G3803" t="s">
        <v>64</v>
      </c>
      <c r="H3803" t="s">
        <v>2380</v>
      </c>
      <c r="I3803" s="2">
        <v>7.8</v>
      </c>
      <c r="J3803" s="3">
        <v>3</v>
      </c>
      <c r="K3803" s="2">
        <v>2.11</v>
      </c>
    </row>
    <row r="3804" spans="1:11" x14ac:dyDescent="0.35">
      <c r="A3804" s="1">
        <v>43049</v>
      </c>
      <c r="B3804" s="3">
        <f t="shared" si="118"/>
        <v>2017</v>
      </c>
      <c r="C3804" s="3">
        <f t="shared" si="119"/>
        <v>11</v>
      </c>
      <c r="D3804" t="s">
        <v>455</v>
      </c>
      <c r="E3804" t="s">
        <v>17</v>
      </c>
      <c r="F3804" t="s">
        <v>28</v>
      </c>
      <c r="G3804" t="s">
        <v>58</v>
      </c>
      <c r="H3804" t="s">
        <v>2310</v>
      </c>
      <c r="I3804" s="2">
        <v>400.8</v>
      </c>
      <c r="J3804" s="3">
        <v>5</v>
      </c>
      <c r="K3804" s="2">
        <v>112.22</v>
      </c>
    </row>
    <row r="3805" spans="1:11" x14ac:dyDescent="0.35">
      <c r="A3805" s="1">
        <v>43049</v>
      </c>
      <c r="B3805" s="3">
        <f t="shared" si="118"/>
        <v>2017</v>
      </c>
      <c r="C3805" s="3">
        <f t="shared" si="119"/>
        <v>11</v>
      </c>
      <c r="D3805" t="s">
        <v>455</v>
      </c>
      <c r="E3805" t="s">
        <v>17</v>
      </c>
      <c r="F3805" t="s">
        <v>28</v>
      </c>
      <c r="G3805" t="s">
        <v>48</v>
      </c>
      <c r="H3805" t="s">
        <v>1935</v>
      </c>
      <c r="I3805" s="2">
        <v>28.79</v>
      </c>
      <c r="J3805" s="3">
        <v>1</v>
      </c>
      <c r="K3805" s="2">
        <v>10.08</v>
      </c>
    </row>
    <row r="3806" spans="1:11" x14ac:dyDescent="0.35">
      <c r="A3806" s="1">
        <v>43049</v>
      </c>
      <c r="B3806" s="3">
        <f t="shared" si="118"/>
        <v>2017</v>
      </c>
      <c r="C3806" s="3">
        <f t="shared" si="119"/>
        <v>11</v>
      </c>
      <c r="D3806" t="s">
        <v>1339</v>
      </c>
      <c r="E3806" t="s">
        <v>45</v>
      </c>
      <c r="F3806" t="s">
        <v>13</v>
      </c>
      <c r="G3806" t="s">
        <v>14</v>
      </c>
      <c r="H3806" t="s">
        <v>2381</v>
      </c>
      <c r="I3806" s="2">
        <v>111.79</v>
      </c>
      <c r="J3806" s="3">
        <v>7</v>
      </c>
      <c r="K3806" s="2">
        <v>43.6</v>
      </c>
    </row>
    <row r="3807" spans="1:11" x14ac:dyDescent="0.35">
      <c r="A3807" s="1">
        <v>43049</v>
      </c>
      <c r="B3807" s="3">
        <f t="shared" si="118"/>
        <v>2017</v>
      </c>
      <c r="C3807" s="3">
        <f t="shared" si="119"/>
        <v>11</v>
      </c>
      <c r="D3807" t="s">
        <v>524</v>
      </c>
      <c r="E3807" t="s">
        <v>45</v>
      </c>
      <c r="F3807" t="s">
        <v>18</v>
      </c>
      <c r="G3807" t="s">
        <v>19</v>
      </c>
      <c r="H3807" t="s">
        <v>1535</v>
      </c>
      <c r="I3807" s="2">
        <v>241.42</v>
      </c>
      <c r="J3807" s="3">
        <v>2</v>
      </c>
      <c r="K3807" s="2">
        <v>-36.21</v>
      </c>
    </row>
    <row r="3808" spans="1:11" x14ac:dyDescent="0.35">
      <c r="A3808" s="1">
        <v>43079</v>
      </c>
      <c r="B3808" s="3">
        <f t="shared" si="118"/>
        <v>2017</v>
      </c>
      <c r="C3808" s="3">
        <f t="shared" si="119"/>
        <v>12</v>
      </c>
      <c r="D3808" t="s">
        <v>1777</v>
      </c>
      <c r="E3808" t="s">
        <v>45</v>
      </c>
      <c r="F3808" t="s">
        <v>28</v>
      </c>
      <c r="G3808" t="s">
        <v>48</v>
      </c>
      <c r="H3808" t="s">
        <v>792</v>
      </c>
      <c r="I3808" s="2">
        <v>19.940000000000001</v>
      </c>
      <c r="J3808" s="3">
        <v>4</v>
      </c>
      <c r="K3808" s="2">
        <v>7.23</v>
      </c>
    </row>
    <row r="3809" spans="1:11" x14ac:dyDescent="0.35">
      <c r="A3809" s="1">
        <v>43079</v>
      </c>
      <c r="B3809" s="3">
        <f t="shared" si="118"/>
        <v>2017</v>
      </c>
      <c r="C3809" s="3">
        <f t="shared" si="119"/>
        <v>12</v>
      </c>
      <c r="D3809" t="s">
        <v>1777</v>
      </c>
      <c r="E3809" t="s">
        <v>45</v>
      </c>
      <c r="F3809" t="s">
        <v>28</v>
      </c>
      <c r="G3809" t="s">
        <v>48</v>
      </c>
      <c r="H3809" t="s">
        <v>686</v>
      </c>
      <c r="I3809" s="2">
        <v>65.569999999999993</v>
      </c>
      <c r="J3809" s="3">
        <v>2</v>
      </c>
      <c r="K3809" s="2">
        <v>22.95</v>
      </c>
    </row>
    <row r="3810" spans="1:11" x14ac:dyDescent="0.35">
      <c r="A3810" s="1">
        <v>43079</v>
      </c>
      <c r="B3810" s="3">
        <f t="shared" si="118"/>
        <v>2017</v>
      </c>
      <c r="C3810" s="3">
        <f t="shared" si="119"/>
        <v>12</v>
      </c>
      <c r="D3810" t="s">
        <v>939</v>
      </c>
      <c r="E3810" t="s">
        <v>89</v>
      </c>
      <c r="F3810" t="s">
        <v>13</v>
      </c>
      <c r="G3810" t="s">
        <v>14</v>
      </c>
      <c r="H3810" t="s">
        <v>2327</v>
      </c>
      <c r="I3810" s="2">
        <v>14.2</v>
      </c>
      <c r="J3810" s="3">
        <v>1</v>
      </c>
      <c r="K3810" s="2">
        <v>3.37</v>
      </c>
    </row>
    <row r="3811" spans="1:11" x14ac:dyDescent="0.35">
      <c r="A3811" s="1">
        <v>43079</v>
      </c>
      <c r="B3811" s="3">
        <f t="shared" si="118"/>
        <v>2017</v>
      </c>
      <c r="C3811" s="3">
        <f t="shared" si="119"/>
        <v>12</v>
      </c>
      <c r="D3811" t="s">
        <v>1897</v>
      </c>
      <c r="E3811" t="s">
        <v>334</v>
      </c>
      <c r="F3811" t="s">
        <v>28</v>
      </c>
      <c r="G3811" t="s">
        <v>48</v>
      </c>
      <c r="H3811" t="s">
        <v>584</v>
      </c>
      <c r="I3811" s="2">
        <v>34.5</v>
      </c>
      <c r="J3811" s="3">
        <v>3</v>
      </c>
      <c r="K3811" s="2">
        <v>15.53</v>
      </c>
    </row>
    <row r="3812" spans="1:11" x14ac:dyDescent="0.35">
      <c r="A3812" s="1">
        <v>43079</v>
      </c>
      <c r="B3812" s="3">
        <f t="shared" si="118"/>
        <v>2017</v>
      </c>
      <c r="C3812" s="3">
        <f t="shared" si="119"/>
        <v>12</v>
      </c>
      <c r="D3812" t="s">
        <v>455</v>
      </c>
      <c r="E3812" t="s">
        <v>100</v>
      </c>
      <c r="F3812" t="s">
        <v>18</v>
      </c>
      <c r="G3812" t="s">
        <v>42</v>
      </c>
      <c r="H3812" t="s">
        <v>2020</v>
      </c>
      <c r="I3812" s="2">
        <v>1669.6</v>
      </c>
      <c r="J3812" s="3">
        <v>4</v>
      </c>
      <c r="K3812" s="2">
        <v>116.87</v>
      </c>
    </row>
    <row r="3813" spans="1:11" x14ac:dyDescent="0.35">
      <c r="A3813" s="1">
        <v>43079</v>
      </c>
      <c r="B3813" s="3">
        <f t="shared" si="118"/>
        <v>2017</v>
      </c>
      <c r="C3813" s="3">
        <f t="shared" si="119"/>
        <v>12</v>
      </c>
      <c r="D3813" t="s">
        <v>2146</v>
      </c>
      <c r="E3813" t="s">
        <v>89</v>
      </c>
      <c r="F3813" t="s">
        <v>28</v>
      </c>
      <c r="G3813" t="s">
        <v>29</v>
      </c>
      <c r="H3813" t="s">
        <v>799</v>
      </c>
      <c r="I3813" s="2">
        <v>10.37</v>
      </c>
      <c r="J3813" s="3">
        <v>2</v>
      </c>
      <c r="K3813" s="2">
        <v>3.63</v>
      </c>
    </row>
    <row r="3814" spans="1:11" x14ac:dyDescent="0.35">
      <c r="A3814" s="1">
        <v>43079</v>
      </c>
      <c r="B3814" s="3">
        <f t="shared" si="118"/>
        <v>2017</v>
      </c>
      <c r="C3814" s="3">
        <f t="shared" si="119"/>
        <v>12</v>
      </c>
      <c r="D3814" t="s">
        <v>2146</v>
      </c>
      <c r="E3814" t="s">
        <v>89</v>
      </c>
      <c r="F3814" t="s">
        <v>18</v>
      </c>
      <c r="G3814" t="s">
        <v>36</v>
      </c>
      <c r="H3814" t="s">
        <v>1890</v>
      </c>
      <c r="I3814" s="2">
        <v>310.88</v>
      </c>
      <c r="J3814" s="3">
        <v>2</v>
      </c>
      <c r="K3814" s="2">
        <v>23.32</v>
      </c>
    </row>
    <row r="3815" spans="1:11" x14ac:dyDescent="0.35">
      <c r="A3815" s="1">
        <v>43079</v>
      </c>
      <c r="B3815" s="3">
        <f t="shared" si="118"/>
        <v>2017</v>
      </c>
      <c r="C3815" s="3">
        <f t="shared" si="119"/>
        <v>12</v>
      </c>
      <c r="D3815" t="s">
        <v>401</v>
      </c>
      <c r="E3815" t="s">
        <v>323</v>
      </c>
      <c r="F3815" t="s">
        <v>28</v>
      </c>
      <c r="G3815" t="s">
        <v>158</v>
      </c>
      <c r="H3815" t="s">
        <v>311</v>
      </c>
      <c r="I3815" s="2">
        <v>10.86</v>
      </c>
      <c r="J3815" s="3">
        <v>3</v>
      </c>
      <c r="K3815" s="2">
        <v>5.0999999999999996</v>
      </c>
    </row>
    <row r="3816" spans="1:11" x14ac:dyDescent="0.35">
      <c r="A3816" s="1">
        <v>43079</v>
      </c>
      <c r="B3816" s="3">
        <f t="shared" si="118"/>
        <v>2017</v>
      </c>
      <c r="C3816" s="3">
        <f t="shared" si="119"/>
        <v>12</v>
      </c>
      <c r="D3816" t="s">
        <v>401</v>
      </c>
      <c r="E3816" t="s">
        <v>323</v>
      </c>
      <c r="F3816" t="s">
        <v>28</v>
      </c>
      <c r="G3816" t="s">
        <v>58</v>
      </c>
      <c r="H3816" t="s">
        <v>2367</v>
      </c>
      <c r="I3816" s="2">
        <v>426.79</v>
      </c>
      <c r="J3816" s="3">
        <v>7</v>
      </c>
      <c r="K3816" s="2">
        <v>123.77</v>
      </c>
    </row>
    <row r="3817" spans="1:11" x14ac:dyDescent="0.35">
      <c r="A3817" s="1">
        <v>43079</v>
      </c>
      <c r="B3817" s="3">
        <f t="shared" si="118"/>
        <v>2017</v>
      </c>
      <c r="C3817" s="3">
        <f t="shared" si="119"/>
        <v>12</v>
      </c>
      <c r="D3817" t="s">
        <v>1438</v>
      </c>
      <c r="E3817" t="s">
        <v>77</v>
      </c>
      <c r="F3817" t="s">
        <v>18</v>
      </c>
      <c r="G3817" t="s">
        <v>36</v>
      </c>
      <c r="H3817" t="s">
        <v>1223</v>
      </c>
      <c r="I3817" s="2">
        <v>19.100000000000001</v>
      </c>
      <c r="J3817" s="3">
        <v>3</v>
      </c>
      <c r="K3817" s="2">
        <v>5.73</v>
      </c>
    </row>
    <row r="3818" spans="1:11" x14ac:dyDescent="0.35">
      <c r="A3818" s="1">
        <v>43079</v>
      </c>
      <c r="B3818" s="3">
        <f t="shared" si="118"/>
        <v>2017</v>
      </c>
      <c r="C3818" s="3">
        <f t="shared" si="119"/>
        <v>12</v>
      </c>
      <c r="D3818" t="s">
        <v>1777</v>
      </c>
      <c r="E3818" t="s">
        <v>17</v>
      </c>
      <c r="F3818" t="s">
        <v>13</v>
      </c>
      <c r="G3818" t="s">
        <v>14</v>
      </c>
      <c r="H3818" t="s">
        <v>475</v>
      </c>
      <c r="I3818" s="2">
        <v>49.08</v>
      </c>
      <c r="J3818" s="3">
        <v>3</v>
      </c>
      <c r="K3818" s="2">
        <v>4.91</v>
      </c>
    </row>
    <row r="3819" spans="1:11" x14ac:dyDescent="0.35">
      <c r="A3819" s="1">
        <v>43079</v>
      </c>
      <c r="B3819" s="3">
        <f t="shared" si="118"/>
        <v>2017</v>
      </c>
      <c r="C3819" s="3">
        <f t="shared" si="119"/>
        <v>12</v>
      </c>
      <c r="D3819" t="s">
        <v>1777</v>
      </c>
      <c r="E3819" t="s">
        <v>17</v>
      </c>
      <c r="F3819" t="s">
        <v>28</v>
      </c>
      <c r="G3819" t="s">
        <v>38</v>
      </c>
      <c r="H3819" t="s">
        <v>1843</v>
      </c>
      <c r="I3819" s="2">
        <v>324.89999999999998</v>
      </c>
      <c r="J3819" s="3">
        <v>5</v>
      </c>
      <c r="K3819" s="2">
        <v>38.99</v>
      </c>
    </row>
    <row r="3820" spans="1:11" x14ac:dyDescent="0.35">
      <c r="A3820" s="1">
        <v>43079</v>
      </c>
      <c r="B3820" s="3">
        <f t="shared" si="118"/>
        <v>2017</v>
      </c>
      <c r="C3820" s="3">
        <f t="shared" si="119"/>
        <v>12</v>
      </c>
      <c r="D3820" t="s">
        <v>1777</v>
      </c>
      <c r="E3820" t="s">
        <v>17</v>
      </c>
      <c r="F3820" t="s">
        <v>28</v>
      </c>
      <c r="G3820" t="s">
        <v>64</v>
      </c>
      <c r="H3820" t="s">
        <v>2382</v>
      </c>
      <c r="I3820" s="2">
        <v>18.239999999999998</v>
      </c>
      <c r="J3820" s="3">
        <v>3</v>
      </c>
      <c r="K3820" s="2">
        <v>5.29</v>
      </c>
    </row>
    <row r="3821" spans="1:11" x14ac:dyDescent="0.35">
      <c r="A3821" s="1">
        <v>43079</v>
      </c>
      <c r="B3821" s="3">
        <f t="shared" si="118"/>
        <v>2017</v>
      </c>
      <c r="C3821" s="3">
        <f t="shared" si="119"/>
        <v>12</v>
      </c>
      <c r="D3821" t="s">
        <v>1303</v>
      </c>
      <c r="E3821" t="s">
        <v>456</v>
      </c>
      <c r="F3821" t="s">
        <v>13</v>
      </c>
      <c r="G3821" t="s">
        <v>14</v>
      </c>
      <c r="H3821" t="s">
        <v>1074</v>
      </c>
      <c r="I3821" s="2">
        <v>599.97</v>
      </c>
      <c r="J3821" s="3">
        <v>3</v>
      </c>
      <c r="K3821" s="2">
        <v>257.99</v>
      </c>
    </row>
    <row r="3822" spans="1:11" x14ac:dyDescent="0.35">
      <c r="A3822" s="1">
        <v>43079</v>
      </c>
      <c r="B3822" s="3">
        <f t="shared" si="118"/>
        <v>2017</v>
      </c>
      <c r="C3822" s="3">
        <f t="shared" si="119"/>
        <v>12</v>
      </c>
      <c r="D3822" t="s">
        <v>1303</v>
      </c>
      <c r="E3822" t="s">
        <v>456</v>
      </c>
      <c r="F3822" t="s">
        <v>13</v>
      </c>
      <c r="G3822" t="s">
        <v>23</v>
      </c>
      <c r="H3822" t="s">
        <v>1648</v>
      </c>
      <c r="I3822" s="2">
        <v>38.97</v>
      </c>
      <c r="J3822" s="3">
        <v>3</v>
      </c>
      <c r="K3822" s="2">
        <v>0.78</v>
      </c>
    </row>
    <row r="3823" spans="1:11" x14ac:dyDescent="0.35">
      <c r="A3823" s="1">
        <v>43079</v>
      </c>
      <c r="B3823" s="3">
        <f t="shared" si="118"/>
        <v>2017</v>
      </c>
      <c r="C3823" s="3">
        <f t="shared" si="119"/>
        <v>12</v>
      </c>
      <c r="D3823" t="s">
        <v>1303</v>
      </c>
      <c r="E3823" t="s">
        <v>456</v>
      </c>
      <c r="F3823" t="s">
        <v>28</v>
      </c>
      <c r="G3823" t="s">
        <v>48</v>
      </c>
      <c r="H3823" t="s">
        <v>2115</v>
      </c>
      <c r="I3823" s="2">
        <v>45.84</v>
      </c>
      <c r="J3823" s="3">
        <v>8</v>
      </c>
      <c r="K3823" s="2">
        <v>22</v>
      </c>
    </row>
    <row r="3824" spans="1:11" x14ac:dyDescent="0.35">
      <c r="A3824" s="1">
        <v>43079</v>
      </c>
      <c r="B3824" s="3">
        <f t="shared" si="118"/>
        <v>2017</v>
      </c>
      <c r="C3824" s="3">
        <f t="shared" si="119"/>
        <v>12</v>
      </c>
      <c r="D3824" t="s">
        <v>1745</v>
      </c>
      <c r="E3824" t="s">
        <v>45</v>
      </c>
      <c r="F3824" t="s">
        <v>13</v>
      </c>
      <c r="G3824" t="s">
        <v>23</v>
      </c>
      <c r="H3824" t="s">
        <v>1046</v>
      </c>
      <c r="I3824" s="2">
        <v>95.84</v>
      </c>
      <c r="J3824" s="3">
        <v>4</v>
      </c>
      <c r="K3824" s="2">
        <v>34.74</v>
      </c>
    </row>
    <row r="3825" spans="1:11" x14ac:dyDescent="0.35">
      <c r="A3825" s="1">
        <v>43079</v>
      </c>
      <c r="B3825" s="3">
        <f t="shared" si="118"/>
        <v>2017</v>
      </c>
      <c r="C3825" s="3">
        <f t="shared" si="119"/>
        <v>12</v>
      </c>
      <c r="D3825" t="s">
        <v>1745</v>
      </c>
      <c r="E3825" t="s">
        <v>45</v>
      </c>
      <c r="F3825" t="s">
        <v>28</v>
      </c>
      <c r="G3825" t="s">
        <v>29</v>
      </c>
      <c r="H3825" t="s">
        <v>522</v>
      </c>
      <c r="I3825" s="2">
        <v>12.96</v>
      </c>
      <c r="J3825" s="3">
        <v>2</v>
      </c>
      <c r="K3825" s="2">
        <v>6.22</v>
      </c>
    </row>
    <row r="3826" spans="1:11" x14ac:dyDescent="0.35">
      <c r="A3826" s="1">
        <v>43079</v>
      </c>
      <c r="B3826" s="3">
        <f t="shared" si="118"/>
        <v>2017</v>
      </c>
      <c r="C3826" s="3">
        <f t="shared" si="119"/>
        <v>12</v>
      </c>
      <c r="D3826" t="s">
        <v>1868</v>
      </c>
      <c r="E3826" t="s">
        <v>351</v>
      </c>
      <c r="F3826" t="s">
        <v>18</v>
      </c>
      <c r="G3826" t="s">
        <v>36</v>
      </c>
      <c r="H3826" t="s">
        <v>1282</v>
      </c>
      <c r="I3826" s="2">
        <v>14.76</v>
      </c>
      <c r="J3826" s="3">
        <v>2</v>
      </c>
      <c r="K3826" s="2">
        <v>4.28</v>
      </c>
    </row>
    <row r="3827" spans="1:11" x14ac:dyDescent="0.35">
      <c r="A3827" s="1">
        <v>43079</v>
      </c>
      <c r="B3827" s="3">
        <f t="shared" si="118"/>
        <v>2017</v>
      </c>
      <c r="C3827" s="3">
        <f t="shared" si="119"/>
        <v>12</v>
      </c>
      <c r="D3827" t="s">
        <v>412</v>
      </c>
      <c r="E3827" t="s">
        <v>89</v>
      </c>
      <c r="F3827" t="s">
        <v>28</v>
      </c>
      <c r="G3827" t="s">
        <v>48</v>
      </c>
      <c r="H3827" t="s">
        <v>1703</v>
      </c>
      <c r="I3827" s="2">
        <v>3.27</v>
      </c>
      <c r="J3827" s="3">
        <v>1</v>
      </c>
      <c r="K3827" s="2">
        <v>-2.5099999999999998</v>
      </c>
    </row>
    <row r="3828" spans="1:11" x14ac:dyDescent="0.35">
      <c r="A3828" s="1">
        <v>43079</v>
      </c>
      <c r="B3828" s="3">
        <f t="shared" si="118"/>
        <v>2017</v>
      </c>
      <c r="C3828" s="3">
        <f t="shared" si="119"/>
        <v>12</v>
      </c>
      <c r="D3828" t="s">
        <v>412</v>
      </c>
      <c r="E3828" t="s">
        <v>89</v>
      </c>
      <c r="F3828" t="s">
        <v>18</v>
      </c>
      <c r="G3828" t="s">
        <v>36</v>
      </c>
      <c r="H3828" t="s">
        <v>287</v>
      </c>
      <c r="I3828" s="2">
        <v>87.92</v>
      </c>
      <c r="J3828" s="3">
        <v>5</v>
      </c>
      <c r="K3828" s="2">
        <v>15.39</v>
      </c>
    </row>
    <row r="3829" spans="1:11" x14ac:dyDescent="0.35">
      <c r="A3829" s="1">
        <v>42777</v>
      </c>
      <c r="B3829" s="3">
        <f t="shared" si="118"/>
        <v>2017</v>
      </c>
      <c r="C3829" s="3">
        <f t="shared" si="119"/>
        <v>2</v>
      </c>
      <c r="D3829" t="s">
        <v>912</v>
      </c>
      <c r="E3829" t="s">
        <v>45</v>
      </c>
      <c r="F3829" t="s">
        <v>28</v>
      </c>
      <c r="G3829" t="s">
        <v>48</v>
      </c>
      <c r="H3829" t="s">
        <v>2130</v>
      </c>
      <c r="I3829" s="2">
        <v>21.34</v>
      </c>
      <c r="J3829" s="3">
        <v>7</v>
      </c>
      <c r="K3829" s="2">
        <v>7.73</v>
      </c>
    </row>
    <row r="3830" spans="1:11" x14ac:dyDescent="0.35">
      <c r="A3830" s="1">
        <v>42777</v>
      </c>
      <c r="B3830" s="3">
        <f t="shared" si="118"/>
        <v>2017</v>
      </c>
      <c r="C3830" s="3">
        <f t="shared" si="119"/>
        <v>2</v>
      </c>
      <c r="D3830" t="s">
        <v>1107</v>
      </c>
      <c r="E3830" t="s">
        <v>17</v>
      </c>
      <c r="F3830" t="s">
        <v>18</v>
      </c>
      <c r="G3830" t="s">
        <v>19</v>
      </c>
      <c r="H3830" t="s">
        <v>605</v>
      </c>
      <c r="I3830" s="2">
        <v>963.14</v>
      </c>
      <c r="J3830" s="3">
        <v>4</v>
      </c>
      <c r="K3830" s="2">
        <v>108.35</v>
      </c>
    </row>
    <row r="3831" spans="1:11" x14ac:dyDescent="0.35">
      <c r="A3831" s="1">
        <v>42777</v>
      </c>
      <c r="B3831" s="3">
        <f t="shared" si="118"/>
        <v>2017</v>
      </c>
      <c r="C3831" s="3">
        <f t="shared" si="119"/>
        <v>2</v>
      </c>
      <c r="D3831" t="s">
        <v>1107</v>
      </c>
      <c r="E3831" t="s">
        <v>17</v>
      </c>
      <c r="F3831" t="s">
        <v>13</v>
      </c>
      <c r="G3831" t="s">
        <v>23</v>
      </c>
      <c r="H3831" t="s">
        <v>187</v>
      </c>
      <c r="I3831" s="2">
        <v>88.78</v>
      </c>
      <c r="J3831" s="3">
        <v>3</v>
      </c>
      <c r="K3831" s="2">
        <v>7.77</v>
      </c>
    </row>
    <row r="3832" spans="1:11" x14ac:dyDescent="0.35">
      <c r="A3832" s="1">
        <v>42777</v>
      </c>
      <c r="B3832" s="3">
        <f t="shared" si="118"/>
        <v>2017</v>
      </c>
      <c r="C3832" s="3">
        <f t="shared" si="119"/>
        <v>2</v>
      </c>
      <c r="D3832" t="s">
        <v>2210</v>
      </c>
      <c r="E3832" t="s">
        <v>22</v>
      </c>
      <c r="F3832" t="s">
        <v>28</v>
      </c>
      <c r="G3832" t="s">
        <v>46</v>
      </c>
      <c r="H3832" t="s">
        <v>1644</v>
      </c>
      <c r="I3832" s="2">
        <v>20.7</v>
      </c>
      <c r="J3832" s="3">
        <v>2</v>
      </c>
      <c r="K3832" s="2">
        <v>9.94</v>
      </c>
    </row>
    <row r="3833" spans="1:11" x14ac:dyDescent="0.35">
      <c r="A3833" s="1">
        <v>42777</v>
      </c>
      <c r="B3833" s="3">
        <f t="shared" si="118"/>
        <v>2017</v>
      </c>
      <c r="C3833" s="3">
        <f t="shared" si="119"/>
        <v>2</v>
      </c>
      <c r="D3833" t="s">
        <v>2383</v>
      </c>
      <c r="E3833" t="s">
        <v>131</v>
      </c>
      <c r="F3833" t="s">
        <v>18</v>
      </c>
      <c r="G3833" t="s">
        <v>36</v>
      </c>
      <c r="H3833" t="s">
        <v>1685</v>
      </c>
      <c r="I3833" s="2">
        <v>147.57</v>
      </c>
      <c r="J3833" s="3">
        <v>2</v>
      </c>
      <c r="K3833" s="2">
        <v>-3.69</v>
      </c>
    </row>
    <row r="3834" spans="1:11" x14ac:dyDescent="0.35">
      <c r="A3834" s="1">
        <v>42805</v>
      </c>
      <c r="B3834" s="3">
        <f t="shared" si="118"/>
        <v>2017</v>
      </c>
      <c r="C3834" s="3">
        <f t="shared" si="119"/>
        <v>3</v>
      </c>
      <c r="D3834" t="s">
        <v>1475</v>
      </c>
      <c r="E3834" t="s">
        <v>71</v>
      </c>
      <c r="F3834" t="s">
        <v>28</v>
      </c>
      <c r="G3834" t="s">
        <v>48</v>
      </c>
      <c r="H3834" t="s">
        <v>2384</v>
      </c>
      <c r="I3834" s="2">
        <v>895.92</v>
      </c>
      <c r="J3834" s="3">
        <v>4</v>
      </c>
      <c r="K3834" s="2">
        <v>421.08</v>
      </c>
    </row>
    <row r="3835" spans="1:11" x14ac:dyDescent="0.35">
      <c r="A3835" s="1">
        <v>42805</v>
      </c>
      <c r="B3835" s="3">
        <f t="shared" si="118"/>
        <v>2017</v>
      </c>
      <c r="C3835" s="3">
        <f t="shared" si="119"/>
        <v>3</v>
      </c>
      <c r="D3835" t="s">
        <v>2151</v>
      </c>
      <c r="E3835" t="s">
        <v>89</v>
      </c>
      <c r="F3835" t="s">
        <v>13</v>
      </c>
      <c r="G3835" t="s">
        <v>23</v>
      </c>
      <c r="H3835" t="s">
        <v>1878</v>
      </c>
      <c r="I3835" s="2">
        <v>776.85</v>
      </c>
      <c r="J3835" s="3">
        <v>5</v>
      </c>
      <c r="K3835" s="2">
        <v>-181.27</v>
      </c>
    </row>
    <row r="3836" spans="1:11" x14ac:dyDescent="0.35">
      <c r="A3836" s="1">
        <v>42805</v>
      </c>
      <c r="B3836" s="3">
        <f t="shared" si="118"/>
        <v>2017</v>
      </c>
      <c r="C3836" s="3">
        <f t="shared" si="119"/>
        <v>3</v>
      </c>
      <c r="D3836" t="s">
        <v>2151</v>
      </c>
      <c r="E3836" t="s">
        <v>89</v>
      </c>
      <c r="F3836" t="s">
        <v>28</v>
      </c>
      <c r="G3836" t="s">
        <v>48</v>
      </c>
      <c r="H3836" t="s">
        <v>547</v>
      </c>
      <c r="I3836" s="2">
        <v>12.29</v>
      </c>
      <c r="J3836" s="3">
        <v>1</v>
      </c>
      <c r="K3836" s="2">
        <v>-8.61</v>
      </c>
    </row>
    <row r="3837" spans="1:11" x14ac:dyDescent="0.35">
      <c r="A3837" s="1">
        <v>42805</v>
      </c>
      <c r="B3837" s="3">
        <f t="shared" si="118"/>
        <v>2017</v>
      </c>
      <c r="C3837" s="3">
        <f t="shared" si="119"/>
        <v>3</v>
      </c>
      <c r="D3837" t="s">
        <v>2151</v>
      </c>
      <c r="E3837" t="s">
        <v>89</v>
      </c>
      <c r="F3837" t="s">
        <v>18</v>
      </c>
      <c r="G3837" t="s">
        <v>42</v>
      </c>
      <c r="H3837" t="s">
        <v>283</v>
      </c>
      <c r="I3837" s="2">
        <v>154.76</v>
      </c>
      <c r="J3837" s="3">
        <v>3</v>
      </c>
      <c r="K3837" s="2">
        <v>-46.43</v>
      </c>
    </row>
    <row r="3838" spans="1:11" x14ac:dyDescent="0.35">
      <c r="A3838" s="1">
        <v>42805</v>
      </c>
      <c r="B3838" s="3">
        <f t="shared" si="118"/>
        <v>2017</v>
      </c>
      <c r="C3838" s="3">
        <f t="shared" si="119"/>
        <v>3</v>
      </c>
      <c r="D3838" t="s">
        <v>2151</v>
      </c>
      <c r="E3838" t="s">
        <v>89</v>
      </c>
      <c r="F3838" t="s">
        <v>28</v>
      </c>
      <c r="G3838" t="s">
        <v>38</v>
      </c>
      <c r="H3838" t="s">
        <v>2385</v>
      </c>
      <c r="I3838" s="2">
        <v>43.28</v>
      </c>
      <c r="J3838" s="3">
        <v>1</v>
      </c>
      <c r="K3838" s="2">
        <v>3.25</v>
      </c>
    </row>
    <row r="3839" spans="1:11" x14ac:dyDescent="0.35">
      <c r="A3839" s="1">
        <v>42805</v>
      </c>
      <c r="B3839" s="3">
        <f t="shared" si="118"/>
        <v>2017</v>
      </c>
      <c r="C3839" s="3">
        <f t="shared" si="119"/>
        <v>3</v>
      </c>
      <c r="D3839" t="s">
        <v>988</v>
      </c>
      <c r="E3839" t="s">
        <v>51</v>
      </c>
      <c r="F3839" t="s">
        <v>13</v>
      </c>
      <c r="G3839" t="s">
        <v>14</v>
      </c>
      <c r="H3839" t="s">
        <v>2381</v>
      </c>
      <c r="I3839" s="2">
        <v>63.88</v>
      </c>
      <c r="J3839" s="3">
        <v>4</v>
      </c>
      <c r="K3839" s="2">
        <v>24.91</v>
      </c>
    </row>
    <row r="3840" spans="1:11" x14ac:dyDescent="0.35">
      <c r="A3840" s="1">
        <v>42805</v>
      </c>
      <c r="B3840" s="3">
        <f t="shared" si="118"/>
        <v>2017</v>
      </c>
      <c r="C3840" s="3">
        <f t="shared" si="119"/>
        <v>3</v>
      </c>
      <c r="D3840" t="s">
        <v>988</v>
      </c>
      <c r="E3840" t="s">
        <v>51</v>
      </c>
      <c r="F3840" t="s">
        <v>18</v>
      </c>
      <c r="G3840" t="s">
        <v>36</v>
      </c>
      <c r="H3840" t="s">
        <v>2386</v>
      </c>
      <c r="I3840" s="2">
        <v>26.72</v>
      </c>
      <c r="J3840" s="3">
        <v>1</v>
      </c>
      <c r="K3840" s="2">
        <v>11.76</v>
      </c>
    </row>
    <row r="3841" spans="1:11" x14ac:dyDescent="0.35">
      <c r="A3841" s="1">
        <v>42836</v>
      </c>
      <c r="B3841" s="3">
        <f t="shared" si="118"/>
        <v>2017</v>
      </c>
      <c r="C3841" s="3">
        <f t="shared" si="119"/>
        <v>4</v>
      </c>
      <c r="D3841" t="s">
        <v>1012</v>
      </c>
      <c r="E3841" t="s">
        <v>45</v>
      </c>
      <c r="F3841" t="s">
        <v>13</v>
      </c>
      <c r="G3841" t="s">
        <v>14</v>
      </c>
      <c r="H3841" t="s">
        <v>693</v>
      </c>
      <c r="I3841" s="2">
        <v>199.95</v>
      </c>
      <c r="J3841" s="3">
        <v>5</v>
      </c>
      <c r="K3841" s="2">
        <v>21.99</v>
      </c>
    </row>
    <row r="3842" spans="1:11" x14ac:dyDescent="0.35">
      <c r="A3842" s="1">
        <v>42836</v>
      </c>
      <c r="B3842" s="3">
        <f t="shared" ref="B3842:B3905" si="120">YEAR(A3842)</f>
        <v>2017</v>
      </c>
      <c r="C3842" s="3">
        <f t="shared" ref="C3842:C3905" si="121">MONTH(A3842)</f>
        <v>4</v>
      </c>
      <c r="D3842" t="s">
        <v>1012</v>
      </c>
      <c r="E3842" t="s">
        <v>45</v>
      </c>
      <c r="F3842" t="s">
        <v>28</v>
      </c>
      <c r="G3842" t="s">
        <v>64</v>
      </c>
      <c r="H3842" t="s">
        <v>2387</v>
      </c>
      <c r="I3842" s="2">
        <v>41.86</v>
      </c>
      <c r="J3842" s="3">
        <v>7</v>
      </c>
      <c r="K3842" s="2">
        <v>14.23</v>
      </c>
    </row>
    <row r="3843" spans="1:11" x14ac:dyDescent="0.35">
      <c r="A3843" s="1">
        <v>42836</v>
      </c>
      <c r="B3843" s="3">
        <f t="shared" si="120"/>
        <v>2017</v>
      </c>
      <c r="C3843" s="3">
        <f t="shared" si="121"/>
        <v>4</v>
      </c>
      <c r="D3843" t="s">
        <v>2203</v>
      </c>
      <c r="E3843" t="s">
        <v>32</v>
      </c>
      <c r="F3843" t="s">
        <v>28</v>
      </c>
      <c r="G3843" t="s">
        <v>48</v>
      </c>
      <c r="H3843" t="s">
        <v>2280</v>
      </c>
      <c r="I3843" s="2">
        <v>11.36</v>
      </c>
      <c r="J3843" s="3">
        <v>3</v>
      </c>
      <c r="K3843" s="2">
        <v>-17.05</v>
      </c>
    </row>
    <row r="3844" spans="1:11" x14ac:dyDescent="0.35">
      <c r="A3844" s="1">
        <v>42836</v>
      </c>
      <c r="B3844" s="3">
        <f t="shared" si="120"/>
        <v>2017</v>
      </c>
      <c r="C3844" s="3">
        <f t="shared" si="121"/>
        <v>4</v>
      </c>
      <c r="D3844" t="s">
        <v>93</v>
      </c>
      <c r="E3844" t="s">
        <v>131</v>
      </c>
      <c r="F3844" t="s">
        <v>28</v>
      </c>
      <c r="G3844" t="s">
        <v>38</v>
      </c>
      <c r="H3844" t="s">
        <v>1184</v>
      </c>
      <c r="I3844" s="2">
        <v>16.77</v>
      </c>
      <c r="J3844" s="3">
        <v>2</v>
      </c>
      <c r="K3844" s="2">
        <v>1.47</v>
      </c>
    </row>
    <row r="3845" spans="1:11" x14ac:dyDescent="0.35">
      <c r="A3845" s="1">
        <v>42836</v>
      </c>
      <c r="B3845" s="3">
        <f t="shared" si="120"/>
        <v>2017</v>
      </c>
      <c r="C3845" s="3">
        <f t="shared" si="121"/>
        <v>4</v>
      </c>
      <c r="D3845" t="s">
        <v>93</v>
      </c>
      <c r="E3845" t="s">
        <v>131</v>
      </c>
      <c r="F3845" t="s">
        <v>13</v>
      </c>
      <c r="G3845" t="s">
        <v>14</v>
      </c>
      <c r="H3845" t="s">
        <v>541</v>
      </c>
      <c r="I3845" s="2">
        <v>27.12</v>
      </c>
      <c r="J3845" s="3">
        <v>2</v>
      </c>
      <c r="K3845" s="2">
        <v>-4.75</v>
      </c>
    </row>
    <row r="3846" spans="1:11" x14ac:dyDescent="0.35">
      <c r="A3846" s="1">
        <v>42836</v>
      </c>
      <c r="B3846" s="3">
        <f t="shared" si="120"/>
        <v>2017</v>
      </c>
      <c r="C3846" s="3">
        <f t="shared" si="121"/>
        <v>4</v>
      </c>
      <c r="D3846" t="s">
        <v>1134</v>
      </c>
      <c r="E3846" t="s">
        <v>81</v>
      </c>
      <c r="F3846" t="s">
        <v>28</v>
      </c>
      <c r="G3846" t="s">
        <v>64</v>
      </c>
      <c r="H3846" t="s">
        <v>2143</v>
      </c>
      <c r="I3846" s="2">
        <v>1.75</v>
      </c>
      <c r="J3846" s="3">
        <v>1</v>
      </c>
      <c r="K3846" s="2">
        <v>0.15</v>
      </c>
    </row>
    <row r="3847" spans="1:11" x14ac:dyDescent="0.35">
      <c r="A3847" s="1">
        <v>42836</v>
      </c>
      <c r="B3847" s="3">
        <f t="shared" si="120"/>
        <v>2017</v>
      </c>
      <c r="C3847" s="3">
        <f t="shared" si="121"/>
        <v>4</v>
      </c>
      <c r="D3847" t="s">
        <v>1134</v>
      </c>
      <c r="E3847" t="s">
        <v>81</v>
      </c>
      <c r="F3847" t="s">
        <v>28</v>
      </c>
      <c r="G3847" t="s">
        <v>64</v>
      </c>
      <c r="H3847" t="s">
        <v>435</v>
      </c>
      <c r="I3847" s="2">
        <v>20.99</v>
      </c>
      <c r="J3847" s="3">
        <v>8</v>
      </c>
      <c r="K3847" s="2">
        <v>2.36</v>
      </c>
    </row>
    <row r="3848" spans="1:11" x14ac:dyDescent="0.35">
      <c r="A3848" s="1">
        <v>42866</v>
      </c>
      <c r="B3848" s="3">
        <f t="shared" si="120"/>
        <v>2017</v>
      </c>
      <c r="C3848" s="3">
        <f t="shared" si="121"/>
        <v>5</v>
      </c>
      <c r="D3848" t="s">
        <v>2057</v>
      </c>
      <c r="E3848" t="s">
        <v>17</v>
      </c>
      <c r="F3848" t="s">
        <v>28</v>
      </c>
      <c r="G3848" t="s">
        <v>29</v>
      </c>
      <c r="H3848" t="s">
        <v>2230</v>
      </c>
      <c r="I3848" s="2">
        <v>37.44</v>
      </c>
      <c r="J3848" s="3">
        <v>6</v>
      </c>
      <c r="K3848" s="2">
        <v>16.850000000000001</v>
      </c>
    </row>
    <row r="3849" spans="1:11" x14ac:dyDescent="0.35">
      <c r="A3849" s="1">
        <v>42866</v>
      </c>
      <c r="B3849" s="3">
        <f t="shared" si="120"/>
        <v>2017</v>
      </c>
      <c r="C3849" s="3">
        <f t="shared" si="121"/>
        <v>5</v>
      </c>
      <c r="D3849" t="s">
        <v>2057</v>
      </c>
      <c r="E3849" t="s">
        <v>17</v>
      </c>
      <c r="F3849" t="s">
        <v>28</v>
      </c>
      <c r="G3849" t="s">
        <v>46</v>
      </c>
      <c r="H3849" t="s">
        <v>1377</v>
      </c>
      <c r="I3849" s="2">
        <v>37.590000000000003</v>
      </c>
      <c r="J3849" s="3">
        <v>3</v>
      </c>
      <c r="K3849" s="2">
        <v>17.670000000000002</v>
      </c>
    </row>
    <row r="3850" spans="1:11" x14ac:dyDescent="0.35">
      <c r="A3850" s="1">
        <v>42866</v>
      </c>
      <c r="B3850" s="3">
        <f t="shared" si="120"/>
        <v>2017</v>
      </c>
      <c r="C3850" s="3">
        <f t="shared" si="121"/>
        <v>5</v>
      </c>
      <c r="D3850" t="s">
        <v>2057</v>
      </c>
      <c r="E3850" t="s">
        <v>17</v>
      </c>
      <c r="F3850" t="s">
        <v>28</v>
      </c>
      <c r="G3850" t="s">
        <v>48</v>
      </c>
      <c r="H3850" t="s">
        <v>419</v>
      </c>
      <c r="I3850" s="2">
        <v>26.03</v>
      </c>
      <c r="J3850" s="3">
        <v>2</v>
      </c>
      <c r="K3850" s="2">
        <v>9.44</v>
      </c>
    </row>
    <row r="3851" spans="1:11" x14ac:dyDescent="0.35">
      <c r="A3851" s="1">
        <v>42866</v>
      </c>
      <c r="B3851" s="3">
        <f t="shared" si="120"/>
        <v>2017</v>
      </c>
      <c r="C3851" s="3">
        <f t="shared" si="121"/>
        <v>5</v>
      </c>
      <c r="D3851" t="s">
        <v>227</v>
      </c>
      <c r="E3851" t="s">
        <v>32</v>
      </c>
      <c r="F3851" t="s">
        <v>28</v>
      </c>
      <c r="G3851" t="s">
        <v>64</v>
      </c>
      <c r="H3851" t="s">
        <v>2388</v>
      </c>
      <c r="I3851" s="2">
        <v>5.25</v>
      </c>
      <c r="J3851" s="3">
        <v>2</v>
      </c>
      <c r="K3851" s="2">
        <v>0.59</v>
      </c>
    </row>
    <row r="3852" spans="1:11" x14ac:dyDescent="0.35">
      <c r="A3852" s="1">
        <v>42866</v>
      </c>
      <c r="B3852" s="3">
        <f t="shared" si="120"/>
        <v>2017</v>
      </c>
      <c r="C3852" s="3">
        <f t="shared" si="121"/>
        <v>5</v>
      </c>
      <c r="D3852" t="s">
        <v>227</v>
      </c>
      <c r="E3852" t="s">
        <v>32</v>
      </c>
      <c r="F3852" t="s">
        <v>28</v>
      </c>
      <c r="G3852" t="s">
        <v>38</v>
      </c>
      <c r="H3852" t="s">
        <v>363</v>
      </c>
      <c r="I3852" s="2">
        <v>74.42</v>
      </c>
      <c r="J3852" s="3">
        <v>2</v>
      </c>
      <c r="K3852" s="2">
        <v>-14.88</v>
      </c>
    </row>
    <row r="3853" spans="1:11" x14ac:dyDescent="0.35">
      <c r="A3853" s="1">
        <v>42866</v>
      </c>
      <c r="B3853" s="3">
        <f t="shared" si="120"/>
        <v>2017</v>
      </c>
      <c r="C3853" s="3">
        <f t="shared" si="121"/>
        <v>5</v>
      </c>
      <c r="D3853" t="s">
        <v>227</v>
      </c>
      <c r="E3853" t="s">
        <v>32</v>
      </c>
      <c r="F3853" t="s">
        <v>28</v>
      </c>
      <c r="G3853" t="s">
        <v>29</v>
      </c>
      <c r="H3853" t="s">
        <v>2389</v>
      </c>
      <c r="I3853" s="2">
        <v>6.85</v>
      </c>
      <c r="J3853" s="3">
        <v>2</v>
      </c>
      <c r="K3853" s="2">
        <v>2.14</v>
      </c>
    </row>
    <row r="3854" spans="1:11" x14ac:dyDescent="0.35">
      <c r="A3854" s="1">
        <v>42866</v>
      </c>
      <c r="B3854" s="3">
        <f t="shared" si="120"/>
        <v>2017</v>
      </c>
      <c r="C3854" s="3">
        <f t="shared" si="121"/>
        <v>5</v>
      </c>
      <c r="D3854" t="s">
        <v>227</v>
      </c>
      <c r="E3854" t="s">
        <v>32</v>
      </c>
      <c r="F3854" t="s">
        <v>18</v>
      </c>
      <c r="G3854" t="s">
        <v>36</v>
      </c>
      <c r="H3854" t="s">
        <v>488</v>
      </c>
      <c r="I3854" s="2">
        <v>8</v>
      </c>
      <c r="J3854" s="3">
        <v>1</v>
      </c>
      <c r="K3854" s="2">
        <v>-7</v>
      </c>
    </row>
    <row r="3855" spans="1:11" x14ac:dyDescent="0.35">
      <c r="A3855" s="1">
        <v>42866</v>
      </c>
      <c r="B3855" s="3">
        <f t="shared" si="120"/>
        <v>2017</v>
      </c>
      <c r="C3855" s="3">
        <f t="shared" si="121"/>
        <v>5</v>
      </c>
      <c r="D3855" t="s">
        <v>1572</v>
      </c>
      <c r="E3855" t="s">
        <v>211</v>
      </c>
      <c r="F3855" t="s">
        <v>18</v>
      </c>
      <c r="G3855" t="s">
        <v>237</v>
      </c>
      <c r="H3855" t="s">
        <v>834</v>
      </c>
      <c r="I3855" s="2">
        <v>209.98</v>
      </c>
      <c r="J3855" s="3">
        <v>7</v>
      </c>
      <c r="K3855" s="2">
        <v>-356.96</v>
      </c>
    </row>
    <row r="3856" spans="1:11" x14ac:dyDescent="0.35">
      <c r="A3856" s="1">
        <v>42866</v>
      </c>
      <c r="B3856" s="3">
        <f t="shared" si="120"/>
        <v>2017</v>
      </c>
      <c r="C3856" s="3">
        <f t="shared" si="121"/>
        <v>5</v>
      </c>
      <c r="D3856" t="s">
        <v>1938</v>
      </c>
      <c r="E3856" t="s">
        <v>22</v>
      </c>
      <c r="F3856" t="s">
        <v>28</v>
      </c>
      <c r="G3856" t="s">
        <v>64</v>
      </c>
      <c r="H3856" t="s">
        <v>2390</v>
      </c>
      <c r="I3856" s="2">
        <v>43.92</v>
      </c>
      <c r="J3856" s="3">
        <v>3</v>
      </c>
      <c r="K3856" s="2">
        <v>12.74</v>
      </c>
    </row>
    <row r="3857" spans="1:11" x14ac:dyDescent="0.35">
      <c r="A3857" s="1">
        <v>42897</v>
      </c>
      <c r="B3857" s="3">
        <f t="shared" si="120"/>
        <v>2017</v>
      </c>
      <c r="C3857" s="3">
        <f t="shared" si="121"/>
        <v>6</v>
      </c>
      <c r="D3857" t="s">
        <v>1509</v>
      </c>
      <c r="E3857" t="s">
        <v>45</v>
      </c>
      <c r="F3857" t="s">
        <v>28</v>
      </c>
      <c r="G3857" t="s">
        <v>29</v>
      </c>
      <c r="H3857" t="s">
        <v>1828</v>
      </c>
      <c r="I3857" s="2">
        <v>122.97</v>
      </c>
      <c r="J3857" s="3">
        <v>3</v>
      </c>
      <c r="K3857" s="2">
        <v>60.26</v>
      </c>
    </row>
    <row r="3858" spans="1:11" x14ac:dyDescent="0.35">
      <c r="A3858" s="1">
        <v>42897</v>
      </c>
      <c r="B3858" s="3">
        <f t="shared" si="120"/>
        <v>2017</v>
      </c>
      <c r="C3858" s="3">
        <f t="shared" si="121"/>
        <v>6</v>
      </c>
      <c r="D3858" t="s">
        <v>564</v>
      </c>
      <c r="E3858" t="s">
        <v>211</v>
      </c>
      <c r="F3858" t="s">
        <v>18</v>
      </c>
      <c r="G3858" t="s">
        <v>19</v>
      </c>
      <c r="H3858" t="s">
        <v>2391</v>
      </c>
      <c r="I3858" s="2">
        <v>280.79000000000002</v>
      </c>
      <c r="J3858" s="3">
        <v>1</v>
      </c>
      <c r="K3858" s="2">
        <v>35.1</v>
      </c>
    </row>
    <row r="3859" spans="1:11" x14ac:dyDescent="0.35">
      <c r="A3859" s="1">
        <v>42897</v>
      </c>
      <c r="B3859" s="3">
        <f t="shared" si="120"/>
        <v>2017</v>
      </c>
      <c r="C3859" s="3">
        <f t="shared" si="121"/>
        <v>6</v>
      </c>
      <c r="D3859" t="s">
        <v>564</v>
      </c>
      <c r="E3859" t="s">
        <v>211</v>
      </c>
      <c r="F3859" t="s">
        <v>28</v>
      </c>
      <c r="G3859" t="s">
        <v>38</v>
      </c>
      <c r="H3859" t="s">
        <v>1015</v>
      </c>
      <c r="I3859" s="2">
        <v>68.45</v>
      </c>
      <c r="J3859" s="3">
        <v>4</v>
      </c>
      <c r="K3859" s="2">
        <v>7.7</v>
      </c>
    </row>
    <row r="3860" spans="1:11" x14ac:dyDescent="0.35">
      <c r="A3860" s="1">
        <v>42897</v>
      </c>
      <c r="B3860" s="3">
        <f t="shared" si="120"/>
        <v>2017</v>
      </c>
      <c r="C3860" s="3">
        <f t="shared" si="121"/>
        <v>6</v>
      </c>
      <c r="D3860" t="s">
        <v>564</v>
      </c>
      <c r="E3860" t="s">
        <v>211</v>
      </c>
      <c r="F3860" t="s">
        <v>28</v>
      </c>
      <c r="G3860" t="s">
        <v>64</v>
      </c>
      <c r="H3860" t="s">
        <v>1643</v>
      </c>
      <c r="I3860" s="2">
        <v>88.04</v>
      </c>
      <c r="J3860" s="3">
        <v>5</v>
      </c>
      <c r="K3860" s="2">
        <v>6.6</v>
      </c>
    </row>
    <row r="3861" spans="1:11" x14ac:dyDescent="0.35">
      <c r="A3861" s="1">
        <v>42897</v>
      </c>
      <c r="B3861" s="3">
        <f t="shared" si="120"/>
        <v>2017</v>
      </c>
      <c r="C3861" s="3">
        <f t="shared" si="121"/>
        <v>6</v>
      </c>
      <c r="D3861" t="s">
        <v>564</v>
      </c>
      <c r="E3861" t="s">
        <v>211</v>
      </c>
      <c r="F3861" t="s">
        <v>28</v>
      </c>
      <c r="G3861" t="s">
        <v>64</v>
      </c>
      <c r="H3861" t="s">
        <v>358</v>
      </c>
      <c r="I3861" s="2">
        <v>15.87</v>
      </c>
      <c r="J3861" s="3">
        <v>1</v>
      </c>
      <c r="K3861" s="2">
        <v>1.98</v>
      </c>
    </row>
    <row r="3862" spans="1:11" x14ac:dyDescent="0.35">
      <c r="A3862" s="1">
        <v>42897</v>
      </c>
      <c r="B3862" s="3">
        <f t="shared" si="120"/>
        <v>2017</v>
      </c>
      <c r="C3862" s="3">
        <f t="shared" si="121"/>
        <v>6</v>
      </c>
      <c r="D3862" t="s">
        <v>564</v>
      </c>
      <c r="E3862" t="s">
        <v>211</v>
      </c>
      <c r="F3862" t="s">
        <v>28</v>
      </c>
      <c r="G3862" t="s">
        <v>38</v>
      </c>
      <c r="H3862" t="s">
        <v>2348</v>
      </c>
      <c r="I3862" s="2">
        <v>215.59</v>
      </c>
      <c r="J3862" s="3">
        <v>3</v>
      </c>
      <c r="K3862" s="2">
        <v>-48.51</v>
      </c>
    </row>
    <row r="3863" spans="1:11" x14ac:dyDescent="0.35">
      <c r="A3863" s="1">
        <v>42897</v>
      </c>
      <c r="B3863" s="3">
        <f t="shared" si="120"/>
        <v>2017</v>
      </c>
      <c r="C3863" s="3">
        <f t="shared" si="121"/>
        <v>6</v>
      </c>
      <c r="D3863" t="s">
        <v>157</v>
      </c>
      <c r="E3863" t="s">
        <v>607</v>
      </c>
      <c r="F3863" t="s">
        <v>28</v>
      </c>
      <c r="G3863" t="s">
        <v>64</v>
      </c>
      <c r="H3863" t="s">
        <v>120</v>
      </c>
      <c r="I3863" s="2">
        <v>3.76</v>
      </c>
      <c r="J3863" s="3">
        <v>2</v>
      </c>
      <c r="K3863" s="2">
        <v>1.0900000000000001</v>
      </c>
    </row>
    <row r="3864" spans="1:11" x14ac:dyDescent="0.35">
      <c r="A3864" s="1">
        <v>42897</v>
      </c>
      <c r="B3864" s="3">
        <f t="shared" si="120"/>
        <v>2017</v>
      </c>
      <c r="C3864" s="3">
        <f t="shared" si="121"/>
        <v>6</v>
      </c>
      <c r="D3864" t="s">
        <v>259</v>
      </c>
      <c r="E3864" t="s">
        <v>17</v>
      </c>
      <c r="F3864" t="s">
        <v>28</v>
      </c>
      <c r="G3864" t="s">
        <v>29</v>
      </c>
      <c r="H3864" t="s">
        <v>1913</v>
      </c>
      <c r="I3864" s="2">
        <v>37.94</v>
      </c>
      <c r="J3864" s="3">
        <v>2</v>
      </c>
      <c r="K3864" s="2">
        <v>18.21</v>
      </c>
    </row>
    <row r="3865" spans="1:11" x14ac:dyDescent="0.35">
      <c r="A3865" s="1">
        <v>42897</v>
      </c>
      <c r="B3865" s="3">
        <f t="shared" si="120"/>
        <v>2017</v>
      </c>
      <c r="C3865" s="3">
        <f t="shared" si="121"/>
        <v>6</v>
      </c>
      <c r="D3865" t="s">
        <v>259</v>
      </c>
      <c r="E3865" t="s">
        <v>17</v>
      </c>
      <c r="F3865" t="s">
        <v>28</v>
      </c>
      <c r="G3865" t="s">
        <v>48</v>
      </c>
      <c r="H3865" t="s">
        <v>2130</v>
      </c>
      <c r="I3865" s="2">
        <v>18.29</v>
      </c>
      <c r="J3865" s="3">
        <v>6</v>
      </c>
      <c r="K3865" s="2">
        <v>6.63</v>
      </c>
    </row>
    <row r="3866" spans="1:11" x14ac:dyDescent="0.35">
      <c r="A3866" s="1">
        <v>42897</v>
      </c>
      <c r="B3866" s="3">
        <f t="shared" si="120"/>
        <v>2017</v>
      </c>
      <c r="C3866" s="3">
        <f t="shared" si="121"/>
        <v>6</v>
      </c>
      <c r="D3866" t="s">
        <v>259</v>
      </c>
      <c r="E3866" t="s">
        <v>17</v>
      </c>
      <c r="F3866" t="s">
        <v>13</v>
      </c>
      <c r="G3866" t="s">
        <v>204</v>
      </c>
      <c r="H3866" t="s">
        <v>2392</v>
      </c>
      <c r="I3866" s="2">
        <v>385.8</v>
      </c>
      <c r="J3866" s="3">
        <v>5</v>
      </c>
      <c r="K3866" s="2">
        <v>130.21</v>
      </c>
    </row>
    <row r="3867" spans="1:11" x14ac:dyDescent="0.35">
      <c r="A3867" s="1">
        <v>42897</v>
      </c>
      <c r="B3867" s="3">
        <f t="shared" si="120"/>
        <v>2017</v>
      </c>
      <c r="C3867" s="3">
        <f t="shared" si="121"/>
        <v>6</v>
      </c>
      <c r="D3867" t="s">
        <v>259</v>
      </c>
      <c r="E3867" t="s">
        <v>17</v>
      </c>
      <c r="F3867" t="s">
        <v>28</v>
      </c>
      <c r="G3867" t="s">
        <v>38</v>
      </c>
      <c r="H3867" t="s">
        <v>1342</v>
      </c>
      <c r="I3867" s="2">
        <v>102.96</v>
      </c>
      <c r="J3867" s="3">
        <v>2</v>
      </c>
      <c r="K3867" s="2">
        <v>1.03</v>
      </c>
    </row>
    <row r="3868" spans="1:11" x14ac:dyDescent="0.35">
      <c r="A3868" s="1">
        <v>42897</v>
      </c>
      <c r="B3868" s="3">
        <f t="shared" si="120"/>
        <v>2017</v>
      </c>
      <c r="C3868" s="3">
        <f t="shared" si="121"/>
        <v>6</v>
      </c>
      <c r="D3868" t="s">
        <v>259</v>
      </c>
      <c r="E3868" t="s">
        <v>17</v>
      </c>
      <c r="F3868" t="s">
        <v>18</v>
      </c>
      <c r="G3868" t="s">
        <v>237</v>
      </c>
      <c r="H3868" t="s">
        <v>2295</v>
      </c>
      <c r="I3868" s="2">
        <v>174.42</v>
      </c>
      <c r="J3868" s="3">
        <v>3</v>
      </c>
      <c r="K3868" s="2">
        <v>41.86</v>
      </c>
    </row>
    <row r="3869" spans="1:11" x14ac:dyDescent="0.35">
      <c r="A3869" s="1">
        <v>42897</v>
      </c>
      <c r="B3869" s="3">
        <f t="shared" si="120"/>
        <v>2017</v>
      </c>
      <c r="C3869" s="3">
        <f t="shared" si="121"/>
        <v>6</v>
      </c>
      <c r="D3869" t="s">
        <v>1735</v>
      </c>
      <c r="E3869" t="s">
        <v>45</v>
      </c>
      <c r="F3869" t="s">
        <v>28</v>
      </c>
      <c r="G3869" t="s">
        <v>58</v>
      </c>
      <c r="H3869" t="s">
        <v>846</v>
      </c>
      <c r="I3869" s="2">
        <v>61.44</v>
      </c>
      <c r="J3869" s="3">
        <v>3</v>
      </c>
      <c r="K3869" s="2">
        <v>16.59</v>
      </c>
    </row>
    <row r="3870" spans="1:11" x14ac:dyDescent="0.35">
      <c r="A3870" s="1">
        <v>42897</v>
      </c>
      <c r="B3870" s="3">
        <f t="shared" si="120"/>
        <v>2017</v>
      </c>
      <c r="C3870" s="3">
        <f t="shared" si="121"/>
        <v>6</v>
      </c>
      <c r="D3870" t="s">
        <v>1938</v>
      </c>
      <c r="E3870" t="s">
        <v>81</v>
      </c>
      <c r="F3870" t="s">
        <v>28</v>
      </c>
      <c r="G3870" t="s">
        <v>48</v>
      </c>
      <c r="H3870" t="s">
        <v>1921</v>
      </c>
      <c r="I3870" s="2">
        <v>4.57</v>
      </c>
      <c r="J3870" s="3">
        <v>4</v>
      </c>
      <c r="K3870" s="2">
        <v>-3.81</v>
      </c>
    </row>
    <row r="3871" spans="1:11" x14ac:dyDescent="0.35">
      <c r="A3871" s="1">
        <v>42927</v>
      </c>
      <c r="B3871" s="3">
        <f t="shared" si="120"/>
        <v>2017</v>
      </c>
      <c r="C3871" s="3">
        <f t="shared" si="121"/>
        <v>7</v>
      </c>
      <c r="D3871" t="s">
        <v>244</v>
      </c>
      <c r="E3871" t="s">
        <v>45</v>
      </c>
      <c r="F3871" t="s">
        <v>28</v>
      </c>
      <c r="G3871" t="s">
        <v>46</v>
      </c>
      <c r="H3871" t="s">
        <v>826</v>
      </c>
      <c r="I3871" s="2">
        <v>8.67</v>
      </c>
      <c r="J3871" s="3">
        <v>3</v>
      </c>
      <c r="K3871" s="2">
        <v>4.07</v>
      </c>
    </row>
    <row r="3872" spans="1:11" x14ac:dyDescent="0.35">
      <c r="A3872" s="1">
        <v>42927</v>
      </c>
      <c r="B3872" s="3">
        <f t="shared" si="120"/>
        <v>2017</v>
      </c>
      <c r="C3872" s="3">
        <f t="shared" si="121"/>
        <v>7</v>
      </c>
      <c r="D3872" t="s">
        <v>399</v>
      </c>
      <c r="E3872" t="s">
        <v>22</v>
      </c>
      <c r="F3872" t="s">
        <v>13</v>
      </c>
      <c r="G3872" t="s">
        <v>14</v>
      </c>
      <c r="H3872" t="s">
        <v>1069</v>
      </c>
      <c r="I3872" s="2">
        <v>132.6</v>
      </c>
      <c r="J3872" s="3">
        <v>6</v>
      </c>
      <c r="K3872" s="2">
        <v>17.239999999999998</v>
      </c>
    </row>
    <row r="3873" spans="1:11" x14ac:dyDescent="0.35">
      <c r="A3873" s="1">
        <v>42927</v>
      </c>
      <c r="B3873" s="3">
        <f t="shared" si="120"/>
        <v>2017</v>
      </c>
      <c r="C3873" s="3">
        <f t="shared" si="121"/>
        <v>7</v>
      </c>
      <c r="D3873" t="s">
        <v>1423</v>
      </c>
      <c r="E3873" t="s">
        <v>1451</v>
      </c>
      <c r="F3873" t="s">
        <v>28</v>
      </c>
      <c r="G3873" t="s">
        <v>64</v>
      </c>
      <c r="H3873" t="s">
        <v>1542</v>
      </c>
      <c r="I3873" s="2">
        <v>30.32</v>
      </c>
      <c r="J3873" s="3">
        <v>4</v>
      </c>
      <c r="K3873" s="2">
        <v>11.82</v>
      </c>
    </row>
    <row r="3874" spans="1:11" x14ac:dyDescent="0.35">
      <c r="A3874" s="1">
        <v>42927</v>
      </c>
      <c r="B3874" s="3">
        <f t="shared" si="120"/>
        <v>2017</v>
      </c>
      <c r="C3874" s="3">
        <f t="shared" si="121"/>
        <v>7</v>
      </c>
      <c r="D3874" t="s">
        <v>1389</v>
      </c>
      <c r="E3874" t="s">
        <v>45</v>
      </c>
      <c r="F3874" t="s">
        <v>13</v>
      </c>
      <c r="G3874" t="s">
        <v>14</v>
      </c>
      <c r="H3874" t="s">
        <v>2048</v>
      </c>
      <c r="I3874" s="2">
        <v>1287.45</v>
      </c>
      <c r="J3874" s="3">
        <v>5</v>
      </c>
      <c r="K3874" s="2">
        <v>244.62</v>
      </c>
    </row>
    <row r="3875" spans="1:11" x14ac:dyDescent="0.35">
      <c r="A3875" s="1">
        <v>42927</v>
      </c>
      <c r="B3875" s="3">
        <f t="shared" si="120"/>
        <v>2017</v>
      </c>
      <c r="C3875" s="3">
        <f t="shared" si="121"/>
        <v>7</v>
      </c>
      <c r="D3875" t="s">
        <v>1389</v>
      </c>
      <c r="E3875" t="s">
        <v>45</v>
      </c>
      <c r="F3875" t="s">
        <v>28</v>
      </c>
      <c r="G3875" t="s">
        <v>58</v>
      </c>
      <c r="H3875" t="s">
        <v>2170</v>
      </c>
      <c r="I3875" s="2">
        <v>168.1</v>
      </c>
      <c r="J3875" s="3">
        <v>5</v>
      </c>
      <c r="K3875" s="2">
        <v>43.71</v>
      </c>
    </row>
    <row r="3876" spans="1:11" x14ac:dyDescent="0.35">
      <c r="A3876" s="1">
        <v>42927</v>
      </c>
      <c r="B3876" s="3">
        <f t="shared" si="120"/>
        <v>2017</v>
      </c>
      <c r="C3876" s="3">
        <f t="shared" si="121"/>
        <v>7</v>
      </c>
      <c r="D3876" t="s">
        <v>960</v>
      </c>
      <c r="E3876" t="s">
        <v>45</v>
      </c>
      <c r="F3876" t="s">
        <v>13</v>
      </c>
      <c r="G3876" t="s">
        <v>23</v>
      </c>
      <c r="H3876" t="s">
        <v>2393</v>
      </c>
      <c r="I3876" s="2">
        <v>71.95</v>
      </c>
      <c r="J3876" s="3">
        <v>6</v>
      </c>
      <c r="K3876" s="2">
        <v>5.4</v>
      </c>
    </row>
    <row r="3877" spans="1:11" x14ac:dyDescent="0.35">
      <c r="A3877" s="1">
        <v>42927</v>
      </c>
      <c r="B3877" s="3">
        <f t="shared" si="120"/>
        <v>2017</v>
      </c>
      <c r="C3877" s="3">
        <f t="shared" si="121"/>
        <v>7</v>
      </c>
      <c r="D3877" t="s">
        <v>960</v>
      </c>
      <c r="E3877" t="s">
        <v>45</v>
      </c>
      <c r="F3877" t="s">
        <v>28</v>
      </c>
      <c r="G3877" t="s">
        <v>48</v>
      </c>
      <c r="H3877" t="s">
        <v>591</v>
      </c>
      <c r="I3877" s="2">
        <v>29.8</v>
      </c>
      <c r="J3877" s="3">
        <v>5</v>
      </c>
      <c r="K3877" s="2">
        <v>9.31</v>
      </c>
    </row>
    <row r="3878" spans="1:11" x14ac:dyDescent="0.35">
      <c r="A3878" s="1">
        <v>42958</v>
      </c>
      <c r="B3878" s="3">
        <f t="shared" si="120"/>
        <v>2017</v>
      </c>
      <c r="C3878" s="3">
        <f t="shared" si="121"/>
        <v>8</v>
      </c>
      <c r="D3878" t="s">
        <v>1154</v>
      </c>
      <c r="E3878" t="s">
        <v>32</v>
      </c>
      <c r="F3878" t="s">
        <v>28</v>
      </c>
      <c r="G3878" t="s">
        <v>29</v>
      </c>
      <c r="H3878" t="s">
        <v>966</v>
      </c>
      <c r="I3878" s="2">
        <v>29.66</v>
      </c>
      <c r="J3878" s="3">
        <v>4</v>
      </c>
      <c r="K3878" s="2">
        <v>10.01</v>
      </c>
    </row>
    <row r="3879" spans="1:11" x14ac:dyDescent="0.35">
      <c r="A3879" s="1">
        <v>42958</v>
      </c>
      <c r="B3879" s="3">
        <f t="shared" si="120"/>
        <v>2017</v>
      </c>
      <c r="C3879" s="3">
        <f t="shared" si="121"/>
        <v>8</v>
      </c>
      <c r="D3879" t="s">
        <v>1154</v>
      </c>
      <c r="E3879" t="s">
        <v>32</v>
      </c>
      <c r="F3879" t="s">
        <v>28</v>
      </c>
      <c r="G3879" t="s">
        <v>64</v>
      </c>
      <c r="H3879" t="s">
        <v>2145</v>
      </c>
      <c r="I3879" s="2">
        <v>9.18</v>
      </c>
      <c r="J3879" s="3">
        <v>7</v>
      </c>
      <c r="K3879" s="2">
        <v>2.87</v>
      </c>
    </row>
    <row r="3880" spans="1:11" x14ac:dyDescent="0.35">
      <c r="A3880" s="1">
        <v>42958</v>
      </c>
      <c r="B3880" s="3">
        <f t="shared" si="120"/>
        <v>2017</v>
      </c>
      <c r="C3880" s="3">
        <f t="shared" si="121"/>
        <v>8</v>
      </c>
      <c r="D3880" t="s">
        <v>1154</v>
      </c>
      <c r="E3880" t="s">
        <v>32</v>
      </c>
      <c r="F3880" t="s">
        <v>13</v>
      </c>
      <c r="G3880" t="s">
        <v>23</v>
      </c>
      <c r="H3880" t="s">
        <v>217</v>
      </c>
      <c r="I3880" s="2">
        <v>153.58000000000001</v>
      </c>
      <c r="J3880" s="3">
        <v>2</v>
      </c>
      <c r="K3880" s="2">
        <v>13.44</v>
      </c>
    </row>
    <row r="3881" spans="1:11" x14ac:dyDescent="0.35">
      <c r="A3881" s="1">
        <v>42958</v>
      </c>
      <c r="B3881" s="3">
        <f t="shared" si="120"/>
        <v>2017</v>
      </c>
      <c r="C3881" s="3">
        <f t="shared" si="121"/>
        <v>8</v>
      </c>
      <c r="D3881" t="s">
        <v>1154</v>
      </c>
      <c r="E3881" t="s">
        <v>32</v>
      </c>
      <c r="F3881" t="s">
        <v>28</v>
      </c>
      <c r="G3881" t="s">
        <v>48</v>
      </c>
      <c r="H3881" t="s">
        <v>442</v>
      </c>
      <c r="I3881" s="2">
        <v>12.86</v>
      </c>
      <c r="J3881" s="3">
        <v>8</v>
      </c>
      <c r="K3881" s="2">
        <v>-22.51</v>
      </c>
    </row>
    <row r="3882" spans="1:11" x14ac:dyDescent="0.35">
      <c r="A3882" s="1">
        <v>42958</v>
      </c>
      <c r="B3882" s="3">
        <f t="shared" si="120"/>
        <v>2017</v>
      </c>
      <c r="C3882" s="3">
        <f t="shared" si="121"/>
        <v>8</v>
      </c>
      <c r="D3882" t="s">
        <v>1060</v>
      </c>
      <c r="E3882" t="s">
        <v>362</v>
      </c>
      <c r="F3882" t="s">
        <v>28</v>
      </c>
      <c r="G3882" t="s">
        <v>48</v>
      </c>
      <c r="H3882" t="s">
        <v>649</v>
      </c>
      <c r="I3882" s="2">
        <v>477.51</v>
      </c>
      <c r="J3882" s="3">
        <v>11</v>
      </c>
      <c r="K3882" s="2">
        <v>219.65</v>
      </c>
    </row>
    <row r="3883" spans="1:11" x14ac:dyDescent="0.35">
      <c r="A3883" s="1">
        <v>42958</v>
      </c>
      <c r="B3883" s="3">
        <f t="shared" si="120"/>
        <v>2017</v>
      </c>
      <c r="C3883" s="3">
        <f t="shared" si="121"/>
        <v>8</v>
      </c>
      <c r="D3883" t="s">
        <v>1940</v>
      </c>
      <c r="E3883" t="s">
        <v>22</v>
      </c>
      <c r="F3883" t="s">
        <v>28</v>
      </c>
      <c r="G3883" t="s">
        <v>29</v>
      </c>
      <c r="H3883" t="s">
        <v>612</v>
      </c>
      <c r="I3883" s="2">
        <v>25.92</v>
      </c>
      <c r="J3883" s="3">
        <v>4</v>
      </c>
      <c r="K3883" s="2">
        <v>12.44</v>
      </c>
    </row>
    <row r="3884" spans="1:11" x14ac:dyDescent="0.35">
      <c r="A3884" s="1">
        <v>42989</v>
      </c>
      <c r="B3884" s="3">
        <f t="shared" si="120"/>
        <v>2017</v>
      </c>
      <c r="C3884" s="3">
        <f t="shared" si="121"/>
        <v>9</v>
      </c>
      <c r="D3884" t="s">
        <v>579</v>
      </c>
      <c r="E3884" t="s">
        <v>77</v>
      </c>
      <c r="F3884" t="s">
        <v>18</v>
      </c>
      <c r="G3884" t="s">
        <v>36</v>
      </c>
      <c r="H3884" t="s">
        <v>622</v>
      </c>
      <c r="I3884" s="2">
        <v>34.5</v>
      </c>
      <c r="J3884" s="3">
        <v>1</v>
      </c>
      <c r="K3884" s="2">
        <v>6.04</v>
      </c>
    </row>
    <row r="3885" spans="1:11" x14ac:dyDescent="0.35">
      <c r="A3885" s="1">
        <v>42989</v>
      </c>
      <c r="B3885" s="3">
        <f t="shared" si="120"/>
        <v>2017</v>
      </c>
      <c r="C3885" s="3">
        <f t="shared" si="121"/>
        <v>9</v>
      </c>
      <c r="D3885" t="s">
        <v>1645</v>
      </c>
      <c r="E3885" t="s">
        <v>165</v>
      </c>
      <c r="F3885" t="s">
        <v>28</v>
      </c>
      <c r="G3885" t="s">
        <v>29</v>
      </c>
      <c r="H3885" t="s">
        <v>1214</v>
      </c>
      <c r="I3885" s="2">
        <v>184.66</v>
      </c>
      <c r="J3885" s="3">
        <v>7</v>
      </c>
      <c r="K3885" s="2">
        <v>84.94</v>
      </c>
    </row>
    <row r="3886" spans="1:11" x14ac:dyDescent="0.35">
      <c r="A3886" s="1">
        <v>42989</v>
      </c>
      <c r="B3886" s="3">
        <f t="shared" si="120"/>
        <v>2017</v>
      </c>
      <c r="C3886" s="3">
        <f t="shared" si="121"/>
        <v>9</v>
      </c>
      <c r="D3886" t="s">
        <v>2010</v>
      </c>
      <c r="E3886" t="s">
        <v>45</v>
      </c>
      <c r="F3886" t="s">
        <v>28</v>
      </c>
      <c r="G3886" t="s">
        <v>29</v>
      </c>
      <c r="H3886" t="s">
        <v>2030</v>
      </c>
      <c r="I3886" s="2">
        <v>12.96</v>
      </c>
      <c r="J3886" s="3">
        <v>2</v>
      </c>
      <c r="K3886" s="2">
        <v>6.22</v>
      </c>
    </row>
    <row r="3887" spans="1:11" x14ac:dyDescent="0.35">
      <c r="A3887" s="1">
        <v>42989</v>
      </c>
      <c r="B3887" s="3">
        <f t="shared" si="120"/>
        <v>2017</v>
      </c>
      <c r="C3887" s="3">
        <f t="shared" si="121"/>
        <v>9</v>
      </c>
      <c r="D3887" t="s">
        <v>2010</v>
      </c>
      <c r="E3887" t="s">
        <v>45</v>
      </c>
      <c r="F3887" t="s">
        <v>28</v>
      </c>
      <c r="G3887" t="s">
        <v>158</v>
      </c>
      <c r="H3887" t="s">
        <v>1948</v>
      </c>
      <c r="I3887" s="2">
        <v>22.18</v>
      </c>
      <c r="J3887" s="3">
        <v>2</v>
      </c>
      <c r="K3887" s="2">
        <v>10.87</v>
      </c>
    </row>
    <row r="3888" spans="1:11" x14ac:dyDescent="0.35">
      <c r="A3888" s="1">
        <v>42989</v>
      </c>
      <c r="B3888" s="3">
        <f t="shared" si="120"/>
        <v>2017</v>
      </c>
      <c r="C3888" s="3">
        <f t="shared" si="121"/>
        <v>9</v>
      </c>
      <c r="D3888" t="s">
        <v>2010</v>
      </c>
      <c r="E3888" t="s">
        <v>45</v>
      </c>
      <c r="F3888" t="s">
        <v>18</v>
      </c>
      <c r="G3888" t="s">
        <v>19</v>
      </c>
      <c r="H3888" t="s">
        <v>838</v>
      </c>
      <c r="I3888" s="2">
        <v>2054.27</v>
      </c>
      <c r="J3888" s="3">
        <v>8</v>
      </c>
      <c r="K3888" s="2">
        <v>256.77999999999997</v>
      </c>
    </row>
    <row r="3889" spans="1:11" x14ac:dyDescent="0.35">
      <c r="A3889" s="1">
        <v>42989</v>
      </c>
      <c r="B3889" s="3">
        <f t="shared" si="120"/>
        <v>2017</v>
      </c>
      <c r="C3889" s="3">
        <f t="shared" si="121"/>
        <v>9</v>
      </c>
      <c r="D3889" t="s">
        <v>939</v>
      </c>
      <c r="E3889" t="s">
        <v>26</v>
      </c>
      <c r="F3889" t="s">
        <v>28</v>
      </c>
      <c r="G3889" t="s">
        <v>33</v>
      </c>
      <c r="H3889" t="s">
        <v>644</v>
      </c>
      <c r="I3889" s="2">
        <v>10.53</v>
      </c>
      <c r="J3889" s="3">
        <v>4</v>
      </c>
      <c r="K3889" s="2">
        <v>3.29</v>
      </c>
    </row>
    <row r="3890" spans="1:11" x14ac:dyDescent="0.35">
      <c r="A3890" s="1">
        <v>42989</v>
      </c>
      <c r="B3890" s="3">
        <f t="shared" si="120"/>
        <v>2017</v>
      </c>
      <c r="C3890" s="3">
        <f t="shared" si="121"/>
        <v>9</v>
      </c>
      <c r="D3890" t="s">
        <v>939</v>
      </c>
      <c r="E3890" t="s">
        <v>26</v>
      </c>
      <c r="F3890" t="s">
        <v>28</v>
      </c>
      <c r="G3890" t="s">
        <v>29</v>
      </c>
      <c r="H3890" t="s">
        <v>2389</v>
      </c>
      <c r="I3890" s="2">
        <v>20.54</v>
      </c>
      <c r="J3890" s="3">
        <v>6</v>
      </c>
      <c r="K3890" s="2">
        <v>6.42</v>
      </c>
    </row>
    <row r="3891" spans="1:11" x14ac:dyDescent="0.35">
      <c r="A3891" s="1">
        <v>42989</v>
      </c>
      <c r="B3891" s="3">
        <f t="shared" si="120"/>
        <v>2017</v>
      </c>
      <c r="C3891" s="3">
        <f t="shared" si="121"/>
        <v>9</v>
      </c>
      <c r="D3891" t="s">
        <v>2250</v>
      </c>
      <c r="E3891" t="s">
        <v>45</v>
      </c>
      <c r="F3891" t="s">
        <v>18</v>
      </c>
      <c r="G3891" t="s">
        <v>36</v>
      </c>
      <c r="H3891" t="s">
        <v>1800</v>
      </c>
      <c r="I3891" s="2">
        <v>32.36</v>
      </c>
      <c r="J3891" s="3">
        <v>4</v>
      </c>
      <c r="K3891" s="2">
        <v>11.65</v>
      </c>
    </row>
    <row r="3892" spans="1:11" x14ac:dyDescent="0.35">
      <c r="A3892" s="1">
        <v>42989</v>
      </c>
      <c r="B3892" s="3">
        <f t="shared" si="120"/>
        <v>2017</v>
      </c>
      <c r="C3892" s="3">
        <f t="shared" si="121"/>
        <v>9</v>
      </c>
      <c r="D3892" t="s">
        <v>2250</v>
      </c>
      <c r="E3892" t="s">
        <v>45</v>
      </c>
      <c r="F3892" t="s">
        <v>28</v>
      </c>
      <c r="G3892" t="s">
        <v>58</v>
      </c>
      <c r="H3892" t="s">
        <v>1553</v>
      </c>
      <c r="I3892" s="2">
        <v>406.6</v>
      </c>
      <c r="J3892" s="3">
        <v>5</v>
      </c>
      <c r="K3892" s="2">
        <v>113.85</v>
      </c>
    </row>
    <row r="3893" spans="1:11" x14ac:dyDescent="0.35">
      <c r="A3893" s="1">
        <v>42989</v>
      </c>
      <c r="B3893" s="3">
        <f t="shared" si="120"/>
        <v>2017</v>
      </c>
      <c r="C3893" s="3">
        <f t="shared" si="121"/>
        <v>9</v>
      </c>
      <c r="D3893" t="s">
        <v>1272</v>
      </c>
      <c r="E3893" t="s">
        <v>17</v>
      </c>
      <c r="F3893" t="s">
        <v>18</v>
      </c>
      <c r="G3893" t="s">
        <v>19</v>
      </c>
      <c r="H3893" t="s">
        <v>1752</v>
      </c>
      <c r="I3893" s="2">
        <v>177.57</v>
      </c>
      <c r="J3893" s="3">
        <v>2</v>
      </c>
      <c r="K3893" s="2">
        <v>8.8800000000000008</v>
      </c>
    </row>
    <row r="3894" spans="1:11" x14ac:dyDescent="0.35">
      <c r="A3894" s="1">
        <v>42989</v>
      </c>
      <c r="B3894" s="3">
        <f t="shared" si="120"/>
        <v>2017</v>
      </c>
      <c r="C3894" s="3">
        <f t="shared" si="121"/>
        <v>9</v>
      </c>
      <c r="D3894" t="s">
        <v>1272</v>
      </c>
      <c r="E3894" t="s">
        <v>17</v>
      </c>
      <c r="F3894" t="s">
        <v>28</v>
      </c>
      <c r="G3894" t="s">
        <v>29</v>
      </c>
      <c r="H3894" t="s">
        <v>522</v>
      </c>
      <c r="I3894" s="2">
        <v>19.440000000000001</v>
      </c>
      <c r="J3894" s="3">
        <v>3</v>
      </c>
      <c r="K3894" s="2">
        <v>9.33</v>
      </c>
    </row>
    <row r="3895" spans="1:11" x14ac:dyDescent="0.35">
      <c r="A3895" s="1">
        <v>42989</v>
      </c>
      <c r="B3895" s="3">
        <f t="shared" si="120"/>
        <v>2017</v>
      </c>
      <c r="C3895" s="3">
        <f t="shared" si="121"/>
        <v>9</v>
      </c>
      <c r="D3895" t="s">
        <v>1272</v>
      </c>
      <c r="E3895" t="s">
        <v>17</v>
      </c>
      <c r="F3895" t="s">
        <v>28</v>
      </c>
      <c r="G3895" t="s">
        <v>29</v>
      </c>
      <c r="H3895" t="s">
        <v>1534</v>
      </c>
      <c r="I3895" s="2">
        <v>71.28</v>
      </c>
      <c r="J3895" s="3">
        <v>11</v>
      </c>
      <c r="K3895" s="2">
        <v>34.21</v>
      </c>
    </row>
    <row r="3896" spans="1:11" x14ac:dyDescent="0.35">
      <c r="A3896" s="1">
        <v>42989</v>
      </c>
      <c r="B3896" s="3">
        <f t="shared" si="120"/>
        <v>2017</v>
      </c>
      <c r="C3896" s="3">
        <f t="shared" si="121"/>
        <v>9</v>
      </c>
      <c r="D3896" t="s">
        <v>1272</v>
      </c>
      <c r="E3896" t="s">
        <v>17</v>
      </c>
      <c r="F3896" t="s">
        <v>28</v>
      </c>
      <c r="G3896" t="s">
        <v>48</v>
      </c>
      <c r="H3896" t="s">
        <v>788</v>
      </c>
      <c r="I3896" s="2">
        <v>1471.96</v>
      </c>
      <c r="J3896" s="3">
        <v>5</v>
      </c>
      <c r="K3896" s="2">
        <v>459.99</v>
      </c>
    </row>
    <row r="3897" spans="1:11" x14ac:dyDescent="0.35">
      <c r="A3897" s="1">
        <v>42989</v>
      </c>
      <c r="B3897" s="3">
        <f t="shared" si="120"/>
        <v>2017</v>
      </c>
      <c r="C3897" s="3">
        <f t="shared" si="121"/>
        <v>9</v>
      </c>
      <c r="D3897" t="s">
        <v>1272</v>
      </c>
      <c r="E3897" t="s">
        <v>17</v>
      </c>
      <c r="F3897" t="s">
        <v>13</v>
      </c>
      <c r="G3897" t="s">
        <v>23</v>
      </c>
      <c r="H3897" t="s">
        <v>2244</v>
      </c>
      <c r="I3897" s="2">
        <v>79.959999999999994</v>
      </c>
      <c r="J3897" s="3">
        <v>5</v>
      </c>
      <c r="K3897" s="2">
        <v>-17.989999999999998</v>
      </c>
    </row>
    <row r="3898" spans="1:11" x14ac:dyDescent="0.35">
      <c r="A3898" s="1">
        <v>42989</v>
      </c>
      <c r="B3898" s="3">
        <f t="shared" si="120"/>
        <v>2017</v>
      </c>
      <c r="C3898" s="3">
        <f t="shared" si="121"/>
        <v>9</v>
      </c>
      <c r="D3898" t="s">
        <v>1688</v>
      </c>
      <c r="E3898" t="s">
        <v>32</v>
      </c>
      <c r="F3898" t="s">
        <v>28</v>
      </c>
      <c r="G3898" t="s">
        <v>29</v>
      </c>
      <c r="H3898" t="s">
        <v>1611</v>
      </c>
      <c r="I3898" s="2">
        <v>10.27</v>
      </c>
      <c r="J3898" s="3">
        <v>3</v>
      </c>
      <c r="K3898" s="2">
        <v>3.21</v>
      </c>
    </row>
    <row r="3899" spans="1:11" x14ac:dyDescent="0.35">
      <c r="A3899" s="1">
        <v>42989</v>
      </c>
      <c r="B3899" s="3">
        <f t="shared" si="120"/>
        <v>2017</v>
      </c>
      <c r="C3899" s="3">
        <f t="shared" si="121"/>
        <v>9</v>
      </c>
      <c r="D3899" t="s">
        <v>1688</v>
      </c>
      <c r="E3899" t="s">
        <v>32</v>
      </c>
      <c r="F3899" t="s">
        <v>18</v>
      </c>
      <c r="G3899" t="s">
        <v>42</v>
      </c>
      <c r="H3899" t="s">
        <v>1507</v>
      </c>
      <c r="I3899" s="2">
        <v>512.19000000000005</v>
      </c>
      <c r="J3899" s="3">
        <v>5</v>
      </c>
      <c r="K3899" s="2">
        <v>-65.849999999999994</v>
      </c>
    </row>
    <row r="3900" spans="1:11" x14ac:dyDescent="0.35">
      <c r="A3900" s="1">
        <v>42989</v>
      </c>
      <c r="B3900" s="3">
        <f t="shared" si="120"/>
        <v>2017</v>
      </c>
      <c r="C3900" s="3">
        <f t="shared" si="121"/>
        <v>9</v>
      </c>
      <c r="D3900" t="s">
        <v>1688</v>
      </c>
      <c r="E3900" t="s">
        <v>32</v>
      </c>
      <c r="F3900" t="s">
        <v>28</v>
      </c>
      <c r="G3900" t="s">
        <v>58</v>
      </c>
      <c r="H3900" t="s">
        <v>380</v>
      </c>
      <c r="I3900" s="2">
        <v>1.56</v>
      </c>
      <c r="J3900" s="3">
        <v>2</v>
      </c>
      <c r="K3900" s="2">
        <v>-4.2</v>
      </c>
    </row>
    <row r="3901" spans="1:11" x14ac:dyDescent="0.35">
      <c r="A3901" s="1">
        <v>42989</v>
      </c>
      <c r="B3901" s="3">
        <f t="shared" si="120"/>
        <v>2017</v>
      </c>
      <c r="C3901" s="3">
        <f t="shared" si="121"/>
        <v>9</v>
      </c>
      <c r="D3901" t="s">
        <v>110</v>
      </c>
      <c r="E3901" t="s">
        <v>45</v>
      </c>
      <c r="F3901" t="s">
        <v>13</v>
      </c>
      <c r="G3901" t="s">
        <v>23</v>
      </c>
      <c r="H3901" t="s">
        <v>1791</v>
      </c>
      <c r="I3901" s="2">
        <v>143.94999999999999</v>
      </c>
      <c r="J3901" s="3">
        <v>6</v>
      </c>
      <c r="K3901" s="2">
        <v>17.989999999999998</v>
      </c>
    </row>
    <row r="3902" spans="1:11" x14ac:dyDescent="0.35">
      <c r="A3902" s="1">
        <v>42989</v>
      </c>
      <c r="B3902" s="3">
        <f t="shared" si="120"/>
        <v>2017</v>
      </c>
      <c r="C3902" s="3">
        <f t="shared" si="121"/>
        <v>9</v>
      </c>
      <c r="D3902" t="s">
        <v>110</v>
      </c>
      <c r="E3902" t="s">
        <v>45</v>
      </c>
      <c r="F3902" t="s">
        <v>28</v>
      </c>
      <c r="G3902" t="s">
        <v>29</v>
      </c>
      <c r="H3902" t="s">
        <v>1362</v>
      </c>
      <c r="I3902" s="2">
        <v>19.440000000000001</v>
      </c>
      <c r="J3902" s="3">
        <v>3</v>
      </c>
      <c r="K3902" s="2">
        <v>9.33</v>
      </c>
    </row>
    <row r="3903" spans="1:11" x14ac:dyDescent="0.35">
      <c r="A3903" s="1">
        <v>42989</v>
      </c>
      <c r="B3903" s="3">
        <f t="shared" si="120"/>
        <v>2017</v>
      </c>
      <c r="C3903" s="3">
        <f t="shared" si="121"/>
        <v>9</v>
      </c>
      <c r="D3903" t="s">
        <v>2250</v>
      </c>
      <c r="E3903" t="s">
        <v>173</v>
      </c>
      <c r="F3903" t="s">
        <v>28</v>
      </c>
      <c r="G3903" t="s">
        <v>58</v>
      </c>
      <c r="H3903" t="s">
        <v>2132</v>
      </c>
      <c r="I3903" s="2">
        <v>67.900000000000006</v>
      </c>
      <c r="J3903" s="3">
        <v>5</v>
      </c>
      <c r="K3903" s="2">
        <v>20.37</v>
      </c>
    </row>
    <row r="3904" spans="1:11" x14ac:dyDescent="0.35">
      <c r="A3904" s="1">
        <v>42989</v>
      </c>
      <c r="B3904" s="3">
        <f t="shared" si="120"/>
        <v>2017</v>
      </c>
      <c r="C3904" s="3">
        <f t="shared" si="121"/>
        <v>9</v>
      </c>
      <c r="D3904" t="s">
        <v>643</v>
      </c>
      <c r="E3904" t="s">
        <v>118</v>
      </c>
      <c r="F3904" t="s">
        <v>28</v>
      </c>
      <c r="G3904" t="s">
        <v>58</v>
      </c>
      <c r="H3904" t="s">
        <v>890</v>
      </c>
      <c r="I3904" s="2">
        <v>195.68</v>
      </c>
      <c r="J3904" s="3">
        <v>4</v>
      </c>
      <c r="K3904" s="2">
        <v>50.88</v>
      </c>
    </row>
    <row r="3905" spans="1:11" x14ac:dyDescent="0.35">
      <c r="A3905" s="1">
        <v>42989</v>
      </c>
      <c r="B3905" s="3">
        <f t="shared" si="120"/>
        <v>2017</v>
      </c>
      <c r="C3905" s="3">
        <f t="shared" si="121"/>
        <v>9</v>
      </c>
      <c r="D3905" t="s">
        <v>643</v>
      </c>
      <c r="E3905" t="s">
        <v>118</v>
      </c>
      <c r="F3905" t="s">
        <v>28</v>
      </c>
      <c r="G3905" t="s">
        <v>33</v>
      </c>
      <c r="H3905" t="s">
        <v>90</v>
      </c>
      <c r="I3905" s="2">
        <v>14.2</v>
      </c>
      <c r="J3905" s="3">
        <v>4</v>
      </c>
      <c r="K3905" s="2">
        <v>6.67</v>
      </c>
    </row>
    <row r="3906" spans="1:11" x14ac:dyDescent="0.35">
      <c r="A3906" s="1">
        <v>43050</v>
      </c>
      <c r="B3906" s="3">
        <f t="shared" ref="B3906:B3969" si="122">YEAR(A3906)</f>
        <v>2017</v>
      </c>
      <c r="C3906" s="3">
        <f t="shared" ref="C3906:C3969" si="123">MONTH(A3906)</f>
        <v>11</v>
      </c>
      <c r="D3906" t="s">
        <v>2320</v>
      </c>
      <c r="E3906" t="s">
        <v>32</v>
      </c>
      <c r="F3906" t="s">
        <v>28</v>
      </c>
      <c r="G3906" t="s">
        <v>46</v>
      </c>
      <c r="H3906" t="s">
        <v>1540</v>
      </c>
      <c r="I3906" s="2">
        <v>10.44</v>
      </c>
      <c r="J3906" s="3">
        <v>5</v>
      </c>
      <c r="K3906" s="2">
        <v>3.39</v>
      </c>
    </row>
    <row r="3907" spans="1:11" x14ac:dyDescent="0.35">
      <c r="A3907" s="1">
        <v>43050</v>
      </c>
      <c r="B3907" s="3">
        <f t="shared" si="122"/>
        <v>2017</v>
      </c>
      <c r="C3907" s="3">
        <f t="shared" si="123"/>
        <v>11</v>
      </c>
      <c r="D3907" t="s">
        <v>2320</v>
      </c>
      <c r="E3907" t="s">
        <v>32</v>
      </c>
      <c r="F3907" t="s">
        <v>28</v>
      </c>
      <c r="G3907" t="s">
        <v>48</v>
      </c>
      <c r="H3907" t="s">
        <v>1061</v>
      </c>
      <c r="I3907" s="2">
        <v>18.34</v>
      </c>
      <c r="J3907" s="3">
        <v>4</v>
      </c>
      <c r="K3907" s="2">
        <v>-32.090000000000003</v>
      </c>
    </row>
    <row r="3908" spans="1:11" x14ac:dyDescent="0.35">
      <c r="A3908" s="1">
        <v>43050</v>
      </c>
      <c r="B3908" s="3">
        <f t="shared" si="122"/>
        <v>2017</v>
      </c>
      <c r="C3908" s="3">
        <f t="shared" si="123"/>
        <v>11</v>
      </c>
      <c r="D3908" t="s">
        <v>1792</v>
      </c>
      <c r="E3908" t="s">
        <v>131</v>
      </c>
      <c r="F3908" t="s">
        <v>28</v>
      </c>
      <c r="G3908" t="s">
        <v>29</v>
      </c>
      <c r="H3908" t="s">
        <v>1561</v>
      </c>
      <c r="I3908" s="2">
        <v>10.37</v>
      </c>
      <c r="J3908" s="3">
        <v>2</v>
      </c>
      <c r="K3908" s="2">
        <v>3.63</v>
      </c>
    </row>
    <row r="3909" spans="1:11" x14ac:dyDescent="0.35">
      <c r="A3909" s="1">
        <v>43050</v>
      </c>
      <c r="B3909" s="3">
        <f t="shared" si="122"/>
        <v>2017</v>
      </c>
      <c r="C3909" s="3">
        <f t="shared" si="123"/>
        <v>11</v>
      </c>
      <c r="D3909" t="s">
        <v>879</v>
      </c>
      <c r="E3909" t="s">
        <v>45</v>
      </c>
      <c r="F3909" t="s">
        <v>28</v>
      </c>
      <c r="G3909" t="s">
        <v>58</v>
      </c>
      <c r="H3909" t="s">
        <v>176</v>
      </c>
      <c r="I3909" s="2">
        <v>10.89</v>
      </c>
      <c r="J3909" s="3">
        <v>1</v>
      </c>
      <c r="K3909" s="2">
        <v>2.83</v>
      </c>
    </row>
    <row r="3910" spans="1:11" x14ac:dyDescent="0.35">
      <c r="A3910" s="1">
        <v>43050</v>
      </c>
      <c r="B3910" s="3">
        <f t="shared" si="122"/>
        <v>2017</v>
      </c>
      <c r="C3910" s="3">
        <f t="shared" si="123"/>
        <v>11</v>
      </c>
      <c r="D3910" t="s">
        <v>879</v>
      </c>
      <c r="E3910" t="s">
        <v>45</v>
      </c>
      <c r="F3910" t="s">
        <v>28</v>
      </c>
      <c r="G3910" t="s">
        <v>29</v>
      </c>
      <c r="H3910" t="s">
        <v>1543</v>
      </c>
      <c r="I3910" s="2">
        <v>19.440000000000001</v>
      </c>
      <c r="J3910" s="3">
        <v>3</v>
      </c>
      <c r="K3910" s="2">
        <v>9.33</v>
      </c>
    </row>
    <row r="3911" spans="1:11" x14ac:dyDescent="0.35">
      <c r="A3911" s="1">
        <v>43050</v>
      </c>
      <c r="B3911" s="3">
        <f t="shared" si="122"/>
        <v>2017</v>
      </c>
      <c r="C3911" s="3">
        <f t="shared" si="123"/>
        <v>11</v>
      </c>
      <c r="D3911" t="s">
        <v>879</v>
      </c>
      <c r="E3911" t="s">
        <v>45</v>
      </c>
      <c r="F3911" t="s">
        <v>28</v>
      </c>
      <c r="G3911" t="s">
        <v>48</v>
      </c>
      <c r="H3911" t="s">
        <v>1803</v>
      </c>
      <c r="I3911" s="2">
        <v>121.6</v>
      </c>
      <c r="J3911" s="3">
        <v>5</v>
      </c>
      <c r="K3911" s="2">
        <v>39.520000000000003</v>
      </c>
    </row>
    <row r="3912" spans="1:11" x14ac:dyDescent="0.35">
      <c r="A3912" s="1">
        <v>43050</v>
      </c>
      <c r="B3912" s="3">
        <f t="shared" si="122"/>
        <v>2017</v>
      </c>
      <c r="C3912" s="3">
        <f t="shared" si="123"/>
        <v>11</v>
      </c>
      <c r="D3912" t="s">
        <v>562</v>
      </c>
      <c r="E3912" t="s">
        <v>71</v>
      </c>
      <c r="F3912" t="s">
        <v>28</v>
      </c>
      <c r="G3912" t="s">
        <v>64</v>
      </c>
      <c r="H3912" t="s">
        <v>2306</v>
      </c>
      <c r="I3912" s="2">
        <v>181.86</v>
      </c>
      <c r="J3912" s="3">
        <v>7</v>
      </c>
      <c r="K3912" s="2">
        <v>50.92</v>
      </c>
    </row>
    <row r="3913" spans="1:11" x14ac:dyDescent="0.35">
      <c r="A3913" s="1">
        <v>43050</v>
      </c>
      <c r="B3913" s="3">
        <f t="shared" si="122"/>
        <v>2017</v>
      </c>
      <c r="C3913" s="3">
        <f t="shared" si="123"/>
        <v>11</v>
      </c>
      <c r="D3913" t="s">
        <v>412</v>
      </c>
      <c r="E3913" t="s">
        <v>1451</v>
      </c>
      <c r="F3913" t="s">
        <v>28</v>
      </c>
      <c r="G3913" t="s">
        <v>33</v>
      </c>
      <c r="H3913" t="s">
        <v>928</v>
      </c>
      <c r="I3913" s="2">
        <v>45.92</v>
      </c>
      <c r="J3913" s="3">
        <v>4</v>
      </c>
      <c r="K3913" s="2">
        <v>21.58</v>
      </c>
    </row>
    <row r="3914" spans="1:11" x14ac:dyDescent="0.35">
      <c r="A3914" s="1">
        <v>43050</v>
      </c>
      <c r="B3914" s="3">
        <f t="shared" si="122"/>
        <v>2017</v>
      </c>
      <c r="C3914" s="3">
        <f t="shared" si="123"/>
        <v>11</v>
      </c>
      <c r="D3914" t="s">
        <v>1058</v>
      </c>
      <c r="E3914" t="s">
        <v>12</v>
      </c>
      <c r="F3914" t="s">
        <v>28</v>
      </c>
      <c r="G3914" t="s">
        <v>48</v>
      </c>
      <c r="H3914" t="s">
        <v>94</v>
      </c>
      <c r="I3914" s="2">
        <v>18.239999999999998</v>
      </c>
      <c r="J3914" s="3">
        <v>3</v>
      </c>
      <c r="K3914" s="2">
        <v>8.57</v>
      </c>
    </row>
    <row r="3915" spans="1:11" x14ac:dyDescent="0.35">
      <c r="A3915" s="1">
        <v>43050</v>
      </c>
      <c r="B3915" s="3">
        <f t="shared" si="122"/>
        <v>2017</v>
      </c>
      <c r="C3915" s="3">
        <f t="shared" si="123"/>
        <v>11</v>
      </c>
      <c r="D3915" t="s">
        <v>1334</v>
      </c>
      <c r="E3915" t="s">
        <v>22</v>
      </c>
      <c r="F3915" t="s">
        <v>28</v>
      </c>
      <c r="G3915" t="s">
        <v>38</v>
      </c>
      <c r="H3915" t="s">
        <v>1819</v>
      </c>
      <c r="I3915" s="2">
        <v>35.479999999999997</v>
      </c>
      <c r="J3915" s="3">
        <v>1</v>
      </c>
      <c r="K3915" s="2">
        <v>0</v>
      </c>
    </row>
    <row r="3916" spans="1:11" x14ac:dyDescent="0.35">
      <c r="A3916" s="1">
        <v>43050</v>
      </c>
      <c r="B3916" s="3">
        <f t="shared" si="122"/>
        <v>2017</v>
      </c>
      <c r="C3916" s="3">
        <f t="shared" si="123"/>
        <v>11</v>
      </c>
      <c r="D3916" t="s">
        <v>1275</v>
      </c>
      <c r="E3916" t="s">
        <v>77</v>
      </c>
      <c r="F3916" t="s">
        <v>28</v>
      </c>
      <c r="G3916" t="s">
        <v>58</v>
      </c>
      <c r="H3916" t="s">
        <v>1358</v>
      </c>
      <c r="I3916" s="2">
        <v>1158.1199999999999</v>
      </c>
      <c r="J3916" s="3">
        <v>5</v>
      </c>
      <c r="K3916" s="2">
        <v>130.29</v>
      </c>
    </row>
    <row r="3917" spans="1:11" x14ac:dyDescent="0.35">
      <c r="A3917" s="1">
        <v>43050</v>
      </c>
      <c r="B3917" s="3">
        <f t="shared" si="122"/>
        <v>2017</v>
      </c>
      <c r="C3917" s="3">
        <f t="shared" si="123"/>
        <v>11</v>
      </c>
      <c r="D3917" t="s">
        <v>683</v>
      </c>
      <c r="E3917" t="s">
        <v>326</v>
      </c>
      <c r="F3917" t="s">
        <v>18</v>
      </c>
      <c r="G3917" t="s">
        <v>36</v>
      </c>
      <c r="H3917" t="s">
        <v>1301</v>
      </c>
      <c r="I3917" s="2">
        <v>88.92</v>
      </c>
      <c r="J3917" s="3">
        <v>5</v>
      </c>
      <c r="K3917" s="2">
        <v>14.45</v>
      </c>
    </row>
    <row r="3918" spans="1:11" x14ac:dyDescent="0.35">
      <c r="A3918" s="1">
        <v>43050</v>
      </c>
      <c r="B3918" s="3">
        <f t="shared" si="122"/>
        <v>2017</v>
      </c>
      <c r="C3918" s="3">
        <f t="shared" si="123"/>
        <v>11</v>
      </c>
      <c r="D3918" t="s">
        <v>2379</v>
      </c>
      <c r="E3918" t="s">
        <v>45</v>
      </c>
      <c r="F3918" t="s">
        <v>18</v>
      </c>
      <c r="G3918" t="s">
        <v>36</v>
      </c>
      <c r="H3918" t="s">
        <v>2083</v>
      </c>
      <c r="I3918" s="2">
        <v>34.92</v>
      </c>
      <c r="J3918" s="3">
        <v>4</v>
      </c>
      <c r="K3918" s="2">
        <v>11.87</v>
      </c>
    </row>
    <row r="3919" spans="1:11" x14ac:dyDescent="0.35">
      <c r="A3919" s="1">
        <v>43050</v>
      </c>
      <c r="B3919" s="3">
        <f t="shared" si="122"/>
        <v>2017</v>
      </c>
      <c r="C3919" s="3">
        <f t="shared" si="123"/>
        <v>11</v>
      </c>
      <c r="D3919" t="s">
        <v>750</v>
      </c>
      <c r="E3919" t="s">
        <v>32</v>
      </c>
      <c r="F3919" t="s">
        <v>13</v>
      </c>
      <c r="G3919" t="s">
        <v>23</v>
      </c>
      <c r="H3919" t="s">
        <v>1552</v>
      </c>
      <c r="I3919" s="2">
        <v>35.18</v>
      </c>
      <c r="J3919" s="3">
        <v>2</v>
      </c>
      <c r="K3919" s="2">
        <v>12.31</v>
      </c>
    </row>
    <row r="3920" spans="1:11" x14ac:dyDescent="0.35">
      <c r="A3920" s="1">
        <v>43050</v>
      </c>
      <c r="B3920" s="3">
        <f t="shared" si="122"/>
        <v>2017</v>
      </c>
      <c r="C3920" s="3">
        <f t="shared" si="123"/>
        <v>11</v>
      </c>
      <c r="D3920" t="s">
        <v>1944</v>
      </c>
      <c r="E3920" t="s">
        <v>2394</v>
      </c>
      <c r="F3920" t="s">
        <v>28</v>
      </c>
      <c r="G3920" t="s">
        <v>215</v>
      </c>
      <c r="H3920" t="s">
        <v>1299</v>
      </c>
      <c r="I3920" s="2">
        <v>25.5</v>
      </c>
      <c r="J3920" s="3">
        <v>3</v>
      </c>
      <c r="K3920" s="2">
        <v>6.63</v>
      </c>
    </row>
    <row r="3921" spans="1:11" x14ac:dyDescent="0.35">
      <c r="A3921" s="1">
        <v>43080</v>
      </c>
      <c r="B3921" s="3">
        <f t="shared" si="122"/>
        <v>2017</v>
      </c>
      <c r="C3921" s="3">
        <f t="shared" si="123"/>
        <v>12</v>
      </c>
      <c r="D3921" t="s">
        <v>1264</v>
      </c>
      <c r="E3921" t="s">
        <v>22</v>
      </c>
      <c r="F3921" t="s">
        <v>28</v>
      </c>
      <c r="G3921" t="s">
        <v>48</v>
      </c>
      <c r="H3921" t="s">
        <v>239</v>
      </c>
      <c r="I3921" s="2">
        <v>23.36</v>
      </c>
      <c r="J3921" s="3">
        <v>4</v>
      </c>
      <c r="K3921" s="2">
        <v>7.88</v>
      </c>
    </row>
    <row r="3922" spans="1:11" x14ac:dyDescent="0.35">
      <c r="A3922" s="1">
        <v>43080</v>
      </c>
      <c r="B3922" s="3">
        <f t="shared" si="122"/>
        <v>2017</v>
      </c>
      <c r="C3922" s="3">
        <f t="shared" si="123"/>
        <v>12</v>
      </c>
      <c r="D3922" t="s">
        <v>1264</v>
      </c>
      <c r="E3922" t="s">
        <v>22</v>
      </c>
      <c r="F3922" t="s">
        <v>13</v>
      </c>
      <c r="G3922" t="s">
        <v>14</v>
      </c>
      <c r="H3922" t="s">
        <v>1581</v>
      </c>
      <c r="I3922" s="2">
        <v>39.979999999999997</v>
      </c>
      <c r="J3922" s="3">
        <v>2</v>
      </c>
      <c r="K3922" s="2">
        <v>13.59</v>
      </c>
    </row>
    <row r="3923" spans="1:11" x14ac:dyDescent="0.35">
      <c r="A3923" s="1">
        <v>43080</v>
      </c>
      <c r="B3923" s="3">
        <f t="shared" si="122"/>
        <v>2017</v>
      </c>
      <c r="C3923" s="3">
        <f t="shared" si="123"/>
        <v>12</v>
      </c>
      <c r="D3923" t="s">
        <v>830</v>
      </c>
      <c r="E3923" t="s">
        <v>89</v>
      </c>
      <c r="F3923" t="s">
        <v>18</v>
      </c>
      <c r="G3923" t="s">
        <v>19</v>
      </c>
      <c r="H3923" t="s">
        <v>2395</v>
      </c>
      <c r="I3923" s="2">
        <v>63.69</v>
      </c>
      <c r="J3923" s="3">
        <v>1</v>
      </c>
      <c r="K3923" s="2">
        <v>-9.1</v>
      </c>
    </row>
    <row r="3924" spans="1:11" x14ac:dyDescent="0.35">
      <c r="A3924" s="1">
        <v>43080</v>
      </c>
      <c r="B3924" s="3">
        <f t="shared" si="122"/>
        <v>2017</v>
      </c>
      <c r="C3924" s="3">
        <f t="shared" si="123"/>
        <v>12</v>
      </c>
      <c r="D3924" t="s">
        <v>2396</v>
      </c>
      <c r="E3924" t="s">
        <v>26</v>
      </c>
      <c r="F3924" t="s">
        <v>28</v>
      </c>
      <c r="G3924" t="s">
        <v>29</v>
      </c>
      <c r="H3924" t="s">
        <v>781</v>
      </c>
      <c r="I3924" s="2">
        <v>10.37</v>
      </c>
      <c r="J3924" s="3">
        <v>2</v>
      </c>
      <c r="K3924" s="2">
        <v>3.63</v>
      </c>
    </row>
    <row r="3925" spans="1:11" x14ac:dyDescent="0.35">
      <c r="A3925" s="1">
        <v>43080</v>
      </c>
      <c r="B3925" s="3">
        <f t="shared" si="122"/>
        <v>2017</v>
      </c>
      <c r="C3925" s="3">
        <f t="shared" si="123"/>
        <v>12</v>
      </c>
      <c r="D3925" t="s">
        <v>2396</v>
      </c>
      <c r="E3925" t="s">
        <v>26</v>
      </c>
      <c r="F3925" t="s">
        <v>18</v>
      </c>
      <c r="G3925" t="s">
        <v>36</v>
      </c>
      <c r="H3925" t="s">
        <v>1890</v>
      </c>
      <c r="I3925" s="2">
        <v>77.72</v>
      </c>
      <c r="J3925" s="3">
        <v>1</v>
      </c>
      <c r="K3925" s="2">
        <v>-66.06</v>
      </c>
    </row>
    <row r="3926" spans="1:11" x14ac:dyDescent="0.35">
      <c r="A3926" s="1">
        <v>43080</v>
      </c>
      <c r="B3926" s="3">
        <f t="shared" si="122"/>
        <v>2017</v>
      </c>
      <c r="C3926" s="3">
        <f t="shared" si="123"/>
        <v>12</v>
      </c>
      <c r="D3926" t="s">
        <v>2396</v>
      </c>
      <c r="E3926" t="s">
        <v>26</v>
      </c>
      <c r="F3926" t="s">
        <v>18</v>
      </c>
      <c r="G3926" t="s">
        <v>19</v>
      </c>
      <c r="H3926" t="s">
        <v>844</v>
      </c>
      <c r="I3926" s="2">
        <v>520.46</v>
      </c>
      <c r="J3926" s="3">
        <v>2</v>
      </c>
      <c r="K3926" s="2">
        <v>-14.87</v>
      </c>
    </row>
    <row r="3927" spans="1:11" x14ac:dyDescent="0.35">
      <c r="A3927" s="1">
        <v>43080</v>
      </c>
      <c r="B3927" s="3">
        <f t="shared" si="122"/>
        <v>2017</v>
      </c>
      <c r="C3927" s="3">
        <f t="shared" si="123"/>
        <v>12</v>
      </c>
      <c r="D3927" t="s">
        <v>244</v>
      </c>
      <c r="E3927" t="s">
        <v>51</v>
      </c>
      <c r="F3927" t="s">
        <v>13</v>
      </c>
      <c r="G3927" t="s">
        <v>23</v>
      </c>
      <c r="H3927" t="s">
        <v>1073</v>
      </c>
      <c r="I3927" s="2">
        <v>128.85</v>
      </c>
      <c r="J3927" s="3">
        <v>3</v>
      </c>
      <c r="K3927" s="2">
        <v>3.87</v>
      </c>
    </row>
    <row r="3928" spans="1:11" x14ac:dyDescent="0.35">
      <c r="A3928" s="1">
        <v>43080</v>
      </c>
      <c r="B3928" s="3">
        <f t="shared" si="122"/>
        <v>2017</v>
      </c>
      <c r="C3928" s="3">
        <f t="shared" si="123"/>
        <v>12</v>
      </c>
      <c r="D3928" t="s">
        <v>1807</v>
      </c>
      <c r="E3928" t="s">
        <v>26</v>
      </c>
      <c r="F3928" t="s">
        <v>13</v>
      </c>
      <c r="G3928" t="s">
        <v>14</v>
      </c>
      <c r="H3928" t="s">
        <v>275</v>
      </c>
      <c r="I3928" s="2">
        <v>116.31</v>
      </c>
      <c r="J3928" s="3">
        <v>7</v>
      </c>
      <c r="K3928" s="2">
        <v>23.26</v>
      </c>
    </row>
    <row r="3929" spans="1:11" x14ac:dyDescent="0.35">
      <c r="A3929" s="1">
        <v>43080</v>
      </c>
      <c r="B3929" s="3">
        <f t="shared" si="122"/>
        <v>2017</v>
      </c>
      <c r="C3929" s="3">
        <f t="shared" si="123"/>
        <v>12</v>
      </c>
      <c r="D3929" t="s">
        <v>1158</v>
      </c>
      <c r="E3929" t="s">
        <v>22</v>
      </c>
      <c r="F3929" t="s">
        <v>28</v>
      </c>
      <c r="G3929" t="s">
        <v>48</v>
      </c>
      <c r="H3929" t="s">
        <v>1498</v>
      </c>
      <c r="I3929" s="2">
        <v>14.95</v>
      </c>
      <c r="J3929" s="3">
        <v>1</v>
      </c>
      <c r="K3929" s="2">
        <v>5.05</v>
      </c>
    </row>
    <row r="3930" spans="1:11" x14ac:dyDescent="0.35">
      <c r="A3930" s="1">
        <v>43080</v>
      </c>
      <c r="B3930" s="3">
        <f t="shared" si="122"/>
        <v>2017</v>
      </c>
      <c r="C3930" s="3">
        <f t="shared" si="123"/>
        <v>12</v>
      </c>
      <c r="D3930" t="s">
        <v>1158</v>
      </c>
      <c r="E3930" t="s">
        <v>22</v>
      </c>
      <c r="F3930" t="s">
        <v>28</v>
      </c>
      <c r="G3930" t="s">
        <v>29</v>
      </c>
      <c r="H3930" t="s">
        <v>773</v>
      </c>
      <c r="I3930" s="2">
        <v>17.940000000000001</v>
      </c>
      <c r="J3930" s="3">
        <v>3</v>
      </c>
      <c r="K3930" s="2">
        <v>8.07</v>
      </c>
    </row>
    <row r="3931" spans="1:11" x14ac:dyDescent="0.35">
      <c r="A3931" s="1">
        <v>43080</v>
      </c>
      <c r="B3931" s="3">
        <f t="shared" si="122"/>
        <v>2017</v>
      </c>
      <c r="C3931" s="3">
        <f t="shared" si="123"/>
        <v>12</v>
      </c>
      <c r="D3931" t="s">
        <v>1158</v>
      </c>
      <c r="E3931" t="s">
        <v>22</v>
      </c>
      <c r="F3931" t="s">
        <v>13</v>
      </c>
      <c r="G3931" t="s">
        <v>23</v>
      </c>
      <c r="H3931" t="s">
        <v>1474</v>
      </c>
      <c r="I3931" s="2">
        <v>116.98</v>
      </c>
      <c r="J3931" s="3">
        <v>2</v>
      </c>
      <c r="K3931" s="2">
        <v>29.25</v>
      </c>
    </row>
    <row r="3932" spans="1:11" x14ac:dyDescent="0.35">
      <c r="A3932" s="1">
        <v>43080</v>
      </c>
      <c r="B3932" s="3">
        <f t="shared" si="122"/>
        <v>2017</v>
      </c>
      <c r="C3932" s="3">
        <f t="shared" si="123"/>
        <v>12</v>
      </c>
      <c r="D3932" t="s">
        <v>630</v>
      </c>
      <c r="E3932" t="s">
        <v>32</v>
      </c>
      <c r="F3932" t="s">
        <v>28</v>
      </c>
      <c r="G3932" t="s">
        <v>58</v>
      </c>
      <c r="H3932" t="s">
        <v>2397</v>
      </c>
      <c r="I3932" s="2">
        <v>1.39</v>
      </c>
      <c r="J3932" s="3">
        <v>2</v>
      </c>
      <c r="K3932" s="2">
        <v>-3.76</v>
      </c>
    </row>
    <row r="3933" spans="1:11" x14ac:dyDescent="0.35">
      <c r="A3933" s="1">
        <v>43080</v>
      </c>
      <c r="B3933" s="3">
        <f t="shared" si="122"/>
        <v>2017</v>
      </c>
      <c r="C3933" s="3">
        <f t="shared" si="123"/>
        <v>12</v>
      </c>
      <c r="D3933" t="s">
        <v>2076</v>
      </c>
      <c r="E3933" t="s">
        <v>77</v>
      </c>
      <c r="F3933" t="s">
        <v>18</v>
      </c>
      <c r="G3933" t="s">
        <v>42</v>
      </c>
      <c r="H3933" t="s">
        <v>290</v>
      </c>
      <c r="I3933" s="2">
        <v>721.88</v>
      </c>
      <c r="J3933" s="3">
        <v>6</v>
      </c>
      <c r="K3933" s="2">
        <v>-420</v>
      </c>
    </row>
    <row r="3934" spans="1:11" x14ac:dyDescent="0.35">
      <c r="A3934" s="1">
        <v>43080</v>
      </c>
      <c r="B3934" s="3">
        <f t="shared" si="122"/>
        <v>2017</v>
      </c>
      <c r="C3934" s="3">
        <f t="shared" si="123"/>
        <v>12</v>
      </c>
      <c r="D3934" t="s">
        <v>2076</v>
      </c>
      <c r="E3934" t="s">
        <v>77</v>
      </c>
      <c r="F3934" t="s">
        <v>13</v>
      </c>
      <c r="G3934" t="s">
        <v>23</v>
      </c>
      <c r="H3934" t="s">
        <v>1977</v>
      </c>
      <c r="I3934" s="2">
        <v>73.569999999999993</v>
      </c>
      <c r="J3934" s="3">
        <v>4</v>
      </c>
      <c r="K3934" s="2">
        <v>-16.55</v>
      </c>
    </row>
    <row r="3935" spans="1:11" x14ac:dyDescent="0.35">
      <c r="A3935" s="1">
        <v>43080</v>
      </c>
      <c r="B3935" s="3">
        <f t="shared" si="122"/>
        <v>2017</v>
      </c>
      <c r="C3935" s="3">
        <f t="shared" si="123"/>
        <v>12</v>
      </c>
      <c r="D3935" t="s">
        <v>2076</v>
      </c>
      <c r="E3935" t="s">
        <v>77</v>
      </c>
      <c r="F3935" t="s">
        <v>28</v>
      </c>
      <c r="G3935" t="s">
        <v>64</v>
      </c>
      <c r="H3935" t="s">
        <v>1715</v>
      </c>
      <c r="I3935" s="2">
        <v>13.58</v>
      </c>
      <c r="J3935" s="3">
        <v>1</v>
      </c>
      <c r="K3935" s="2">
        <v>1.36</v>
      </c>
    </row>
    <row r="3936" spans="1:11" x14ac:dyDescent="0.35">
      <c r="A3936" s="1">
        <v>43080</v>
      </c>
      <c r="B3936" s="3">
        <f t="shared" si="122"/>
        <v>2017</v>
      </c>
      <c r="C3936" s="3">
        <f t="shared" si="123"/>
        <v>12</v>
      </c>
      <c r="D3936" t="s">
        <v>2076</v>
      </c>
      <c r="E3936" t="s">
        <v>77</v>
      </c>
      <c r="F3936" t="s">
        <v>18</v>
      </c>
      <c r="G3936" t="s">
        <v>19</v>
      </c>
      <c r="H3936" t="s">
        <v>969</v>
      </c>
      <c r="I3936" s="2">
        <v>64.78</v>
      </c>
      <c r="J3936" s="3">
        <v>1</v>
      </c>
      <c r="K3936" s="2">
        <v>-12.15</v>
      </c>
    </row>
    <row r="3937" spans="1:11" x14ac:dyDescent="0.35">
      <c r="A3937" s="1">
        <v>43080</v>
      </c>
      <c r="B3937" s="3">
        <f t="shared" si="122"/>
        <v>2017</v>
      </c>
      <c r="C3937" s="3">
        <f t="shared" si="123"/>
        <v>12</v>
      </c>
      <c r="D3937" t="s">
        <v>1917</v>
      </c>
      <c r="E3937" t="s">
        <v>1451</v>
      </c>
      <c r="F3937" t="s">
        <v>28</v>
      </c>
      <c r="G3937" t="s">
        <v>158</v>
      </c>
      <c r="H3937" t="s">
        <v>2398</v>
      </c>
      <c r="I3937" s="2">
        <v>7.28</v>
      </c>
      <c r="J3937" s="3">
        <v>1</v>
      </c>
      <c r="K3937" s="2">
        <v>3.49</v>
      </c>
    </row>
    <row r="3938" spans="1:11" x14ac:dyDescent="0.35">
      <c r="A3938" s="1">
        <v>43080</v>
      </c>
      <c r="B3938" s="3">
        <f t="shared" si="122"/>
        <v>2017</v>
      </c>
      <c r="C3938" s="3">
        <f t="shared" si="123"/>
        <v>12</v>
      </c>
      <c r="D3938" t="s">
        <v>1917</v>
      </c>
      <c r="E3938" t="s">
        <v>1451</v>
      </c>
      <c r="F3938" t="s">
        <v>28</v>
      </c>
      <c r="G3938" t="s">
        <v>48</v>
      </c>
      <c r="H3938" t="s">
        <v>2098</v>
      </c>
      <c r="I3938" s="2">
        <v>5.4</v>
      </c>
      <c r="J3938" s="3">
        <v>3</v>
      </c>
      <c r="K3938" s="2">
        <v>2.59</v>
      </c>
    </row>
    <row r="3939" spans="1:11" x14ac:dyDescent="0.35">
      <c r="A3939" s="1">
        <v>43080</v>
      </c>
      <c r="B3939" s="3">
        <f t="shared" si="122"/>
        <v>2017</v>
      </c>
      <c r="C3939" s="3">
        <f t="shared" si="123"/>
        <v>12</v>
      </c>
      <c r="D3939" t="s">
        <v>510</v>
      </c>
      <c r="E3939" t="s">
        <v>62</v>
      </c>
      <c r="F3939" t="s">
        <v>28</v>
      </c>
      <c r="G3939" t="s">
        <v>33</v>
      </c>
      <c r="H3939" t="s">
        <v>887</v>
      </c>
      <c r="I3939" s="2">
        <v>6.54</v>
      </c>
      <c r="J3939" s="3">
        <v>3</v>
      </c>
      <c r="K3939" s="2">
        <v>2.16</v>
      </c>
    </row>
    <row r="3940" spans="1:11" x14ac:dyDescent="0.35">
      <c r="A3940" s="1">
        <v>43080</v>
      </c>
      <c r="B3940" s="3">
        <f t="shared" si="122"/>
        <v>2017</v>
      </c>
      <c r="C3940" s="3">
        <f t="shared" si="123"/>
        <v>12</v>
      </c>
      <c r="D3940" t="s">
        <v>853</v>
      </c>
      <c r="E3940" t="s">
        <v>62</v>
      </c>
      <c r="F3940" t="s">
        <v>28</v>
      </c>
      <c r="G3940" t="s">
        <v>48</v>
      </c>
      <c r="H3940" t="s">
        <v>442</v>
      </c>
      <c r="I3940" s="2">
        <v>40.200000000000003</v>
      </c>
      <c r="J3940" s="3">
        <v>5</v>
      </c>
      <c r="K3940" s="2">
        <v>18.09</v>
      </c>
    </row>
    <row r="3941" spans="1:11" x14ac:dyDescent="0.35">
      <c r="A3941" s="1">
        <v>43080</v>
      </c>
      <c r="B3941" s="3">
        <f t="shared" si="122"/>
        <v>2017</v>
      </c>
      <c r="C3941" s="3">
        <f t="shared" si="123"/>
        <v>12</v>
      </c>
      <c r="D3941" t="s">
        <v>853</v>
      </c>
      <c r="E3941" t="s">
        <v>62</v>
      </c>
      <c r="F3941" t="s">
        <v>28</v>
      </c>
      <c r="G3941" t="s">
        <v>48</v>
      </c>
      <c r="H3941" t="s">
        <v>788</v>
      </c>
      <c r="I3941" s="2">
        <v>735.98</v>
      </c>
      <c r="J3941" s="3">
        <v>2</v>
      </c>
      <c r="K3941" s="2">
        <v>331.19</v>
      </c>
    </row>
    <row r="3942" spans="1:11" x14ac:dyDescent="0.35">
      <c r="A3942" s="1">
        <v>43080</v>
      </c>
      <c r="B3942" s="3">
        <f t="shared" si="122"/>
        <v>2017</v>
      </c>
      <c r="C3942" s="3">
        <f t="shared" si="123"/>
        <v>12</v>
      </c>
      <c r="D3942" t="s">
        <v>853</v>
      </c>
      <c r="E3942" t="s">
        <v>62</v>
      </c>
      <c r="F3942" t="s">
        <v>28</v>
      </c>
      <c r="G3942" t="s">
        <v>58</v>
      </c>
      <c r="H3942" t="s">
        <v>291</v>
      </c>
      <c r="I3942" s="2">
        <v>22.75</v>
      </c>
      <c r="J3942" s="3">
        <v>7</v>
      </c>
      <c r="K3942" s="2">
        <v>6.6</v>
      </c>
    </row>
    <row r="3943" spans="1:11" x14ac:dyDescent="0.35">
      <c r="A3943" s="1">
        <v>42747</v>
      </c>
      <c r="B3943" s="3">
        <f t="shared" si="122"/>
        <v>2017</v>
      </c>
      <c r="C3943" s="3">
        <f t="shared" si="123"/>
        <v>1</v>
      </c>
      <c r="D3943" t="s">
        <v>841</v>
      </c>
      <c r="E3943" t="s">
        <v>1872</v>
      </c>
      <c r="F3943" t="s">
        <v>28</v>
      </c>
      <c r="G3943" t="s">
        <v>29</v>
      </c>
      <c r="H3943" t="s">
        <v>820</v>
      </c>
      <c r="I3943" s="2">
        <v>40.08</v>
      </c>
      <c r="J3943" s="3">
        <v>6</v>
      </c>
      <c r="K3943" s="2">
        <v>19.239999999999998</v>
      </c>
    </row>
    <row r="3944" spans="1:11" x14ac:dyDescent="0.35">
      <c r="A3944" s="1">
        <v>42747</v>
      </c>
      <c r="B3944" s="3">
        <f t="shared" si="122"/>
        <v>2017</v>
      </c>
      <c r="C3944" s="3">
        <f t="shared" si="123"/>
        <v>1</v>
      </c>
      <c r="D3944" t="s">
        <v>841</v>
      </c>
      <c r="E3944" t="s">
        <v>1872</v>
      </c>
      <c r="F3944" t="s">
        <v>18</v>
      </c>
      <c r="G3944" t="s">
        <v>36</v>
      </c>
      <c r="H3944" t="s">
        <v>1918</v>
      </c>
      <c r="I3944" s="2">
        <v>37.68</v>
      </c>
      <c r="J3944" s="3">
        <v>2</v>
      </c>
      <c r="K3944" s="2">
        <v>15.83</v>
      </c>
    </row>
    <row r="3945" spans="1:11" x14ac:dyDescent="0.35">
      <c r="A3945" s="1">
        <v>42747</v>
      </c>
      <c r="B3945" s="3">
        <f t="shared" si="122"/>
        <v>2017</v>
      </c>
      <c r="C3945" s="3">
        <f t="shared" si="123"/>
        <v>1</v>
      </c>
      <c r="D3945" t="s">
        <v>2256</v>
      </c>
      <c r="E3945" t="s">
        <v>45</v>
      </c>
      <c r="F3945" t="s">
        <v>28</v>
      </c>
      <c r="G3945" t="s">
        <v>158</v>
      </c>
      <c r="H3945" t="s">
        <v>159</v>
      </c>
      <c r="I3945" s="2">
        <v>9.7799999999999994</v>
      </c>
      <c r="J3945" s="3">
        <v>1</v>
      </c>
      <c r="K3945" s="2">
        <v>4.8899999999999997</v>
      </c>
    </row>
    <row r="3946" spans="1:11" x14ac:dyDescent="0.35">
      <c r="A3946" s="1">
        <v>42747</v>
      </c>
      <c r="B3946" s="3">
        <f t="shared" si="122"/>
        <v>2017</v>
      </c>
      <c r="C3946" s="3">
        <f t="shared" si="123"/>
        <v>1</v>
      </c>
      <c r="D3946" t="s">
        <v>1049</v>
      </c>
      <c r="E3946" t="s">
        <v>32</v>
      </c>
      <c r="F3946" t="s">
        <v>28</v>
      </c>
      <c r="G3946" t="s">
        <v>48</v>
      </c>
      <c r="H3946" t="s">
        <v>1252</v>
      </c>
      <c r="I3946" s="2">
        <v>760.98</v>
      </c>
      <c r="J3946" s="3">
        <v>5</v>
      </c>
      <c r="K3946" s="2">
        <v>-1141.47</v>
      </c>
    </row>
    <row r="3947" spans="1:11" x14ac:dyDescent="0.35">
      <c r="A3947" s="1">
        <v>42806</v>
      </c>
      <c r="B3947" s="3">
        <f t="shared" si="122"/>
        <v>2017</v>
      </c>
      <c r="C3947" s="3">
        <f t="shared" si="123"/>
        <v>3</v>
      </c>
      <c r="D3947" t="s">
        <v>361</v>
      </c>
      <c r="E3947" t="s">
        <v>51</v>
      </c>
      <c r="F3947" t="s">
        <v>13</v>
      </c>
      <c r="G3947" t="s">
        <v>23</v>
      </c>
      <c r="H3947" t="s">
        <v>265</v>
      </c>
      <c r="I3947" s="2">
        <v>69.930000000000007</v>
      </c>
      <c r="J3947" s="3">
        <v>7</v>
      </c>
      <c r="K3947" s="2">
        <v>32.17</v>
      </c>
    </row>
    <row r="3948" spans="1:11" x14ac:dyDescent="0.35">
      <c r="A3948" s="1">
        <v>42806</v>
      </c>
      <c r="B3948" s="3">
        <f t="shared" si="122"/>
        <v>2017</v>
      </c>
      <c r="C3948" s="3">
        <f t="shared" si="123"/>
        <v>3</v>
      </c>
      <c r="D3948" t="s">
        <v>1207</v>
      </c>
      <c r="E3948" t="s">
        <v>45</v>
      </c>
      <c r="F3948" t="s">
        <v>28</v>
      </c>
      <c r="G3948" t="s">
        <v>38</v>
      </c>
      <c r="H3948" t="s">
        <v>720</v>
      </c>
      <c r="I3948" s="2">
        <v>242.94</v>
      </c>
      <c r="J3948" s="3">
        <v>3</v>
      </c>
      <c r="K3948" s="2">
        <v>9.7200000000000006</v>
      </c>
    </row>
    <row r="3949" spans="1:11" x14ac:dyDescent="0.35">
      <c r="A3949" s="1">
        <v>42806</v>
      </c>
      <c r="B3949" s="3">
        <f t="shared" si="122"/>
        <v>2017</v>
      </c>
      <c r="C3949" s="3">
        <f t="shared" si="123"/>
        <v>3</v>
      </c>
      <c r="D3949" t="s">
        <v>879</v>
      </c>
      <c r="E3949" t="s">
        <v>67</v>
      </c>
      <c r="F3949" t="s">
        <v>28</v>
      </c>
      <c r="G3949" t="s">
        <v>48</v>
      </c>
      <c r="H3949" t="s">
        <v>360</v>
      </c>
      <c r="I3949" s="2">
        <v>40.409999999999997</v>
      </c>
      <c r="J3949" s="3">
        <v>9</v>
      </c>
      <c r="K3949" s="2">
        <v>18.59</v>
      </c>
    </row>
    <row r="3950" spans="1:11" x14ac:dyDescent="0.35">
      <c r="A3950" s="1">
        <v>42837</v>
      </c>
      <c r="B3950" s="3">
        <f t="shared" si="122"/>
        <v>2017</v>
      </c>
      <c r="C3950" s="3">
        <f t="shared" si="123"/>
        <v>4</v>
      </c>
      <c r="D3950" t="s">
        <v>1525</v>
      </c>
      <c r="E3950" t="s">
        <v>1125</v>
      </c>
      <c r="F3950" t="s">
        <v>28</v>
      </c>
      <c r="G3950" t="s">
        <v>48</v>
      </c>
      <c r="H3950" t="s">
        <v>454</v>
      </c>
      <c r="I3950" s="2">
        <v>29.7</v>
      </c>
      <c r="J3950" s="3">
        <v>5</v>
      </c>
      <c r="K3950" s="2">
        <v>13.37</v>
      </c>
    </row>
    <row r="3951" spans="1:11" x14ac:dyDescent="0.35">
      <c r="A3951" s="1">
        <v>42837</v>
      </c>
      <c r="B3951" s="3">
        <f t="shared" si="122"/>
        <v>2017</v>
      </c>
      <c r="C3951" s="3">
        <f t="shared" si="123"/>
        <v>4</v>
      </c>
      <c r="D3951" t="s">
        <v>1525</v>
      </c>
      <c r="E3951" t="s">
        <v>1125</v>
      </c>
      <c r="F3951" t="s">
        <v>28</v>
      </c>
      <c r="G3951" t="s">
        <v>29</v>
      </c>
      <c r="H3951" t="s">
        <v>2399</v>
      </c>
      <c r="I3951" s="2">
        <v>39.96</v>
      </c>
      <c r="J3951" s="3">
        <v>4</v>
      </c>
      <c r="K3951" s="2">
        <v>17.98</v>
      </c>
    </row>
    <row r="3952" spans="1:11" x14ac:dyDescent="0.35">
      <c r="A3952" s="1">
        <v>42867</v>
      </c>
      <c r="B3952" s="3">
        <f t="shared" si="122"/>
        <v>2017</v>
      </c>
      <c r="C3952" s="3">
        <f t="shared" si="123"/>
        <v>5</v>
      </c>
      <c r="D3952" t="s">
        <v>979</v>
      </c>
      <c r="E3952" t="s">
        <v>32</v>
      </c>
      <c r="F3952" t="s">
        <v>28</v>
      </c>
      <c r="G3952" t="s">
        <v>38</v>
      </c>
      <c r="H3952" t="s">
        <v>462</v>
      </c>
      <c r="I3952" s="2">
        <v>127.92</v>
      </c>
      <c r="J3952" s="3">
        <v>5</v>
      </c>
      <c r="K3952" s="2">
        <v>-15.99</v>
      </c>
    </row>
    <row r="3953" spans="1:11" x14ac:dyDescent="0.35">
      <c r="A3953" s="1">
        <v>42867</v>
      </c>
      <c r="B3953" s="3">
        <f t="shared" si="122"/>
        <v>2017</v>
      </c>
      <c r="C3953" s="3">
        <f t="shared" si="123"/>
        <v>5</v>
      </c>
      <c r="D3953" t="s">
        <v>979</v>
      </c>
      <c r="E3953" t="s">
        <v>32</v>
      </c>
      <c r="F3953" t="s">
        <v>28</v>
      </c>
      <c r="G3953" t="s">
        <v>48</v>
      </c>
      <c r="H3953" t="s">
        <v>1476</v>
      </c>
      <c r="I3953" s="2">
        <v>34.24</v>
      </c>
      <c r="J3953" s="3">
        <v>4</v>
      </c>
      <c r="K3953" s="2">
        <v>-53.07</v>
      </c>
    </row>
    <row r="3954" spans="1:11" x14ac:dyDescent="0.35">
      <c r="A3954" s="1">
        <v>42867</v>
      </c>
      <c r="B3954" s="3">
        <f t="shared" si="122"/>
        <v>2017</v>
      </c>
      <c r="C3954" s="3">
        <f t="shared" si="123"/>
        <v>5</v>
      </c>
      <c r="D3954" t="s">
        <v>885</v>
      </c>
      <c r="E3954" t="s">
        <v>51</v>
      </c>
      <c r="F3954" t="s">
        <v>28</v>
      </c>
      <c r="G3954" t="s">
        <v>29</v>
      </c>
      <c r="H3954" t="s">
        <v>2400</v>
      </c>
      <c r="I3954" s="2">
        <v>87.6</v>
      </c>
      <c r="J3954" s="3">
        <v>5</v>
      </c>
      <c r="K3954" s="2">
        <v>42.05</v>
      </c>
    </row>
    <row r="3955" spans="1:11" x14ac:dyDescent="0.35">
      <c r="A3955" s="1">
        <v>42867</v>
      </c>
      <c r="B3955" s="3">
        <f t="shared" si="122"/>
        <v>2017</v>
      </c>
      <c r="C3955" s="3">
        <f t="shared" si="123"/>
        <v>5</v>
      </c>
      <c r="D3955" t="s">
        <v>1234</v>
      </c>
      <c r="E3955" t="s">
        <v>131</v>
      </c>
      <c r="F3955" t="s">
        <v>28</v>
      </c>
      <c r="G3955" t="s">
        <v>64</v>
      </c>
      <c r="H3955" t="s">
        <v>2401</v>
      </c>
      <c r="I3955" s="2">
        <v>10.27</v>
      </c>
      <c r="J3955" s="3">
        <v>3</v>
      </c>
      <c r="K3955" s="2">
        <v>1.1599999999999999</v>
      </c>
    </row>
    <row r="3956" spans="1:11" x14ac:dyDescent="0.35">
      <c r="A3956" s="1">
        <v>42867</v>
      </c>
      <c r="B3956" s="3">
        <f t="shared" si="122"/>
        <v>2017</v>
      </c>
      <c r="C3956" s="3">
        <f t="shared" si="123"/>
        <v>5</v>
      </c>
      <c r="D3956" t="s">
        <v>991</v>
      </c>
      <c r="E3956" t="s">
        <v>45</v>
      </c>
      <c r="F3956" t="s">
        <v>28</v>
      </c>
      <c r="G3956" t="s">
        <v>215</v>
      </c>
      <c r="H3956" t="s">
        <v>319</v>
      </c>
      <c r="I3956" s="2">
        <v>238.62</v>
      </c>
      <c r="J3956" s="3">
        <v>2</v>
      </c>
      <c r="K3956" s="2">
        <v>4.7699999999999996</v>
      </c>
    </row>
    <row r="3957" spans="1:11" x14ac:dyDescent="0.35">
      <c r="A3957" s="1">
        <v>42867</v>
      </c>
      <c r="B3957" s="3">
        <f t="shared" si="122"/>
        <v>2017</v>
      </c>
      <c r="C3957" s="3">
        <f t="shared" si="123"/>
        <v>5</v>
      </c>
      <c r="D3957" t="s">
        <v>991</v>
      </c>
      <c r="E3957" t="s">
        <v>45</v>
      </c>
      <c r="F3957" t="s">
        <v>28</v>
      </c>
      <c r="G3957" t="s">
        <v>58</v>
      </c>
      <c r="H3957" t="s">
        <v>2402</v>
      </c>
      <c r="I3957" s="2">
        <v>7.77</v>
      </c>
      <c r="J3957" s="3">
        <v>1</v>
      </c>
      <c r="K3957" s="2">
        <v>2.1</v>
      </c>
    </row>
    <row r="3958" spans="1:11" x14ac:dyDescent="0.35">
      <c r="A3958" s="1">
        <v>42867</v>
      </c>
      <c r="B3958" s="3">
        <f t="shared" si="122"/>
        <v>2017</v>
      </c>
      <c r="C3958" s="3">
        <f t="shared" si="123"/>
        <v>5</v>
      </c>
      <c r="D3958" t="s">
        <v>991</v>
      </c>
      <c r="E3958" t="s">
        <v>45</v>
      </c>
      <c r="F3958" t="s">
        <v>18</v>
      </c>
      <c r="G3958" t="s">
        <v>42</v>
      </c>
      <c r="H3958" t="s">
        <v>1573</v>
      </c>
      <c r="I3958" s="2">
        <v>285.48</v>
      </c>
      <c r="J3958" s="3">
        <v>5</v>
      </c>
      <c r="K3958" s="2">
        <v>-10.71</v>
      </c>
    </row>
    <row r="3959" spans="1:11" x14ac:dyDescent="0.35">
      <c r="A3959" s="1">
        <v>42867</v>
      </c>
      <c r="B3959" s="3">
        <f t="shared" si="122"/>
        <v>2017</v>
      </c>
      <c r="C3959" s="3">
        <f t="shared" si="123"/>
        <v>5</v>
      </c>
      <c r="D3959" t="s">
        <v>991</v>
      </c>
      <c r="E3959" t="s">
        <v>45</v>
      </c>
      <c r="F3959" t="s">
        <v>28</v>
      </c>
      <c r="G3959" t="s">
        <v>48</v>
      </c>
      <c r="H3959" t="s">
        <v>1285</v>
      </c>
      <c r="I3959" s="2">
        <v>19.170000000000002</v>
      </c>
      <c r="J3959" s="3">
        <v>4</v>
      </c>
      <c r="K3959" s="2">
        <v>6.47</v>
      </c>
    </row>
    <row r="3960" spans="1:11" x14ac:dyDescent="0.35">
      <c r="A3960" s="1">
        <v>42867</v>
      </c>
      <c r="B3960" s="3">
        <f t="shared" si="122"/>
        <v>2017</v>
      </c>
      <c r="C3960" s="3">
        <f t="shared" si="123"/>
        <v>5</v>
      </c>
      <c r="D3960" t="s">
        <v>1616</v>
      </c>
      <c r="E3960" t="s">
        <v>131</v>
      </c>
      <c r="F3960" t="s">
        <v>28</v>
      </c>
      <c r="G3960" t="s">
        <v>46</v>
      </c>
      <c r="H3960" t="s">
        <v>999</v>
      </c>
      <c r="I3960" s="2">
        <v>5.9</v>
      </c>
      <c r="J3960" s="3">
        <v>2</v>
      </c>
      <c r="K3960" s="2">
        <v>1.99</v>
      </c>
    </row>
    <row r="3961" spans="1:11" x14ac:dyDescent="0.35">
      <c r="A3961" s="1">
        <v>42867</v>
      </c>
      <c r="B3961" s="3">
        <f t="shared" si="122"/>
        <v>2017</v>
      </c>
      <c r="C3961" s="3">
        <f t="shared" si="123"/>
        <v>5</v>
      </c>
      <c r="D3961" t="s">
        <v>1598</v>
      </c>
      <c r="E3961" t="s">
        <v>62</v>
      </c>
      <c r="F3961" t="s">
        <v>18</v>
      </c>
      <c r="G3961" t="s">
        <v>36</v>
      </c>
      <c r="H3961" t="s">
        <v>2403</v>
      </c>
      <c r="I3961" s="2">
        <v>42.85</v>
      </c>
      <c r="J3961" s="3">
        <v>5</v>
      </c>
      <c r="K3961" s="2">
        <v>15.43</v>
      </c>
    </row>
    <row r="3962" spans="1:11" x14ac:dyDescent="0.35">
      <c r="A3962" s="1">
        <v>42867</v>
      </c>
      <c r="B3962" s="3">
        <f t="shared" si="122"/>
        <v>2017</v>
      </c>
      <c r="C3962" s="3">
        <f t="shared" si="123"/>
        <v>5</v>
      </c>
      <c r="D3962" t="s">
        <v>1598</v>
      </c>
      <c r="E3962" t="s">
        <v>62</v>
      </c>
      <c r="F3962" t="s">
        <v>28</v>
      </c>
      <c r="G3962" t="s">
        <v>46</v>
      </c>
      <c r="H3962" t="s">
        <v>316</v>
      </c>
      <c r="I3962" s="2">
        <v>6.16</v>
      </c>
      <c r="J3962" s="3">
        <v>2</v>
      </c>
      <c r="K3962" s="2">
        <v>2.96</v>
      </c>
    </row>
    <row r="3963" spans="1:11" x14ac:dyDescent="0.35">
      <c r="A3963" s="1">
        <v>42867</v>
      </c>
      <c r="B3963" s="3">
        <f t="shared" si="122"/>
        <v>2017</v>
      </c>
      <c r="C3963" s="3">
        <f t="shared" si="123"/>
        <v>5</v>
      </c>
      <c r="D3963" t="s">
        <v>1598</v>
      </c>
      <c r="E3963" t="s">
        <v>62</v>
      </c>
      <c r="F3963" t="s">
        <v>28</v>
      </c>
      <c r="G3963" t="s">
        <v>215</v>
      </c>
      <c r="H3963" t="s">
        <v>1299</v>
      </c>
      <c r="I3963" s="2">
        <v>17</v>
      </c>
      <c r="J3963" s="3">
        <v>2</v>
      </c>
      <c r="K3963" s="2">
        <v>4.42</v>
      </c>
    </row>
    <row r="3964" spans="1:11" x14ac:dyDescent="0.35">
      <c r="A3964" s="1">
        <v>42867</v>
      </c>
      <c r="B3964" s="3">
        <f t="shared" si="122"/>
        <v>2017</v>
      </c>
      <c r="C3964" s="3">
        <f t="shared" si="123"/>
        <v>5</v>
      </c>
      <c r="D3964" t="s">
        <v>1598</v>
      </c>
      <c r="E3964" t="s">
        <v>62</v>
      </c>
      <c r="F3964" t="s">
        <v>13</v>
      </c>
      <c r="G3964" t="s">
        <v>14</v>
      </c>
      <c r="H3964" t="s">
        <v>2358</v>
      </c>
      <c r="I3964" s="2">
        <v>87.4</v>
      </c>
      <c r="J3964" s="3">
        <v>5</v>
      </c>
      <c r="K3964" s="2">
        <v>34.96</v>
      </c>
    </row>
    <row r="3965" spans="1:11" x14ac:dyDescent="0.35">
      <c r="A3965" s="1">
        <v>42898</v>
      </c>
      <c r="B3965" s="3">
        <f t="shared" si="122"/>
        <v>2017</v>
      </c>
      <c r="C3965" s="3">
        <f t="shared" si="123"/>
        <v>6</v>
      </c>
      <c r="D3965" t="s">
        <v>524</v>
      </c>
      <c r="E3965" t="s">
        <v>165</v>
      </c>
      <c r="F3965" t="s">
        <v>28</v>
      </c>
      <c r="G3965" t="s">
        <v>48</v>
      </c>
      <c r="H3965" t="s">
        <v>1803</v>
      </c>
      <c r="I3965" s="2">
        <v>91.2</v>
      </c>
      <c r="J3965" s="3">
        <v>3</v>
      </c>
      <c r="K3965" s="2">
        <v>41.95</v>
      </c>
    </row>
    <row r="3966" spans="1:11" x14ac:dyDescent="0.35">
      <c r="A3966" s="1">
        <v>42898</v>
      </c>
      <c r="B3966" s="3">
        <f t="shared" si="122"/>
        <v>2017</v>
      </c>
      <c r="C3966" s="3">
        <f t="shared" si="123"/>
        <v>6</v>
      </c>
      <c r="D3966" t="s">
        <v>524</v>
      </c>
      <c r="E3966" t="s">
        <v>165</v>
      </c>
      <c r="F3966" t="s">
        <v>18</v>
      </c>
      <c r="G3966" t="s">
        <v>42</v>
      </c>
      <c r="H3966" t="s">
        <v>1076</v>
      </c>
      <c r="I3966" s="2">
        <v>452.94</v>
      </c>
      <c r="J3966" s="3">
        <v>3</v>
      </c>
      <c r="K3966" s="2">
        <v>67.94</v>
      </c>
    </row>
    <row r="3967" spans="1:11" x14ac:dyDescent="0.35">
      <c r="A3967" s="1">
        <v>42898</v>
      </c>
      <c r="B3967" s="3">
        <f t="shared" si="122"/>
        <v>2017</v>
      </c>
      <c r="C3967" s="3">
        <f t="shared" si="123"/>
        <v>6</v>
      </c>
      <c r="D3967" t="s">
        <v>556</v>
      </c>
      <c r="E3967" t="s">
        <v>22</v>
      </c>
      <c r="F3967" t="s">
        <v>28</v>
      </c>
      <c r="G3967" t="s">
        <v>29</v>
      </c>
      <c r="H3967" t="s">
        <v>2404</v>
      </c>
      <c r="I3967" s="2">
        <v>19.04</v>
      </c>
      <c r="J3967" s="3">
        <v>4</v>
      </c>
      <c r="K3967" s="2">
        <v>9.33</v>
      </c>
    </row>
    <row r="3968" spans="1:11" x14ac:dyDescent="0.35">
      <c r="A3968" s="1">
        <v>42898</v>
      </c>
      <c r="B3968" s="3">
        <f t="shared" si="122"/>
        <v>2017</v>
      </c>
      <c r="C3968" s="3">
        <f t="shared" si="123"/>
        <v>6</v>
      </c>
      <c r="D3968" t="s">
        <v>556</v>
      </c>
      <c r="E3968" t="s">
        <v>22</v>
      </c>
      <c r="F3968" t="s">
        <v>28</v>
      </c>
      <c r="G3968" t="s">
        <v>48</v>
      </c>
      <c r="H3968" t="s">
        <v>1383</v>
      </c>
      <c r="I3968" s="2">
        <v>13.13</v>
      </c>
      <c r="J3968" s="3">
        <v>3</v>
      </c>
      <c r="K3968" s="2">
        <v>4.2699999999999996</v>
      </c>
    </row>
    <row r="3969" spans="1:11" x14ac:dyDescent="0.35">
      <c r="A3969" s="1">
        <v>42898</v>
      </c>
      <c r="B3969" s="3">
        <f t="shared" si="122"/>
        <v>2017</v>
      </c>
      <c r="C3969" s="3">
        <f t="shared" si="123"/>
        <v>6</v>
      </c>
      <c r="D3969" t="s">
        <v>556</v>
      </c>
      <c r="E3969" t="s">
        <v>22</v>
      </c>
      <c r="F3969" t="s">
        <v>28</v>
      </c>
      <c r="G3969" t="s">
        <v>64</v>
      </c>
      <c r="H3969" t="s">
        <v>1465</v>
      </c>
      <c r="I3969" s="2">
        <v>64.14</v>
      </c>
      <c r="J3969" s="3">
        <v>3</v>
      </c>
      <c r="K3969" s="2">
        <v>16.68</v>
      </c>
    </row>
    <row r="3970" spans="1:11" x14ac:dyDescent="0.35">
      <c r="A3970" s="1">
        <v>42898</v>
      </c>
      <c r="B3970" s="3">
        <f t="shared" ref="B3970:B4033" si="124">YEAR(A3970)</f>
        <v>2017</v>
      </c>
      <c r="C3970" s="3">
        <f t="shared" ref="C3970:C4033" si="125">MONTH(A3970)</f>
        <v>6</v>
      </c>
      <c r="D3970" t="s">
        <v>556</v>
      </c>
      <c r="E3970" t="s">
        <v>22</v>
      </c>
      <c r="F3970" t="s">
        <v>18</v>
      </c>
      <c r="G3970" t="s">
        <v>19</v>
      </c>
      <c r="H3970" t="s">
        <v>1390</v>
      </c>
      <c r="I3970" s="2">
        <v>858.24</v>
      </c>
      <c r="J3970" s="3">
        <v>4</v>
      </c>
      <c r="K3970" s="2">
        <v>143.04</v>
      </c>
    </row>
    <row r="3971" spans="1:11" x14ac:dyDescent="0.35">
      <c r="A3971" s="1">
        <v>42898</v>
      </c>
      <c r="B3971" s="3">
        <f t="shared" si="124"/>
        <v>2017</v>
      </c>
      <c r="C3971" s="3">
        <f t="shared" si="125"/>
        <v>6</v>
      </c>
      <c r="D3971" t="s">
        <v>1596</v>
      </c>
      <c r="E3971" t="s">
        <v>77</v>
      </c>
      <c r="F3971" t="s">
        <v>18</v>
      </c>
      <c r="G3971" t="s">
        <v>36</v>
      </c>
      <c r="H3971" t="s">
        <v>2405</v>
      </c>
      <c r="I3971" s="2">
        <v>17.09</v>
      </c>
      <c r="J3971" s="3">
        <v>2</v>
      </c>
      <c r="K3971" s="2">
        <v>1.07</v>
      </c>
    </row>
    <row r="3972" spans="1:11" x14ac:dyDescent="0.35">
      <c r="A3972" s="1">
        <v>42898</v>
      </c>
      <c r="B3972" s="3">
        <f t="shared" si="124"/>
        <v>2017</v>
      </c>
      <c r="C3972" s="3">
        <f t="shared" si="125"/>
        <v>6</v>
      </c>
      <c r="D3972" t="s">
        <v>1671</v>
      </c>
      <c r="E3972" t="s">
        <v>131</v>
      </c>
      <c r="F3972" t="s">
        <v>13</v>
      </c>
      <c r="G3972" t="s">
        <v>14</v>
      </c>
      <c r="H3972" t="s">
        <v>1356</v>
      </c>
      <c r="I3972" s="2">
        <v>63.92</v>
      </c>
      <c r="J3972" s="3">
        <v>2</v>
      </c>
      <c r="K3972" s="2">
        <v>19.18</v>
      </c>
    </row>
    <row r="3973" spans="1:11" x14ac:dyDescent="0.35">
      <c r="A3973" s="1">
        <v>42898</v>
      </c>
      <c r="B3973" s="3">
        <f t="shared" si="124"/>
        <v>2017</v>
      </c>
      <c r="C3973" s="3">
        <f t="shared" si="125"/>
        <v>6</v>
      </c>
      <c r="D3973" t="s">
        <v>2406</v>
      </c>
      <c r="E3973" t="s">
        <v>17</v>
      </c>
      <c r="F3973" t="s">
        <v>13</v>
      </c>
      <c r="G3973" t="s">
        <v>23</v>
      </c>
      <c r="H3973" t="s">
        <v>1791</v>
      </c>
      <c r="I3973" s="2">
        <v>71.98</v>
      </c>
      <c r="J3973" s="3">
        <v>3</v>
      </c>
      <c r="K3973" s="2">
        <v>9</v>
      </c>
    </row>
    <row r="3974" spans="1:11" x14ac:dyDescent="0.35">
      <c r="A3974" s="1">
        <v>42898</v>
      </c>
      <c r="B3974" s="3">
        <f t="shared" si="124"/>
        <v>2017</v>
      </c>
      <c r="C3974" s="3">
        <f t="shared" si="125"/>
        <v>6</v>
      </c>
      <c r="D3974" t="s">
        <v>2406</v>
      </c>
      <c r="E3974" t="s">
        <v>17</v>
      </c>
      <c r="F3974" t="s">
        <v>28</v>
      </c>
      <c r="G3974" t="s">
        <v>29</v>
      </c>
      <c r="H3974" t="s">
        <v>2407</v>
      </c>
      <c r="I3974" s="2">
        <v>19.440000000000001</v>
      </c>
      <c r="J3974" s="3">
        <v>3</v>
      </c>
      <c r="K3974" s="2">
        <v>9.33</v>
      </c>
    </row>
    <row r="3975" spans="1:11" x14ac:dyDescent="0.35">
      <c r="A3975" s="1">
        <v>42898</v>
      </c>
      <c r="B3975" s="3">
        <f t="shared" si="124"/>
        <v>2017</v>
      </c>
      <c r="C3975" s="3">
        <f t="shared" si="125"/>
        <v>6</v>
      </c>
      <c r="D3975" t="s">
        <v>1999</v>
      </c>
      <c r="E3975" t="s">
        <v>26</v>
      </c>
      <c r="F3975" t="s">
        <v>18</v>
      </c>
      <c r="G3975" t="s">
        <v>36</v>
      </c>
      <c r="H3975" t="s">
        <v>1282</v>
      </c>
      <c r="I3975" s="2">
        <v>8.86</v>
      </c>
      <c r="J3975" s="3">
        <v>3</v>
      </c>
      <c r="K3975" s="2">
        <v>-6.86</v>
      </c>
    </row>
    <row r="3976" spans="1:11" x14ac:dyDescent="0.35">
      <c r="A3976" s="1">
        <v>42928</v>
      </c>
      <c r="B3976" s="3">
        <f t="shared" si="124"/>
        <v>2017</v>
      </c>
      <c r="C3976" s="3">
        <f t="shared" si="125"/>
        <v>7</v>
      </c>
      <c r="D3976" t="s">
        <v>177</v>
      </c>
      <c r="E3976" t="s">
        <v>131</v>
      </c>
      <c r="F3976" t="s">
        <v>28</v>
      </c>
      <c r="G3976" t="s">
        <v>29</v>
      </c>
      <c r="H3976" t="s">
        <v>1412</v>
      </c>
      <c r="I3976" s="2">
        <v>3.82</v>
      </c>
      <c r="J3976" s="3">
        <v>1</v>
      </c>
      <c r="K3976" s="2">
        <v>1.19</v>
      </c>
    </row>
    <row r="3977" spans="1:11" x14ac:dyDescent="0.35">
      <c r="A3977" s="1">
        <v>42959</v>
      </c>
      <c r="B3977" s="3">
        <f t="shared" si="124"/>
        <v>2017</v>
      </c>
      <c r="C3977" s="3">
        <f t="shared" si="125"/>
        <v>8</v>
      </c>
      <c r="D3977" t="s">
        <v>2408</v>
      </c>
      <c r="E3977" t="s">
        <v>77</v>
      </c>
      <c r="F3977" t="s">
        <v>28</v>
      </c>
      <c r="G3977" t="s">
        <v>29</v>
      </c>
      <c r="H3977" t="s">
        <v>416</v>
      </c>
      <c r="I3977" s="2">
        <v>20.74</v>
      </c>
      <c r="J3977" s="3">
        <v>4</v>
      </c>
      <c r="K3977" s="2">
        <v>7.26</v>
      </c>
    </row>
    <row r="3978" spans="1:11" x14ac:dyDescent="0.35">
      <c r="A3978" s="1">
        <v>42959</v>
      </c>
      <c r="B3978" s="3">
        <f t="shared" si="124"/>
        <v>2017</v>
      </c>
      <c r="C3978" s="3">
        <f t="shared" si="125"/>
        <v>8</v>
      </c>
      <c r="D3978" t="s">
        <v>194</v>
      </c>
      <c r="E3978" t="s">
        <v>45</v>
      </c>
      <c r="F3978" t="s">
        <v>28</v>
      </c>
      <c r="G3978" t="s">
        <v>58</v>
      </c>
      <c r="H3978" t="s">
        <v>1267</v>
      </c>
      <c r="I3978" s="2">
        <v>542.94000000000005</v>
      </c>
      <c r="J3978" s="3">
        <v>3</v>
      </c>
      <c r="K3978" s="2">
        <v>152.02000000000001</v>
      </c>
    </row>
    <row r="3979" spans="1:11" x14ac:dyDescent="0.35">
      <c r="A3979" s="1">
        <v>42959</v>
      </c>
      <c r="B3979" s="3">
        <f t="shared" si="124"/>
        <v>2017</v>
      </c>
      <c r="C3979" s="3">
        <f t="shared" si="125"/>
        <v>8</v>
      </c>
      <c r="D3979" t="s">
        <v>194</v>
      </c>
      <c r="E3979" t="s">
        <v>45</v>
      </c>
      <c r="F3979" t="s">
        <v>18</v>
      </c>
      <c r="G3979" t="s">
        <v>36</v>
      </c>
      <c r="H3979" t="s">
        <v>370</v>
      </c>
      <c r="I3979" s="2">
        <v>54.92</v>
      </c>
      <c r="J3979" s="3">
        <v>4</v>
      </c>
      <c r="K3979" s="2">
        <v>19.77</v>
      </c>
    </row>
    <row r="3980" spans="1:11" x14ac:dyDescent="0.35">
      <c r="A3980" s="1">
        <v>42959</v>
      </c>
      <c r="B3980" s="3">
        <f t="shared" si="124"/>
        <v>2017</v>
      </c>
      <c r="C3980" s="3">
        <f t="shared" si="125"/>
        <v>8</v>
      </c>
      <c r="D3980" t="s">
        <v>1275</v>
      </c>
      <c r="E3980" t="s">
        <v>249</v>
      </c>
      <c r="F3980" t="s">
        <v>28</v>
      </c>
      <c r="G3980" t="s">
        <v>64</v>
      </c>
      <c r="H3980" t="s">
        <v>748</v>
      </c>
      <c r="I3980" s="2">
        <v>17.52</v>
      </c>
      <c r="J3980" s="3">
        <v>3</v>
      </c>
      <c r="K3980" s="2">
        <v>5.26</v>
      </c>
    </row>
    <row r="3981" spans="1:11" x14ac:dyDescent="0.35">
      <c r="A3981" s="1">
        <v>42959</v>
      </c>
      <c r="B3981" s="3">
        <f t="shared" si="124"/>
        <v>2017</v>
      </c>
      <c r="C3981" s="3">
        <f t="shared" si="125"/>
        <v>8</v>
      </c>
      <c r="D3981" t="s">
        <v>1275</v>
      </c>
      <c r="E3981" t="s">
        <v>249</v>
      </c>
      <c r="F3981" t="s">
        <v>18</v>
      </c>
      <c r="G3981" t="s">
        <v>19</v>
      </c>
      <c r="H3981" t="s">
        <v>2409</v>
      </c>
      <c r="I3981" s="2">
        <v>1779.9</v>
      </c>
      <c r="J3981" s="3">
        <v>5</v>
      </c>
      <c r="K3981" s="2">
        <v>373.78</v>
      </c>
    </row>
    <row r="3982" spans="1:11" x14ac:dyDescent="0.35">
      <c r="A3982" s="1">
        <v>42959</v>
      </c>
      <c r="B3982" s="3">
        <f t="shared" si="124"/>
        <v>2017</v>
      </c>
      <c r="C3982" s="3">
        <f t="shared" si="125"/>
        <v>8</v>
      </c>
      <c r="D3982" t="s">
        <v>1275</v>
      </c>
      <c r="E3982" t="s">
        <v>249</v>
      </c>
      <c r="F3982" t="s">
        <v>28</v>
      </c>
      <c r="G3982" t="s">
        <v>64</v>
      </c>
      <c r="H3982" t="s">
        <v>763</v>
      </c>
      <c r="I3982" s="2">
        <v>219.9</v>
      </c>
      <c r="J3982" s="3">
        <v>5</v>
      </c>
      <c r="K3982" s="2">
        <v>59.37</v>
      </c>
    </row>
    <row r="3983" spans="1:11" x14ac:dyDescent="0.35">
      <c r="A3983" s="1">
        <v>42959</v>
      </c>
      <c r="B3983" s="3">
        <f t="shared" si="124"/>
        <v>2017</v>
      </c>
      <c r="C3983" s="3">
        <f t="shared" si="125"/>
        <v>8</v>
      </c>
      <c r="D3983" t="s">
        <v>1415</v>
      </c>
      <c r="E3983" t="s">
        <v>17</v>
      </c>
      <c r="F3983" t="s">
        <v>13</v>
      </c>
      <c r="G3983" t="s">
        <v>143</v>
      </c>
      <c r="H3983" t="s">
        <v>1619</v>
      </c>
      <c r="I3983" s="2">
        <v>299.99</v>
      </c>
      <c r="J3983" s="3">
        <v>1</v>
      </c>
      <c r="K3983" s="2">
        <v>90</v>
      </c>
    </row>
    <row r="3984" spans="1:11" x14ac:dyDescent="0.35">
      <c r="A3984" s="1">
        <v>42959</v>
      </c>
      <c r="B3984" s="3">
        <f t="shared" si="124"/>
        <v>2017</v>
      </c>
      <c r="C3984" s="3">
        <f t="shared" si="125"/>
        <v>8</v>
      </c>
      <c r="D3984" t="s">
        <v>1415</v>
      </c>
      <c r="E3984" t="s">
        <v>17</v>
      </c>
      <c r="F3984" t="s">
        <v>28</v>
      </c>
      <c r="G3984" t="s">
        <v>29</v>
      </c>
      <c r="H3984" t="s">
        <v>2410</v>
      </c>
      <c r="I3984" s="2">
        <v>192.16</v>
      </c>
      <c r="J3984" s="3">
        <v>4</v>
      </c>
      <c r="K3984" s="2">
        <v>92.24</v>
      </c>
    </row>
    <row r="3985" spans="1:11" x14ac:dyDescent="0.35">
      <c r="A3985" s="1">
        <v>42959</v>
      </c>
      <c r="B3985" s="3">
        <f t="shared" si="124"/>
        <v>2017</v>
      </c>
      <c r="C3985" s="3">
        <f t="shared" si="125"/>
        <v>8</v>
      </c>
      <c r="D3985" t="s">
        <v>1415</v>
      </c>
      <c r="E3985" t="s">
        <v>17</v>
      </c>
      <c r="F3985" t="s">
        <v>13</v>
      </c>
      <c r="G3985" t="s">
        <v>23</v>
      </c>
      <c r="H3985" t="s">
        <v>1876</v>
      </c>
      <c r="I3985" s="2">
        <v>242.62</v>
      </c>
      <c r="J3985" s="3">
        <v>8</v>
      </c>
      <c r="K3985" s="2">
        <v>27.3</v>
      </c>
    </row>
    <row r="3986" spans="1:11" x14ac:dyDescent="0.35">
      <c r="A3986" s="1">
        <v>42959</v>
      </c>
      <c r="B3986" s="3">
        <f t="shared" si="124"/>
        <v>2017</v>
      </c>
      <c r="C3986" s="3">
        <f t="shared" si="125"/>
        <v>8</v>
      </c>
      <c r="D3986" t="s">
        <v>1415</v>
      </c>
      <c r="E3986" t="s">
        <v>17</v>
      </c>
      <c r="F3986" t="s">
        <v>28</v>
      </c>
      <c r="G3986" t="s">
        <v>38</v>
      </c>
      <c r="H3986" t="s">
        <v>2126</v>
      </c>
      <c r="I3986" s="2">
        <v>46.74</v>
      </c>
      <c r="J3986" s="3">
        <v>3</v>
      </c>
      <c r="K3986" s="2">
        <v>11.69</v>
      </c>
    </row>
    <row r="3987" spans="1:11" x14ac:dyDescent="0.35">
      <c r="A3987" s="1">
        <v>42959</v>
      </c>
      <c r="B3987" s="3">
        <f t="shared" si="124"/>
        <v>2017</v>
      </c>
      <c r="C3987" s="3">
        <f t="shared" si="125"/>
        <v>8</v>
      </c>
      <c r="D3987" t="s">
        <v>1415</v>
      </c>
      <c r="E3987" t="s">
        <v>17</v>
      </c>
      <c r="F3987" t="s">
        <v>13</v>
      </c>
      <c r="G3987" t="s">
        <v>14</v>
      </c>
      <c r="H3987" t="s">
        <v>2411</v>
      </c>
      <c r="I3987" s="2">
        <v>174.95</v>
      </c>
      <c r="J3987" s="3">
        <v>5</v>
      </c>
      <c r="K3987" s="2">
        <v>12.25</v>
      </c>
    </row>
    <row r="3988" spans="1:11" x14ac:dyDescent="0.35">
      <c r="A3988" s="1">
        <v>42959</v>
      </c>
      <c r="B3988" s="3">
        <f t="shared" si="124"/>
        <v>2017</v>
      </c>
      <c r="C3988" s="3">
        <f t="shared" si="125"/>
        <v>8</v>
      </c>
      <c r="D3988" t="s">
        <v>1415</v>
      </c>
      <c r="E3988" t="s">
        <v>17</v>
      </c>
      <c r="F3988" t="s">
        <v>28</v>
      </c>
      <c r="G3988" t="s">
        <v>48</v>
      </c>
      <c r="H3988" t="s">
        <v>642</v>
      </c>
      <c r="I3988" s="2">
        <v>100.7</v>
      </c>
      <c r="J3988" s="3">
        <v>6</v>
      </c>
      <c r="K3988" s="2">
        <v>37.76</v>
      </c>
    </row>
    <row r="3989" spans="1:11" x14ac:dyDescent="0.35">
      <c r="A3989" s="1">
        <v>42990</v>
      </c>
      <c r="B3989" s="3">
        <f t="shared" si="124"/>
        <v>2017</v>
      </c>
      <c r="C3989" s="3">
        <f t="shared" si="125"/>
        <v>9</v>
      </c>
      <c r="D3989" t="s">
        <v>2412</v>
      </c>
      <c r="E3989" t="s">
        <v>45</v>
      </c>
      <c r="F3989" t="s">
        <v>18</v>
      </c>
      <c r="G3989" t="s">
        <v>36</v>
      </c>
      <c r="H3989" t="s">
        <v>1034</v>
      </c>
      <c r="I3989" s="2">
        <v>8.36</v>
      </c>
      <c r="J3989" s="3">
        <v>2</v>
      </c>
      <c r="K3989" s="2">
        <v>3.01</v>
      </c>
    </row>
    <row r="3990" spans="1:11" x14ac:dyDescent="0.35">
      <c r="A3990" s="1">
        <v>42990</v>
      </c>
      <c r="B3990" s="3">
        <f t="shared" si="124"/>
        <v>2017</v>
      </c>
      <c r="C3990" s="3">
        <f t="shared" si="125"/>
        <v>9</v>
      </c>
      <c r="D3990" t="s">
        <v>2265</v>
      </c>
      <c r="E3990" t="s">
        <v>249</v>
      </c>
      <c r="F3990" t="s">
        <v>28</v>
      </c>
      <c r="G3990" t="s">
        <v>29</v>
      </c>
      <c r="H3990" t="s">
        <v>57</v>
      </c>
      <c r="I3990" s="2">
        <v>39.9</v>
      </c>
      <c r="J3990" s="3">
        <v>5</v>
      </c>
      <c r="K3990" s="2">
        <v>19.95</v>
      </c>
    </row>
    <row r="3991" spans="1:11" x14ac:dyDescent="0.35">
      <c r="A3991" s="1">
        <v>42990</v>
      </c>
      <c r="B3991" s="3">
        <f t="shared" si="124"/>
        <v>2017</v>
      </c>
      <c r="C3991" s="3">
        <f t="shared" si="125"/>
        <v>9</v>
      </c>
      <c r="D3991" t="s">
        <v>2265</v>
      </c>
      <c r="E3991" t="s">
        <v>249</v>
      </c>
      <c r="F3991" t="s">
        <v>28</v>
      </c>
      <c r="G3991" t="s">
        <v>58</v>
      </c>
      <c r="H3991" t="s">
        <v>1892</v>
      </c>
      <c r="I3991" s="2">
        <v>90.86</v>
      </c>
      <c r="J3991" s="3">
        <v>7</v>
      </c>
      <c r="K3991" s="2">
        <v>26.35</v>
      </c>
    </row>
    <row r="3992" spans="1:11" x14ac:dyDescent="0.35">
      <c r="A3992" s="1">
        <v>42990</v>
      </c>
      <c r="B3992" s="3">
        <f t="shared" si="124"/>
        <v>2017</v>
      </c>
      <c r="C3992" s="3">
        <f t="shared" si="125"/>
        <v>9</v>
      </c>
      <c r="D3992" t="s">
        <v>2265</v>
      </c>
      <c r="E3992" t="s">
        <v>249</v>
      </c>
      <c r="F3992" t="s">
        <v>28</v>
      </c>
      <c r="G3992" t="s">
        <v>29</v>
      </c>
      <c r="H3992" t="s">
        <v>1913</v>
      </c>
      <c r="I3992" s="2">
        <v>94.85</v>
      </c>
      <c r="J3992" s="3">
        <v>5</v>
      </c>
      <c r="K3992" s="2">
        <v>45.53</v>
      </c>
    </row>
    <row r="3993" spans="1:11" x14ac:dyDescent="0.35">
      <c r="A3993" s="1">
        <v>42990</v>
      </c>
      <c r="B3993" s="3">
        <f t="shared" si="124"/>
        <v>2017</v>
      </c>
      <c r="C3993" s="3">
        <f t="shared" si="125"/>
        <v>9</v>
      </c>
      <c r="D3993" t="s">
        <v>2210</v>
      </c>
      <c r="E3993" t="s">
        <v>1125</v>
      </c>
      <c r="F3993" t="s">
        <v>28</v>
      </c>
      <c r="G3993" t="s">
        <v>29</v>
      </c>
      <c r="H3993" t="s">
        <v>365</v>
      </c>
      <c r="I3993" s="2">
        <v>45.36</v>
      </c>
      <c r="J3993" s="3">
        <v>7</v>
      </c>
      <c r="K3993" s="2">
        <v>21.77</v>
      </c>
    </row>
    <row r="3994" spans="1:11" x14ac:dyDescent="0.35">
      <c r="A3994" s="1">
        <v>42990</v>
      </c>
      <c r="B3994" s="3">
        <f t="shared" si="124"/>
        <v>2017</v>
      </c>
      <c r="C3994" s="3">
        <f t="shared" si="125"/>
        <v>9</v>
      </c>
      <c r="D3994" t="s">
        <v>2210</v>
      </c>
      <c r="E3994" t="s">
        <v>1125</v>
      </c>
      <c r="F3994" t="s">
        <v>28</v>
      </c>
      <c r="G3994" t="s">
        <v>48</v>
      </c>
      <c r="H3994" t="s">
        <v>1108</v>
      </c>
      <c r="I3994" s="2">
        <v>45.78</v>
      </c>
      <c r="J3994" s="3">
        <v>3</v>
      </c>
      <c r="K3994" s="2">
        <v>22.89</v>
      </c>
    </row>
    <row r="3995" spans="1:11" x14ac:dyDescent="0.35">
      <c r="A3995" s="1">
        <v>42990</v>
      </c>
      <c r="B3995" s="3">
        <f t="shared" si="124"/>
        <v>2017</v>
      </c>
      <c r="C3995" s="3">
        <f t="shared" si="125"/>
        <v>9</v>
      </c>
      <c r="D3995" t="s">
        <v>1676</v>
      </c>
      <c r="E3995" t="s">
        <v>45</v>
      </c>
      <c r="F3995" t="s">
        <v>28</v>
      </c>
      <c r="G3995" t="s">
        <v>29</v>
      </c>
      <c r="H3995" t="s">
        <v>431</v>
      </c>
      <c r="I3995" s="2">
        <v>166.44</v>
      </c>
      <c r="J3995" s="3">
        <v>3</v>
      </c>
      <c r="K3995" s="2">
        <v>79.89</v>
      </c>
    </row>
    <row r="3996" spans="1:11" x14ac:dyDescent="0.35">
      <c r="A3996" s="1">
        <v>43020</v>
      </c>
      <c r="B3996" s="3">
        <f t="shared" si="124"/>
        <v>2017</v>
      </c>
      <c r="C3996" s="3">
        <f t="shared" si="125"/>
        <v>10</v>
      </c>
      <c r="D3996" t="s">
        <v>549</v>
      </c>
      <c r="E3996" t="s">
        <v>26</v>
      </c>
      <c r="F3996" t="s">
        <v>18</v>
      </c>
      <c r="G3996" t="s">
        <v>19</v>
      </c>
      <c r="H3996" t="s">
        <v>1691</v>
      </c>
      <c r="I3996" s="2">
        <v>254.6</v>
      </c>
      <c r="J3996" s="3">
        <v>14</v>
      </c>
      <c r="K3996" s="2">
        <v>-18.190000000000001</v>
      </c>
    </row>
    <row r="3997" spans="1:11" x14ac:dyDescent="0.35">
      <c r="A3997" s="1">
        <v>43020</v>
      </c>
      <c r="B3997" s="3">
        <f t="shared" si="124"/>
        <v>2017</v>
      </c>
      <c r="C3997" s="3">
        <f t="shared" si="125"/>
        <v>10</v>
      </c>
      <c r="D3997" t="s">
        <v>2346</v>
      </c>
      <c r="E3997" t="s">
        <v>81</v>
      </c>
      <c r="F3997" t="s">
        <v>28</v>
      </c>
      <c r="G3997" t="s">
        <v>29</v>
      </c>
      <c r="H3997" t="s">
        <v>2413</v>
      </c>
      <c r="I3997" s="2">
        <v>7.97</v>
      </c>
      <c r="J3997" s="3">
        <v>2</v>
      </c>
      <c r="K3997" s="2">
        <v>2.69</v>
      </c>
    </row>
    <row r="3998" spans="1:11" x14ac:dyDescent="0.35">
      <c r="A3998" s="1">
        <v>43020</v>
      </c>
      <c r="B3998" s="3">
        <f t="shared" si="124"/>
        <v>2017</v>
      </c>
      <c r="C3998" s="3">
        <f t="shared" si="125"/>
        <v>10</v>
      </c>
      <c r="D3998" t="s">
        <v>2232</v>
      </c>
      <c r="E3998" t="s">
        <v>857</v>
      </c>
      <c r="F3998" t="s">
        <v>13</v>
      </c>
      <c r="G3998" t="s">
        <v>14</v>
      </c>
      <c r="H3998" t="s">
        <v>98</v>
      </c>
      <c r="I3998" s="2">
        <v>595</v>
      </c>
      <c r="J3998" s="3">
        <v>5</v>
      </c>
      <c r="K3998" s="2">
        <v>95.2</v>
      </c>
    </row>
    <row r="3999" spans="1:11" x14ac:dyDescent="0.35">
      <c r="A3999" s="1">
        <v>43020</v>
      </c>
      <c r="B3999" s="3">
        <f t="shared" si="124"/>
        <v>2017</v>
      </c>
      <c r="C3999" s="3">
        <f t="shared" si="125"/>
        <v>10</v>
      </c>
      <c r="D3999" t="s">
        <v>2232</v>
      </c>
      <c r="E3999" t="s">
        <v>857</v>
      </c>
      <c r="F3999" t="s">
        <v>28</v>
      </c>
      <c r="G3999" t="s">
        <v>48</v>
      </c>
      <c r="H3999" t="s">
        <v>1863</v>
      </c>
      <c r="I3999" s="2">
        <v>79.87</v>
      </c>
      <c r="J3999" s="3">
        <v>3</v>
      </c>
      <c r="K3999" s="2">
        <v>29.95</v>
      </c>
    </row>
    <row r="4000" spans="1:11" x14ac:dyDescent="0.35">
      <c r="A4000" s="1">
        <v>43020</v>
      </c>
      <c r="B4000" s="3">
        <f t="shared" si="124"/>
        <v>2017</v>
      </c>
      <c r="C4000" s="3">
        <f t="shared" si="125"/>
        <v>10</v>
      </c>
      <c r="D4000" t="s">
        <v>2414</v>
      </c>
      <c r="E4000" t="s">
        <v>45</v>
      </c>
      <c r="F4000" t="s">
        <v>13</v>
      </c>
      <c r="G4000" t="s">
        <v>14</v>
      </c>
      <c r="H4000" t="s">
        <v>2415</v>
      </c>
      <c r="I4000" s="2">
        <v>0.99</v>
      </c>
      <c r="J4000" s="3">
        <v>1</v>
      </c>
      <c r="K4000" s="2">
        <v>0.44</v>
      </c>
    </row>
    <row r="4001" spans="1:11" x14ac:dyDescent="0.35">
      <c r="A4001" s="1">
        <v>43020</v>
      </c>
      <c r="B4001" s="3">
        <f t="shared" si="124"/>
        <v>2017</v>
      </c>
      <c r="C4001" s="3">
        <f t="shared" si="125"/>
        <v>10</v>
      </c>
      <c r="D4001" t="s">
        <v>2414</v>
      </c>
      <c r="E4001" t="s">
        <v>45</v>
      </c>
      <c r="F4001" t="s">
        <v>28</v>
      </c>
      <c r="G4001" t="s">
        <v>48</v>
      </c>
      <c r="H4001" t="s">
        <v>2033</v>
      </c>
      <c r="I4001" s="2">
        <v>101.84</v>
      </c>
      <c r="J4001" s="3">
        <v>5</v>
      </c>
      <c r="K4001" s="2">
        <v>36.92</v>
      </c>
    </row>
    <row r="4002" spans="1:11" x14ac:dyDescent="0.35">
      <c r="A4002" s="1">
        <v>43020</v>
      </c>
      <c r="B4002" s="3">
        <f t="shared" si="124"/>
        <v>2017</v>
      </c>
      <c r="C4002" s="3">
        <f t="shared" si="125"/>
        <v>10</v>
      </c>
      <c r="D4002" t="s">
        <v>2372</v>
      </c>
      <c r="E4002" t="s">
        <v>45</v>
      </c>
      <c r="F4002" t="s">
        <v>13</v>
      </c>
      <c r="G4002" t="s">
        <v>14</v>
      </c>
      <c r="H4002" t="s">
        <v>906</v>
      </c>
      <c r="I4002" s="2">
        <v>435.84</v>
      </c>
      <c r="J4002" s="3">
        <v>12</v>
      </c>
      <c r="K4002" s="2">
        <v>130.75</v>
      </c>
    </row>
    <row r="4003" spans="1:11" x14ac:dyDescent="0.35">
      <c r="A4003" s="1">
        <v>43020</v>
      </c>
      <c r="B4003" s="3">
        <f t="shared" si="124"/>
        <v>2017</v>
      </c>
      <c r="C4003" s="3">
        <f t="shared" si="125"/>
        <v>10</v>
      </c>
      <c r="D4003" t="s">
        <v>2372</v>
      </c>
      <c r="E4003" t="s">
        <v>45</v>
      </c>
      <c r="F4003" t="s">
        <v>28</v>
      </c>
      <c r="G4003" t="s">
        <v>64</v>
      </c>
      <c r="H4003" t="s">
        <v>242</v>
      </c>
      <c r="I4003" s="2">
        <v>5.88</v>
      </c>
      <c r="J4003" s="3">
        <v>2</v>
      </c>
      <c r="K4003" s="2">
        <v>1.59</v>
      </c>
    </row>
    <row r="4004" spans="1:11" x14ac:dyDescent="0.35">
      <c r="A4004" s="1">
        <v>43020</v>
      </c>
      <c r="B4004" s="3">
        <f t="shared" si="124"/>
        <v>2017</v>
      </c>
      <c r="C4004" s="3">
        <f t="shared" si="125"/>
        <v>10</v>
      </c>
      <c r="D4004" t="s">
        <v>1288</v>
      </c>
      <c r="E4004" t="s">
        <v>32</v>
      </c>
      <c r="F4004" t="s">
        <v>13</v>
      </c>
      <c r="G4004" t="s">
        <v>14</v>
      </c>
      <c r="H4004" t="s">
        <v>705</v>
      </c>
      <c r="I4004" s="2">
        <v>39.979999999999997</v>
      </c>
      <c r="J4004" s="3">
        <v>2</v>
      </c>
      <c r="K4004" s="2">
        <v>-1.5</v>
      </c>
    </row>
    <row r="4005" spans="1:11" x14ac:dyDescent="0.35">
      <c r="A4005" s="1">
        <v>43020</v>
      </c>
      <c r="B4005" s="3">
        <f t="shared" si="124"/>
        <v>2017</v>
      </c>
      <c r="C4005" s="3">
        <f t="shared" si="125"/>
        <v>10</v>
      </c>
      <c r="D4005" t="s">
        <v>2171</v>
      </c>
      <c r="E4005" t="s">
        <v>62</v>
      </c>
      <c r="F4005" t="s">
        <v>13</v>
      </c>
      <c r="G4005" t="s">
        <v>14</v>
      </c>
      <c r="H4005" t="s">
        <v>1193</v>
      </c>
      <c r="I4005" s="2">
        <v>45</v>
      </c>
      <c r="J4005" s="3">
        <v>3</v>
      </c>
      <c r="K4005" s="2">
        <v>4.95</v>
      </c>
    </row>
    <row r="4006" spans="1:11" x14ac:dyDescent="0.35">
      <c r="A4006" s="1">
        <v>43020</v>
      </c>
      <c r="B4006" s="3">
        <f t="shared" si="124"/>
        <v>2017</v>
      </c>
      <c r="C4006" s="3">
        <f t="shared" si="125"/>
        <v>10</v>
      </c>
      <c r="D4006" t="s">
        <v>2171</v>
      </c>
      <c r="E4006" t="s">
        <v>62</v>
      </c>
      <c r="F4006" t="s">
        <v>28</v>
      </c>
      <c r="G4006" t="s">
        <v>33</v>
      </c>
      <c r="H4006" t="s">
        <v>1806</v>
      </c>
      <c r="I4006" s="2">
        <v>17.899999999999999</v>
      </c>
      <c r="J4006" s="3">
        <v>5</v>
      </c>
      <c r="K4006" s="2">
        <v>8.77</v>
      </c>
    </row>
    <row r="4007" spans="1:11" x14ac:dyDescent="0.35">
      <c r="A4007" s="1">
        <v>43020</v>
      </c>
      <c r="B4007" s="3">
        <f t="shared" si="124"/>
        <v>2017</v>
      </c>
      <c r="C4007" s="3">
        <f t="shared" si="125"/>
        <v>10</v>
      </c>
      <c r="D4007" t="s">
        <v>2171</v>
      </c>
      <c r="E4007" t="s">
        <v>62</v>
      </c>
      <c r="F4007" t="s">
        <v>18</v>
      </c>
      <c r="G4007" t="s">
        <v>36</v>
      </c>
      <c r="H4007" t="s">
        <v>2223</v>
      </c>
      <c r="I4007" s="2">
        <v>40.479999999999997</v>
      </c>
      <c r="J4007" s="3">
        <v>2</v>
      </c>
      <c r="K4007" s="2">
        <v>17.41</v>
      </c>
    </row>
    <row r="4008" spans="1:11" x14ac:dyDescent="0.35">
      <c r="A4008" s="1">
        <v>43020</v>
      </c>
      <c r="B4008" s="3">
        <f t="shared" si="124"/>
        <v>2017</v>
      </c>
      <c r="C4008" s="3">
        <f t="shared" si="125"/>
        <v>10</v>
      </c>
      <c r="D4008" t="s">
        <v>2171</v>
      </c>
      <c r="E4008" t="s">
        <v>62</v>
      </c>
      <c r="F4008" t="s">
        <v>18</v>
      </c>
      <c r="G4008" t="s">
        <v>237</v>
      </c>
      <c r="H4008" t="s">
        <v>2416</v>
      </c>
      <c r="I4008" s="2">
        <v>2154.9</v>
      </c>
      <c r="J4008" s="3">
        <v>5</v>
      </c>
      <c r="K4008" s="2">
        <v>129.29</v>
      </c>
    </row>
    <row r="4009" spans="1:11" x14ac:dyDescent="0.35">
      <c r="A4009" s="1">
        <v>43020</v>
      </c>
      <c r="B4009" s="3">
        <f t="shared" si="124"/>
        <v>2017</v>
      </c>
      <c r="C4009" s="3">
        <f t="shared" si="125"/>
        <v>10</v>
      </c>
      <c r="D4009" t="s">
        <v>784</v>
      </c>
      <c r="E4009" t="s">
        <v>32</v>
      </c>
      <c r="F4009" t="s">
        <v>13</v>
      </c>
      <c r="G4009" t="s">
        <v>23</v>
      </c>
      <c r="H4009" t="s">
        <v>2417</v>
      </c>
      <c r="I4009" s="2">
        <v>369.54</v>
      </c>
      <c r="J4009" s="3">
        <v>7</v>
      </c>
      <c r="K4009" s="2">
        <v>27.72</v>
      </c>
    </row>
    <row r="4010" spans="1:11" x14ac:dyDescent="0.35">
      <c r="A4010" s="1">
        <v>43020</v>
      </c>
      <c r="B4010" s="3">
        <f t="shared" si="124"/>
        <v>2017</v>
      </c>
      <c r="C4010" s="3">
        <f t="shared" si="125"/>
        <v>10</v>
      </c>
      <c r="D4010" t="s">
        <v>784</v>
      </c>
      <c r="E4010" t="s">
        <v>32</v>
      </c>
      <c r="F4010" t="s">
        <v>28</v>
      </c>
      <c r="G4010" t="s">
        <v>29</v>
      </c>
      <c r="H4010" t="s">
        <v>1939</v>
      </c>
      <c r="I4010" s="2">
        <v>10.37</v>
      </c>
      <c r="J4010" s="3">
        <v>2</v>
      </c>
      <c r="K4010" s="2">
        <v>3.76</v>
      </c>
    </row>
    <row r="4011" spans="1:11" x14ac:dyDescent="0.35">
      <c r="A4011" s="1">
        <v>43020</v>
      </c>
      <c r="B4011" s="3">
        <f t="shared" si="124"/>
        <v>2017</v>
      </c>
      <c r="C4011" s="3">
        <f t="shared" si="125"/>
        <v>10</v>
      </c>
      <c r="D4011" t="s">
        <v>784</v>
      </c>
      <c r="E4011" t="s">
        <v>32</v>
      </c>
      <c r="F4011" t="s">
        <v>13</v>
      </c>
      <c r="G4011" t="s">
        <v>14</v>
      </c>
      <c r="H4011" t="s">
        <v>2298</v>
      </c>
      <c r="I4011" s="2">
        <v>791.88</v>
      </c>
      <c r="J4011" s="3">
        <v>3</v>
      </c>
      <c r="K4011" s="2">
        <v>128.68</v>
      </c>
    </row>
    <row r="4012" spans="1:11" x14ac:dyDescent="0.35">
      <c r="A4012" s="1">
        <v>43020</v>
      </c>
      <c r="B4012" s="3">
        <f t="shared" si="124"/>
        <v>2017</v>
      </c>
      <c r="C4012" s="3">
        <f t="shared" si="125"/>
        <v>10</v>
      </c>
      <c r="D4012" t="s">
        <v>878</v>
      </c>
      <c r="E4012" t="s">
        <v>2418</v>
      </c>
      <c r="F4012" t="s">
        <v>18</v>
      </c>
      <c r="G4012" t="s">
        <v>42</v>
      </c>
      <c r="H4012" t="s">
        <v>1959</v>
      </c>
      <c r="I4012" s="2">
        <v>673.34</v>
      </c>
      <c r="J4012" s="3">
        <v>3</v>
      </c>
      <c r="K4012" s="2">
        <v>-76.95</v>
      </c>
    </row>
    <row r="4013" spans="1:11" x14ac:dyDescent="0.35">
      <c r="A4013" s="1">
        <v>43020</v>
      </c>
      <c r="B4013" s="3">
        <f t="shared" si="124"/>
        <v>2017</v>
      </c>
      <c r="C4013" s="3">
        <f t="shared" si="125"/>
        <v>10</v>
      </c>
      <c r="D4013" t="s">
        <v>1909</v>
      </c>
      <c r="E4013" t="s">
        <v>22</v>
      </c>
      <c r="F4013" t="s">
        <v>28</v>
      </c>
      <c r="G4013" t="s">
        <v>29</v>
      </c>
      <c r="H4013" t="s">
        <v>1527</v>
      </c>
      <c r="I4013" s="2">
        <v>9.9600000000000009</v>
      </c>
      <c r="J4013" s="3">
        <v>2</v>
      </c>
      <c r="K4013" s="2">
        <v>4.68</v>
      </c>
    </row>
    <row r="4014" spans="1:11" x14ac:dyDescent="0.35">
      <c r="A4014" s="1">
        <v>43051</v>
      </c>
      <c r="B4014" s="3">
        <f t="shared" si="124"/>
        <v>2017</v>
      </c>
      <c r="C4014" s="3">
        <f t="shared" si="125"/>
        <v>11</v>
      </c>
      <c r="D4014" t="s">
        <v>1049</v>
      </c>
      <c r="E4014" t="s">
        <v>45</v>
      </c>
      <c r="F4014" t="s">
        <v>28</v>
      </c>
      <c r="G4014" t="s">
        <v>29</v>
      </c>
      <c r="H4014" t="s">
        <v>865</v>
      </c>
      <c r="I4014" s="2">
        <v>10.56</v>
      </c>
      <c r="J4014" s="3">
        <v>2</v>
      </c>
      <c r="K4014" s="2">
        <v>4.75</v>
      </c>
    </row>
    <row r="4015" spans="1:11" x14ac:dyDescent="0.35">
      <c r="A4015" s="1">
        <v>43051</v>
      </c>
      <c r="B4015" s="3">
        <f t="shared" si="124"/>
        <v>2017</v>
      </c>
      <c r="C4015" s="3">
        <f t="shared" si="125"/>
        <v>11</v>
      </c>
      <c r="D4015" t="s">
        <v>684</v>
      </c>
      <c r="E4015" t="s">
        <v>22</v>
      </c>
      <c r="F4015" t="s">
        <v>28</v>
      </c>
      <c r="G4015" t="s">
        <v>48</v>
      </c>
      <c r="H4015" t="s">
        <v>1189</v>
      </c>
      <c r="I4015" s="2">
        <v>15.92</v>
      </c>
      <c r="J4015" s="3">
        <v>5</v>
      </c>
      <c r="K4015" s="2">
        <v>5.37</v>
      </c>
    </row>
    <row r="4016" spans="1:11" x14ac:dyDescent="0.35">
      <c r="A4016" s="1">
        <v>43051</v>
      </c>
      <c r="B4016" s="3">
        <f t="shared" si="124"/>
        <v>2017</v>
      </c>
      <c r="C4016" s="3">
        <f t="shared" si="125"/>
        <v>11</v>
      </c>
      <c r="D4016" t="s">
        <v>338</v>
      </c>
      <c r="E4016" t="s">
        <v>32</v>
      </c>
      <c r="F4016" t="s">
        <v>28</v>
      </c>
      <c r="G4016" t="s">
        <v>29</v>
      </c>
      <c r="H4016" t="s">
        <v>2272</v>
      </c>
      <c r="I4016" s="2">
        <v>16.059999999999999</v>
      </c>
      <c r="J4016" s="3">
        <v>3</v>
      </c>
      <c r="K4016" s="2">
        <v>5.82</v>
      </c>
    </row>
    <row r="4017" spans="1:11" x14ac:dyDescent="0.35">
      <c r="A4017" s="1">
        <v>43051</v>
      </c>
      <c r="B4017" s="3">
        <f t="shared" si="124"/>
        <v>2017</v>
      </c>
      <c r="C4017" s="3">
        <f t="shared" si="125"/>
        <v>11</v>
      </c>
      <c r="D4017" t="s">
        <v>338</v>
      </c>
      <c r="E4017" t="s">
        <v>32</v>
      </c>
      <c r="F4017" t="s">
        <v>28</v>
      </c>
      <c r="G4017" t="s">
        <v>29</v>
      </c>
      <c r="H4017" t="s">
        <v>732</v>
      </c>
      <c r="I4017" s="2">
        <v>223.06</v>
      </c>
      <c r="J4017" s="3">
        <v>9</v>
      </c>
      <c r="K4017" s="2">
        <v>69.709999999999994</v>
      </c>
    </row>
    <row r="4018" spans="1:11" x14ac:dyDescent="0.35">
      <c r="A4018" s="1">
        <v>43051</v>
      </c>
      <c r="B4018" s="3">
        <f t="shared" si="124"/>
        <v>2017</v>
      </c>
      <c r="C4018" s="3">
        <f t="shared" si="125"/>
        <v>11</v>
      </c>
      <c r="D4018" t="s">
        <v>338</v>
      </c>
      <c r="E4018" t="s">
        <v>32</v>
      </c>
      <c r="F4018" t="s">
        <v>28</v>
      </c>
      <c r="G4018" t="s">
        <v>38</v>
      </c>
      <c r="H4018" t="s">
        <v>499</v>
      </c>
      <c r="I4018" s="2">
        <v>540.04999999999995</v>
      </c>
      <c r="J4018" s="3">
        <v>3</v>
      </c>
      <c r="K4018" s="2">
        <v>-47.25</v>
      </c>
    </row>
    <row r="4019" spans="1:11" x14ac:dyDescent="0.35">
      <c r="A4019" s="1">
        <v>43051</v>
      </c>
      <c r="B4019" s="3">
        <f t="shared" si="124"/>
        <v>2017</v>
      </c>
      <c r="C4019" s="3">
        <f t="shared" si="125"/>
        <v>11</v>
      </c>
      <c r="D4019" t="s">
        <v>2419</v>
      </c>
      <c r="E4019" t="s">
        <v>131</v>
      </c>
      <c r="F4019" t="s">
        <v>13</v>
      </c>
      <c r="G4019" t="s">
        <v>23</v>
      </c>
      <c r="H4019" t="s">
        <v>1955</v>
      </c>
      <c r="I4019" s="2">
        <v>370.78</v>
      </c>
      <c r="J4019" s="3">
        <v>3</v>
      </c>
      <c r="K4019" s="2">
        <v>-92.7</v>
      </c>
    </row>
    <row r="4020" spans="1:11" x14ac:dyDescent="0.35">
      <c r="A4020" s="1">
        <v>43051</v>
      </c>
      <c r="B4020" s="3">
        <f t="shared" si="124"/>
        <v>2017</v>
      </c>
      <c r="C4020" s="3">
        <f t="shared" si="125"/>
        <v>11</v>
      </c>
      <c r="D4020" t="s">
        <v>1355</v>
      </c>
      <c r="E4020" t="s">
        <v>211</v>
      </c>
      <c r="F4020" t="s">
        <v>13</v>
      </c>
      <c r="G4020" t="s">
        <v>14</v>
      </c>
      <c r="H4020" t="s">
        <v>749</v>
      </c>
      <c r="I4020" s="2">
        <v>41.6</v>
      </c>
      <c r="J4020" s="3">
        <v>4</v>
      </c>
      <c r="K4020" s="2">
        <v>13</v>
      </c>
    </row>
    <row r="4021" spans="1:11" x14ac:dyDescent="0.35">
      <c r="A4021" s="1">
        <v>43051</v>
      </c>
      <c r="B4021" s="3">
        <f t="shared" si="124"/>
        <v>2017</v>
      </c>
      <c r="C4021" s="3">
        <f t="shared" si="125"/>
        <v>11</v>
      </c>
      <c r="D4021" t="s">
        <v>1355</v>
      </c>
      <c r="E4021" t="s">
        <v>211</v>
      </c>
      <c r="F4021" t="s">
        <v>28</v>
      </c>
      <c r="G4021" t="s">
        <v>29</v>
      </c>
      <c r="H4021" t="s">
        <v>1508</v>
      </c>
      <c r="I4021" s="2">
        <v>23.12</v>
      </c>
      <c r="J4021" s="3">
        <v>5</v>
      </c>
      <c r="K4021" s="2">
        <v>8.3800000000000008</v>
      </c>
    </row>
    <row r="4022" spans="1:11" x14ac:dyDescent="0.35">
      <c r="A4022" s="1">
        <v>43051</v>
      </c>
      <c r="B4022" s="3">
        <f t="shared" si="124"/>
        <v>2017</v>
      </c>
      <c r="C4022" s="3">
        <f t="shared" si="125"/>
        <v>11</v>
      </c>
      <c r="D4022" t="s">
        <v>1355</v>
      </c>
      <c r="E4022" t="s">
        <v>211</v>
      </c>
      <c r="F4022" t="s">
        <v>18</v>
      </c>
      <c r="G4022" t="s">
        <v>19</v>
      </c>
      <c r="H4022" t="s">
        <v>1865</v>
      </c>
      <c r="I4022" s="2">
        <v>113.89</v>
      </c>
      <c r="J4022" s="3">
        <v>2</v>
      </c>
      <c r="K4022" s="2">
        <v>9.9700000000000006</v>
      </c>
    </row>
    <row r="4023" spans="1:11" x14ac:dyDescent="0.35">
      <c r="A4023" s="1">
        <v>43051</v>
      </c>
      <c r="B4023" s="3">
        <f t="shared" si="124"/>
        <v>2017</v>
      </c>
      <c r="C4023" s="3">
        <f t="shared" si="125"/>
        <v>11</v>
      </c>
      <c r="D4023" t="s">
        <v>1355</v>
      </c>
      <c r="E4023" t="s">
        <v>211</v>
      </c>
      <c r="F4023" t="s">
        <v>18</v>
      </c>
      <c r="G4023" t="s">
        <v>36</v>
      </c>
      <c r="H4023" t="s">
        <v>1373</v>
      </c>
      <c r="I4023" s="2">
        <v>113.57</v>
      </c>
      <c r="J4023" s="3">
        <v>2</v>
      </c>
      <c r="K4023" s="2">
        <v>-5.68</v>
      </c>
    </row>
    <row r="4024" spans="1:11" x14ac:dyDescent="0.35">
      <c r="A4024" s="1">
        <v>43051</v>
      </c>
      <c r="B4024" s="3">
        <f t="shared" si="124"/>
        <v>2017</v>
      </c>
      <c r="C4024" s="3">
        <f t="shared" si="125"/>
        <v>11</v>
      </c>
      <c r="D4024" t="s">
        <v>1355</v>
      </c>
      <c r="E4024" t="s">
        <v>211</v>
      </c>
      <c r="F4024" t="s">
        <v>13</v>
      </c>
      <c r="G4024" t="s">
        <v>23</v>
      </c>
      <c r="H4024" t="s">
        <v>1071</v>
      </c>
      <c r="I4024" s="2">
        <v>7.92</v>
      </c>
      <c r="J4024" s="3">
        <v>2</v>
      </c>
      <c r="K4024" s="2">
        <v>0.69</v>
      </c>
    </row>
    <row r="4025" spans="1:11" x14ac:dyDescent="0.35">
      <c r="A4025" s="1">
        <v>43051</v>
      </c>
      <c r="B4025" s="3">
        <f t="shared" si="124"/>
        <v>2017</v>
      </c>
      <c r="C4025" s="3">
        <f t="shared" si="125"/>
        <v>11</v>
      </c>
      <c r="D4025" t="s">
        <v>1355</v>
      </c>
      <c r="E4025" t="s">
        <v>211</v>
      </c>
      <c r="F4025" t="s">
        <v>13</v>
      </c>
      <c r="G4025" t="s">
        <v>23</v>
      </c>
      <c r="H4025" t="s">
        <v>1889</v>
      </c>
      <c r="I4025" s="2">
        <v>671.98</v>
      </c>
      <c r="J4025" s="3">
        <v>2</v>
      </c>
      <c r="K4025" s="2">
        <v>50.4</v>
      </c>
    </row>
    <row r="4026" spans="1:11" x14ac:dyDescent="0.35">
      <c r="A4026" s="1">
        <v>43051</v>
      </c>
      <c r="B4026" s="3">
        <f t="shared" si="124"/>
        <v>2017</v>
      </c>
      <c r="C4026" s="3">
        <f t="shared" si="125"/>
        <v>11</v>
      </c>
      <c r="D4026" t="s">
        <v>1897</v>
      </c>
      <c r="E4026" t="s">
        <v>32</v>
      </c>
      <c r="F4026" t="s">
        <v>28</v>
      </c>
      <c r="G4026" t="s">
        <v>48</v>
      </c>
      <c r="H4026" t="s">
        <v>155</v>
      </c>
      <c r="I4026" s="2">
        <v>30.56</v>
      </c>
      <c r="J4026" s="3">
        <v>5</v>
      </c>
      <c r="K4026" s="2">
        <v>-45.84</v>
      </c>
    </row>
    <row r="4027" spans="1:11" x14ac:dyDescent="0.35">
      <c r="A4027" s="1">
        <v>43051</v>
      </c>
      <c r="B4027" s="3">
        <f t="shared" si="124"/>
        <v>2017</v>
      </c>
      <c r="C4027" s="3">
        <f t="shared" si="125"/>
        <v>11</v>
      </c>
      <c r="D4027" t="s">
        <v>1897</v>
      </c>
      <c r="E4027" t="s">
        <v>32</v>
      </c>
      <c r="F4027" t="s">
        <v>28</v>
      </c>
      <c r="G4027" t="s">
        <v>38</v>
      </c>
      <c r="H4027" t="s">
        <v>884</v>
      </c>
      <c r="I4027" s="2">
        <v>77.95</v>
      </c>
      <c r="J4027" s="3">
        <v>3</v>
      </c>
      <c r="K4027" s="2">
        <v>-15.59</v>
      </c>
    </row>
    <row r="4028" spans="1:11" x14ac:dyDescent="0.35">
      <c r="A4028" s="1">
        <v>43051</v>
      </c>
      <c r="B4028" s="3">
        <f t="shared" si="124"/>
        <v>2017</v>
      </c>
      <c r="C4028" s="3">
        <f t="shared" si="125"/>
        <v>11</v>
      </c>
      <c r="D4028" t="s">
        <v>1897</v>
      </c>
      <c r="E4028" t="s">
        <v>32</v>
      </c>
      <c r="F4028" t="s">
        <v>13</v>
      </c>
      <c r="G4028" t="s">
        <v>23</v>
      </c>
      <c r="H4028" t="s">
        <v>2092</v>
      </c>
      <c r="I4028" s="2">
        <v>67.989999999999995</v>
      </c>
      <c r="J4028" s="3">
        <v>1</v>
      </c>
      <c r="K4028" s="2">
        <v>8.5</v>
      </c>
    </row>
    <row r="4029" spans="1:11" x14ac:dyDescent="0.35">
      <c r="A4029" s="1">
        <v>43051</v>
      </c>
      <c r="B4029" s="3">
        <f t="shared" si="124"/>
        <v>2017</v>
      </c>
      <c r="C4029" s="3">
        <f t="shared" si="125"/>
        <v>11</v>
      </c>
      <c r="D4029" t="s">
        <v>1897</v>
      </c>
      <c r="E4029" t="s">
        <v>32</v>
      </c>
      <c r="F4029" t="s">
        <v>28</v>
      </c>
      <c r="G4029" t="s">
        <v>158</v>
      </c>
      <c r="H4029" t="s">
        <v>849</v>
      </c>
      <c r="I4029" s="2">
        <v>12.22</v>
      </c>
      <c r="J4029" s="3">
        <v>2</v>
      </c>
      <c r="K4029" s="2">
        <v>4.43</v>
      </c>
    </row>
    <row r="4030" spans="1:11" x14ac:dyDescent="0.35">
      <c r="A4030" s="1">
        <v>43051</v>
      </c>
      <c r="B4030" s="3">
        <f t="shared" si="124"/>
        <v>2017</v>
      </c>
      <c r="C4030" s="3">
        <f t="shared" si="125"/>
        <v>11</v>
      </c>
      <c r="D4030" t="s">
        <v>1897</v>
      </c>
      <c r="E4030" t="s">
        <v>32</v>
      </c>
      <c r="F4030" t="s">
        <v>13</v>
      </c>
      <c r="G4030" t="s">
        <v>14</v>
      </c>
      <c r="H4030" t="s">
        <v>2108</v>
      </c>
      <c r="I4030" s="2">
        <v>44.78</v>
      </c>
      <c r="J4030" s="3">
        <v>2</v>
      </c>
      <c r="K4030" s="2">
        <v>-0.56000000000000005</v>
      </c>
    </row>
    <row r="4031" spans="1:11" x14ac:dyDescent="0.35">
      <c r="A4031" s="1">
        <v>43051</v>
      </c>
      <c r="B4031" s="3">
        <f t="shared" si="124"/>
        <v>2017</v>
      </c>
      <c r="C4031" s="3">
        <f t="shared" si="125"/>
        <v>11</v>
      </c>
      <c r="D4031" t="s">
        <v>1897</v>
      </c>
      <c r="E4031" t="s">
        <v>32</v>
      </c>
      <c r="F4031" t="s">
        <v>18</v>
      </c>
      <c r="G4031" t="s">
        <v>36</v>
      </c>
      <c r="H4031" t="s">
        <v>1753</v>
      </c>
      <c r="I4031" s="2">
        <v>22.85</v>
      </c>
      <c r="J4031" s="3">
        <v>3</v>
      </c>
      <c r="K4031" s="2">
        <v>-17.71</v>
      </c>
    </row>
    <row r="4032" spans="1:11" x14ac:dyDescent="0.35">
      <c r="A4032" s="1">
        <v>43051</v>
      </c>
      <c r="B4032" s="3">
        <f t="shared" si="124"/>
        <v>2017</v>
      </c>
      <c r="C4032" s="3">
        <f t="shared" si="125"/>
        <v>11</v>
      </c>
      <c r="D4032" t="s">
        <v>1154</v>
      </c>
      <c r="E4032" t="s">
        <v>131</v>
      </c>
      <c r="F4032" t="s">
        <v>28</v>
      </c>
      <c r="G4032" t="s">
        <v>29</v>
      </c>
      <c r="H4032" t="s">
        <v>2219</v>
      </c>
      <c r="I4032" s="2">
        <v>10.85</v>
      </c>
      <c r="J4032" s="3">
        <v>2</v>
      </c>
      <c r="K4032" s="2">
        <v>3.53</v>
      </c>
    </row>
    <row r="4033" spans="1:11" x14ac:dyDescent="0.35">
      <c r="A4033" s="1">
        <v>43051</v>
      </c>
      <c r="B4033" s="3">
        <f t="shared" si="124"/>
        <v>2017</v>
      </c>
      <c r="C4033" s="3">
        <f t="shared" si="125"/>
        <v>11</v>
      </c>
      <c r="D4033" t="s">
        <v>1154</v>
      </c>
      <c r="E4033" t="s">
        <v>131</v>
      </c>
      <c r="F4033" t="s">
        <v>13</v>
      </c>
      <c r="G4033" t="s">
        <v>14</v>
      </c>
      <c r="H4033" t="s">
        <v>2420</v>
      </c>
      <c r="I4033" s="2">
        <v>18.54</v>
      </c>
      <c r="J4033" s="3">
        <v>2</v>
      </c>
      <c r="K4033" s="2">
        <v>3.01</v>
      </c>
    </row>
    <row r="4034" spans="1:11" x14ac:dyDescent="0.35">
      <c r="A4034" s="1">
        <v>43051</v>
      </c>
      <c r="B4034" s="3">
        <f t="shared" ref="B4034:B4043" si="126">YEAR(A4034)</f>
        <v>2017</v>
      </c>
      <c r="C4034" s="3">
        <f t="shared" ref="C4034:C4043" si="127">MONTH(A4034)</f>
        <v>11</v>
      </c>
      <c r="D4034" t="s">
        <v>1236</v>
      </c>
      <c r="E4034" t="s">
        <v>17</v>
      </c>
      <c r="F4034" t="s">
        <v>28</v>
      </c>
      <c r="G4034" t="s">
        <v>46</v>
      </c>
      <c r="H4034" t="s">
        <v>880</v>
      </c>
      <c r="I4034" s="2">
        <v>9.9600000000000009</v>
      </c>
      <c r="J4034" s="3">
        <v>2</v>
      </c>
      <c r="K4034" s="2">
        <v>4.58</v>
      </c>
    </row>
    <row r="4035" spans="1:11" x14ac:dyDescent="0.35">
      <c r="A4035" s="1">
        <v>43051</v>
      </c>
      <c r="B4035" s="3">
        <f t="shared" si="126"/>
        <v>2017</v>
      </c>
      <c r="C4035" s="3">
        <f t="shared" si="127"/>
        <v>11</v>
      </c>
      <c r="D4035" t="s">
        <v>1236</v>
      </c>
      <c r="E4035" t="s">
        <v>17</v>
      </c>
      <c r="F4035" t="s">
        <v>28</v>
      </c>
      <c r="G4035" t="s">
        <v>64</v>
      </c>
      <c r="H4035" t="s">
        <v>2421</v>
      </c>
      <c r="I4035" s="2">
        <v>9.2100000000000009</v>
      </c>
      <c r="J4035" s="3">
        <v>3</v>
      </c>
      <c r="K4035" s="2">
        <v>2.2999999999999998</v>
      </c>
    </row>
    <row r="4036" spans="1:11" x14ac:dyDescent="0.35">
      <c r="A4036" s="1">
        <v>43051</v>
      </c>
      <c r="B4036" s="3">
        <f t="shared" si="126"/>
        <v>2017</v>
      </c>
      <c r="C4036" s="3">
        <f t="shared" si="127"/>
        <v>11</v>
      </c>
      <c r="D4036" t="s">
        <v>1236</v>
      </c>
      <c r="E4036" t="s">
        <v>17</v>
      </c>
      <c r="F4036" t="s">
        <v>28</v>
      </c>
      <c r="G4036" t="s">
        <v>215</v>
      </c>
      <c r="H4036" t="s">
        <v>427</v>
      </c>
      <c r="I4036" s="2">
        <v>27.93</v>
      </c>
      <c r="J4036" s="3">
        <v>3</v>
      </c>
      <c r="K4036" s="2">
        <v>8.1</v>
      </c>
    </row>
    <row r="4037" spans="1:11" x14ac:dyDescent="0.35">
      <c r="A4037" s="1">
        <v>43051</v>
      </c>
      <c r="B4037" s="3">
        <f t="shared" si="126"/>
        <v>2017</v>
      </c>
      <c r="C4037" s="3">
        <f t="shared" si="127"/>
        <v>11</v>
      </c>
      <c r="D4037" t="s">
        <v>1563</v>
      </c>
      <c r="E4037" t="s">
        <v>45</v>
      </c>
      <c r="F4037" t="s">
        <v>28</v>
      </c>
      <c r="G4037" t="s">
        <v>48</v>
      </c>
      <c r="H4037" t="s">
        <v>2121</v>
      </c>
      <c r="I4037" s="2">
        <v>14.02</v>
      </c>
      <c r="J4037" s="3">
        <v>4</v>
      </c>
      <c r="K4037" s="2">
        <v>4.91</v>
      </c>
    </row>
    <row r="4038" spans="1:11" x14ac:dyDescent="0.35">
      <c r="A4038" s="1">
        <v>43051</v>
      </c>
      <c r="B4038" s="3">
        <f t="shared" si="126"/>
        <v>2017</v>
      </c>
      <c r="C4038" s="3">
        <f t="shared" si="127"/>
        <v>11</v>
      </c>
      <c r="D4038" t="s">
        <v>691</v>
      </c>
      <c r="E4038" t="s">
        <v>17</v>
      </c>
      <c r="F4038" t="s">
        <v>28</v>
      </c>
      <c r="G4038" t="s">
        <v>33</v>
      </c>
      <c r="H4038" t="s">
        <v>111</v>
      </c>
      <c r="I4038" s="2">
        <v>18.239999999999998</v>
      </c>
      <c r="J4038" s="3">
        <v>3</v>
      </c>
      <c r="K4038" s="2">
        <v>9.1199999999999992</v>
      </c>
    </row>
    <row r="4039" spans="1:11" x14ac:dyDescent="0.35">
      <c r="A4039" s="1">
        <v>43051</v>
      </c>
      <c r="B4039" s="3">
        <f t="shared" si="126"/>
        <v>2017</v>
      </c>
      <c r="C4039" s="3">
        <f t="shared" si="127"/>
        <v>11</v>
      </c>
      <c r="D4039" t="s">
        <v>691</v>
      </c>
      <c r="E4039" t="s">
        <v>17</v>
      </c>
      <c r="F4039" t="s">
        <v>28</v>
      </c>
      <c r="G4039" t="s">
        <v>58</v>
      </c>
      <c r="H4039" t="s">
        <v>129</v>
      </c>
      <c r="I4039" s="2">
        <v>76.12</v>
      </c>
      <c r="J4039" s="3">
        <v>2</v>
      </c>
      <c r="K4039" s="2">
        <v>22.07</v>
      </c>
    </row>
    <row r="4040" spans="1:11" x14ac:dyDescent="0.35">
      <c r="A4040" s="1">
        <v>43051</v>
      </c>
      <c r="B4040" s="3">
        <f t="shared" si="126"/>
        <v>2017</v>
      </c>
      <c r="C4040" s="3">
        <f t="shared" si="127"/>
        <v>11</v>
      </c>
      <c r="D4040" t="s">
        <v>2422</v>
      </c>
      <c r="E4040" t="s">
        <v>77</v>
      </c>
      <c r="F4040" t="s">
        <v>28</v>
      </c>
      <c r="G4040" t="s">
        <v>29</v>
      </c>
      <c r="H4040" t="s">
        <v>2334</v>
      </c>
      <c r="I4040" s="2">
        <v>26.72</v>
      </c>
      <c r="J4040" s="3">
        <v>5</v>
      </c>
      <c r="K4040" s="2">
        <v>9.35</v>
      </c>
    </row>
    <row r="4041" spans="1:11" x14ac:dyDescent="0.35">
      <c r="A4041" s="1">
        <v>43051</v>
      </c>
      <c r="B4041" s="3">
        <f t="shared" si="126"/>
        <v>2017</v>
      </c>
      <c r="C4041" s="3">
        <f t="shared" si="127"/>
        <v>11</v>
      </c>
      <c r="D4041" t="s">
        <v>2210</v>
      </c>
      <c r="E4041" t="s">
        <v>211</v>
      </c>
      <c r="F4041" t="s">
        <v>13</v>
      </c>
      <c r="G4041" t="s">
        <v>14</v>
      </c>
      <c r="H4041" t="s">
        <v>740</v>
      </c>
      <c r="I4041" s="2">
        <v>62.35</v>
      </c>
      <c r="J4041" s="3">
        <v>6</v>
      </c>
      <c r="K4041" s="2">
        <v>-10.91</v>
      </c>
    </row>
    <row r="4042" spans="1:11" x14ac:dyDescent="0.35">
      <c r="A4042" s="1">
        <v>43051</v>
      </c>
      <c r="B4042" s="3">
        <f t="shared" si="126"/>
        <v>2017</v>
      </c>
      <c r="C4042" s="3">
        <f t="shared" si="127"/>
        <v>11</v>
      </c>
      <c r="D4042" t="s">
        <v>562</v>
      </c>
      <c r="E4042" t="s">
        <v>45</v>
      </c>
      <c r="F4042" t="s">
        <v>28</v>
      </c>
      <c r="G4042" t="s">
        <v>29</v>
      </c>
      <c r="H4042" t="s">
        <v>2423</v>
      </c>
      <c r="I4042" s="2">
        <v>11.56</v>
      </c>
      <c r="J4042" s="3">
        <v>2</v>
      </c>
      <c r="K4042" s="2">
        <v>5.66</v>
      </c>
    </row>
    <row r="4043" spans="1:11" x14ac:dyDescent="0.35">
      <c r="A4043" s="1">
        <v>43051</v>
      </c>
      <c r="B4043" s="3">
        <f t="shared" si="126"/>
        <v>2017</v>
      </c>
      <c r="C4043" s="3">
        <f t="shared" si="127"/>
        <v>11</v>
      </c>
      <c r="D4043" t="s">
        <v>630</v>
      </c>
      <c r="E4043" t="s">
        <v>89</v>
      </c>
      <c r="F4043" t="s">
        <v>28</v>
      </c>
      <c r="G4043" t="s">
        <v>38</v>
      </c>
      <c r="H4043" t="s">
        <v>2424</v>
      </c>
      <c r="I4043" s="2">
        <v>221.02</v>
      </c>
      <c r="J4043" s="3">
        <v>2</v>
      </c>
      <c r="K4043" s="2">
        <v>-55.26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5DB69-D197-4106-9291-8E30CAE82F20}">
  <dimension ref="A1:E18"/>
  <sheetViews>
    <sheetView workbookViewId="0">
      <selection activeCell="D2" sqref="D2"/>
    </sheetView>
  </sheetViews>
  <sheetFormatPr defaultRowHeight="14.5" x14ac:dyDescent="0.35"/>
  <cols>
    <col min="1" max="1" width="12.36328125" bestFit="1" customWidth="1"/>
    <col min="2" max="2" width="11.26953125" bestFit="1" customWidth="1"/>
    <col min="5" max="5" width="9.36328125" bestFit="1" customWidth="1"/>
  </cols>
  <sheetData>
    <row r="1" spans="1:5" x14ac:dyDescent="0.35">
      <c r="A1" s="4" t="s">
        <v>2425</v>
      </c>
      <c r="B1" t="s">
        <v>2427</v>
      </c>
    </row>
    <row r="2" spans="1:5" x14ac:dyDescent="0.35">
      <c r="A2" s="5" t="s">
        <v>23</v>
      </c>
      <c r="B2" s="2">
        <v>125326.60000000009</v>
      </c>
      <c r="D2" t="str">
        <f>A2</f>
        <v>Phones</v>
      </c>
      <c r="E2" s="2">
        <f>B2</f>
        <v>125326.60000000009</v>
      </c>
    </row>
    <row r="3" spans="1:5" x14ac:dyDescent="0.35">
      <c r="A3" s="5" t="s">
        <v>19</v>
      </c>
      <c r="B3" s="2">
        <v>124914.90999999992</v>
      </c>
      <c r="D3" t="str">
        <f t="shared" ref="D3:D18" si="0">A3</f>
        <v>Chairs</v>
      </c>
      <c r="E3" s="2">
        <f t="shared" ref="E3:E18" si="1">B3</f>
        <v>124914.90999999992</v>
      </c>
    </row>
    <row r="4" spans="1:5" x14ac:dyDescent="0.35">
      <c r="A4" s="5" t="s">
        <v>42</v>
      </c>
      <c r="B4" s="2">
        <v>88925.39</v>
      </c>
      <c r="D4" t="str">
        <f t="shared" si="0"/>
        <v>Tables</v>
      </c>
      <c r="E4" s="2">
        <f t="shared" si="1"/>
        <v>88925.39</v>
      </c>
    </row>
    <row r="5" spans="1:5" x14ac:dyDescent="0.35">
      <c r="A5" s="5" t="s">
        <v>38</v>
      </c>
      <c r="B5" s="2">
        <v>85450.679999999935</v>
      </c>
      <c r="D5" t="str">
        <f t="shared" si="0"/>
        <v>Storage</v>
      </c>
      <c r="E5" s="2">
        <f t="shared" si="1"/>
        <v>85450.679999999935</v>
      </c>
    </row>
    <row r="6" spans="1:5" x14ac:dyDescent="0.35">
      <c r="A6" s="5" t="s">
        <v>204</v>
      </c>
      <c r="B6" s="2">
        <v>83658.180000000022</v>
      </c>
      <c r="D6" t="str">
        <f t="shared" si="0"/>
        <v>Machines</v>
      </c>
      <c r="E6" s="2">
        <f t="shared" si="1"/>
        <v>83658.180000000022</v>
      </c>
    </row>
    <row r="7" spans="1:5" x14ac:dyDescent="0.35">
      <c r="A7" s="5" t="s">
        <v>14</v>
      </c>
      <c r="B7" s="2">
        <v>71083.550000000017</v>
      </c>
      <c r="D7" t="str">
        <f t="shared" si="0"/>
        <v>Accessories</v>
      </c>
      <c r="E7" s="2">
        <f t="shared" si="1"/>
        <v>71083.550000000017</v>
      </c>
    </row>
    <row r="8" spans="1:5" x14ac:dyDescent="0.35">
      <c r="A8" s="5" t="s">
        <v>48</v>
      </c>
      <c r="B8" s="2">
        <v>66415.349999999948</v>
      </c>
      <c r="D8" t="str">
        <f t="shared" si="0"/>
        <v>Binders</v>
      </c>
      <c r="E8" s="2">
        <f t="shared" si="1"/>
        <v>66415.349999999948</v>
      </c>
    </row>
    <row r="9" spans="1:5" x14ac:dyDescent="0.35">
      <c r="A9" s="5" t="s">
        <v>143</v>
      </c>
      <c r="B9" s="2">
        <v>58539.060000000005</v>
      </c>
      <c r="D9" t="str">
        <f t="shared" si="0"/>
        <v>Copiers</v>
      </c>
      <c r="E9" s="2">
        <f t="shared" si="1"/>
        <v>58539.060000000005</v>
      </c>
    </row>
    <row r="10" spans="1:5" x14ac:dyDescent="0.35">
      <c r="A10" s="5" t="s">
        <v>237</v>
      </c>
      <c r="B10" s="2">
        <v>41278.869999999981</v>
      </c>
      <c r="D10" t="str">
        <f t="shared" si="0"/>
        <v>Bookcases</v>
      </c>
      <c r="E10" s="2">
        <f t="shared" si="1"/>
        <v>41278.869999999981</v>
      </c>
    </row>
    <row r="11" spans="1:5" x14ac:dyDescent="0.35">
      <c r="A11" s="5" t="s">
        <v>58</v>
      </c>
      <c r="B11" s="2">
        <v>38574.489999999991</v>
      </c>
      <c r="D11" t="str">
        <f t="shared" si="0"/>
        <v>Appliances</v>
      </c>
      <c r="E11" s="2">
        <f t="shared" si="1"/>
        <v>38574.489999999991</v>
      </c>
    </row>
    <row r="12" spans="1:5" x14ac:dyDescent="0.35">
      <c r="A12" s="5" t="s">
        <v>36</v>
      </c>
      <c r="B12" s="2">
        <v>34617.07999999998</v>
      </c>
      <c r="D12" t="str">
        <f t="shared" si="0"/>
        <v>Furnishings</v>
      </c>
      <c r="E12" s="2">
        <f t="shared" si="1"/>
        <v>34617.07999999998</v>
      </c>
    </row>
    <row r="13" spans="1:5" x14ac:dyDescent="0.35">
      <c r="A13" s="5" t="s">
        <v>29</v>
      </c>
      <c r="B13" s="2">
        <v>30343.239999999958</v>
      </c>
      <c r="D13" t="str">
        <f t="shared" si="0"/>
        <v>Paper</v>
      </c>
      <c r="E13" s="2">
        <f t="shared" si="1"/>
        <v>30343.239999999958</v>
      </c>
    </row>
    <row r="14" spans="1:5" x14ac:dyDescent="0.35">
      <c r="A14" s="5" t="s">
        <v>215</v>
      </c>
      <c r="B14" s="2">
        <v>13056.910000000003</v>
      </c>
      <c r="D14" t="str">
        <f t="shared" si="0"/>
        <v>Supplies</v>
      </c>
      <c r="E14" s="2">
        <f t="shared" si="1"/>
        <v>13056.910000000003</v>
      </c>
    </row>
    <row r="15" spans="1:5" x14ac:dyDescent="0.35">
      <c r="A15" s="5" t="s">
        <v>64</v>
      </c>
      <c r="B15" s="2">
        <v>12730.589999999989</v>
      </c>
      <c r="D15" t="str">
        <f t="shared" si="0"/>
        <v>Art</v>
      </c>
      <c r="E15" s="2">
        <f t="shared" si="1"/>
        <v>12730.589999999989</v>
      </c>
    </row>
    <row r="16" spans="1:5" x14ac:dyDescent="0.35">
      <c r="A16" s="5" t="s">
        <v>158</v>
      </c>
      <c r="B16" s="2">
        <v>5972.3399999999956</v>
      </c>
      <c r="D16" t="str">
        <f t="shared" si="0"/>
        <v>Envelopes</v>
      </c>
      <c r="E16" s="2">
        <f t="shared" si="1"/>
        <v>5972.3399999999956</v>
      </c>
    </row>
    <row r="17" spans="1:5" x14ac:dyDescent="0.35">
      <c r="A17" s="5" t="s">
        <v>46</v>
      </c>
      <c r="B17" s="2">
        <v>5770.8</v>
      </c>
      <c r="D17" t="str">
        <f t="shared" si="0"/>
        <v>Labels</v>
      </c>
      <c r="E17" s="2">
        <f t="shared" si="1"/>
        <v>5770.8</v>
      </c>
    </row>
    <row r="18" spans="1:5" x14ac:dyDescent="0.35">
      <c r="A18" s="5" t="s">
        <v>33</v>
      </c>
      <c r="B18" s="2">
        <v>1259.1600000000012</v>
      </c>
      <c r="D18" t="str">
        <f t="shared" si="0"/>
        <v>Fasteners</v>
      </c>
      <c r="E18" s="2">
        <f t="shared" si="1"/>
        <v>1259.1600000000012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FB5EE-EC80-45B2-9FE5-D5DE820CC522}">
  <dimension ref="A1:D6"/>
  <sheetViews>
    <sheetView workbookViewId="0">
      <selection activeCell="D7" sqref="D7"/>
    </sheetView>
  </sheetViews>
  <sheetFormatPr defaultRowHeight="14.5" x14ac:dyDescent="0.35"/>
  <cols>
    <col min="1" max="1" width="12.36328125" bestFit="1" customWidth="1"/>
    <col min="2" max="2" width="15.26953125" bestFit="1" customWidth="1"/>
    <col min="3" max="3" width="13.1796875" bestFit="1" customWidth="1"/>
    <col min="4" max="4" width="10.26953125" bestFit="1" customWidth="1"/>
    <col min="5" max="5" width="10.7265625" bestFit="1" customWidth="1"/>
  </cols>
  <sheetData>
    <row r="1" spans="1:4" x14ac:dyDescent="0.35">
      <c r="A1" s="4" t="s">
        <v>2428</v>
      </c>
      <c r="B1" s="4" t="s">
        <v>2429</v>
      </c>
    </row>
    <row r="2" spans="1:4" x14ac:dyDescent="0.35">
      <c r="A2" s="4" t="s">
        <v>2425</v>
      </c>
      <c r="B2" t="s">
        <v>18</v>
      </c>
      <c r="C2" t="s">
        <v>28</v>
      </c>
      <c r="D2" t="s">
        <v>13</v>
      </c>
    </row>
    <row r="3" spans="1:4" x14ac:dyDescent="0.35">
      <c r="A3" s="6">
        <v>2014</v>
      </c>
      <c r="B3" s="2">
        <v>3321.690000000001</v>
      </c>
      <c r="C3" s="2">
        <v>7454.0799999999963</v>
      </c>
      <c r="D3" s="2">
        <v>8216.1099999999969</v>
      </c>
    </row>
    <row r="4" spans="1:4" x14ac:dyDescent="0.35">
      <c r="A4" s="6">
        <v>2015</v>
      </c>
      <c r="B4" s="2">
        <v>3546.5600000000004</v>
      </c>
      <c r="C4" s="2">
        <v>3372.4099999999994</v>
      </c>
      <c r="D4" s="2">
        <v>12796.189999999995</v>
      </c>
    </row>
    <row r="5" spans="1:4" x14ac:dyDescent="0.35">
      <c r="A5" s="6">
        <v>2016</v>
      </c>
      <c r="B5" s="2">
        <v>2857.4799999999991</v>
      </c>
      <c r="C5" s="2">
        <v>11985.809999999994</v>
      </c>
      <c r="D5" s="2">
        <v>29681.860000000019</v>
      </c>
    </row>
    <row r="6" spans="1:4" x14ac:dyDescent="0.35">
      <c r="A6" s="6">
        <v>2017</v>
      </c>
      <c r="B6" s="2">
        <v>-780.7600000000009</v>
      </c>
      <c r="C6" s="2">
        <v>13721.72</v>
      </c>
      <c r="D6" s="2">
        <v>12630.520000000008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F18D-2958-4800-8D18-675F45961256}">
  <dimension ref="A1:B13"/>
  <sheetViews>
    <sheetView workbookViewId="0">
      <selection activeCell="A2" sqref="A2"/>
    </sheetView>
  </sheetViews>
  <sheetFormatPr defaultRowHeight="14.5" x14ac:dyDescent="0.35"/>
  <cols>
    <col min="1" max="1" width="12.36328125" bestFit="1" customWidth="1"/>
    <col min="2" max="2" width="11.26953125" bestFit="1" customWidth="1"/>
  </cols>
  <sheetData>
    <row r="1" spans="1:2" x14ac:dyDescent="0.35">
      <c r="A1" s="4" t="s">
        <v>2425</v>
      </c>
      <c r="B1" t="s">
        <v>2427</v>
      </c>
    </row>
    <row r="2" spans="1:2" x14ac:dyDescent="0.35">
      <c r="A2" s="6">
        <v>1</v>
      </c>
      <c r="B2" s="2">
        <v>29365.810000000005</v>
      </c>
    </row>
    <row r="3" spans="1:2" x14ac:dyDescent="0.35">
      <c r="A3" s="6">
        <v>2</v>
      </c>
      <c r="B3" s="2">
        <v>32168.99</v>
      </c>
    </row>
    <row r="4" spans="1:2" x14ac:dyDescent="0.35">
      <c r="A4" s="6">
        <v>3</v>
      </c>
      <c r="B4" s="2">
        <v>57260.74</v>
      </c>
    </row>
    <row r="5" spans="1:2" x14ac:dyDescent="0.35">
      <c r="A5" s="6">
        <v>4</v>
      </c>
      <c r="B5" s="2">
        <v>58893.160000000025</v>
      </c>
    </row>
    <row r="6" spans="1:2" x14ac:dyDescent="0.35">
      <c r="A6" s="6">
        <v>5</v>
      </c>
      <c r="B6" s="2">
        <v>53129.029999999992</v>
      </c>
    </row>
    <row r="7" spans="1:2" x14ac:dyDescent="0.35">
      <c r="A7" s="6">
        <v>6</v>
      </c>
      <c r="B7" s="2">
        <v>61142.03</v>
      </c>
    </row>
    <row r="8" spans="1:2" x14ac:dyDescent="0.35">
      <c r="A8" s="6">
        <v>7</v>
      </c>
      <c r="B8" s="2">
        <v>48621.929999999978</v>
      </c>
    </row>
    <row r="9" spans="1:2" x14ac:dyDescent="0.35">
      <c r="A9" s="6">
        <v>8</v>
      </c>
      <c r="B9" s="2">
        <v>50657.610000000008</v>
      </c>
    </row>
    <row r="10" spans="1:2" x14ac:dyDescent="0.35">
      <c r="A10" s="6">
        <v>9</v>
      </c>
      <c r="B10" s="2">
        <v>125243.02999999994</v>
      </c>
    </row>
    <row r="11" spans="1:2" x14ac:dyDescent="0.35">
      <c r="A11" s="6">
        <v>10</v>
      </c>
      <c r="B11" s="2">
        <v>78960.450000000026</v>
      </c>
    </row>
    <row r="12" spans="1:2" x14ac:dyDescent="0.35">
      <c r="A12" s="6">
        <v>11</v>
      </c>
      <c r="B12" s="2">
        <v>150382.51000000018</v>
      </c>
    </row>
    <row r="13" spans="1:2" x14ac:dyDescent="0.35">
      <c r="A13" s="6">
        <v>12</v>
      </c>
      <c r="B13" s="2">
        <v>142091.91000000006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EBF3E-52D0-48B6-88FE-FDE655417AA4}">
  <dimension ref="A1:E739"/>
  <sheetViews>
    <sheetView workbookViewId="0">
      <selection activeCell="G1" sqref="G1"/>
    </sheetView>
  </sheetViews>
  <sheetFormatPr defaultRowHeight="14.5" x14ac:dyDescent="0.35"/>
  <cols>
    <col min="1" max="1" width="21.08984375" bestFit="1" customWidth="1"/>
    <col min="2" max="2" width="11.81640625" bestFit="1" customWidth="1"/>
    <col min="4" max="4" width="13.08984375" bestFit="1" customWidth="1"/>
    <col min="5" max="5" width="10.453125" bestFit="1" customWidth="1"/>
  </cols>
  <sheetData>
    <row r="1" spans="1:5" x14ac:dyDescent="0.35">
      <c r="A1" s="4" t="s">
        <v>2425</v>
      </c>
      <c r="B1" t="s">
        <v>2428</v>
      </c>
      <c r="D1" s="7" t="s">
        <v>2431</v>
      </c>
      <c r="E1" s="7" t="s">
        <v>2432</v>
      </c>
    </row>
    <row r="2" spans="1:5" x14ac:dyDescent="0.35">
      <c r="A2" s="5" t="s">
        <v>648</v>
      </c>
      <c r="B2" s="2">
        <v>8745.0600000000013</v>
      </c>
      <c r="D2" t="str">
        <f t="shared" ref="D2:E6" si="0">A2</f>
        <v>Tamara Chand</v>
      </c>
      <c r="E2" s="2">
        <f t="shared" si="0"/>
        <v>8745.0600000000013</v>
      </c>
    </row>
    <row r="3" spans="1:5" x14ac:dyDescent="0.35">
      <c r="A3" s="5" t="s">
        <v>1060</v>
      </c>
      <c r="B3" s="2">
        <v>3262.3100000000004</v>
      </c>
      <c r="D3" t="str">
        <f t="shared" si="0"/>
        <v>Daniel Raglin</v>
      </c>
      <c r="E3" s="2">
        <f t="shared" si="0"/>
        <v>3262.3100000000004</v>
      </c>
    </row>
    <row r="4" spans="1:5" x14ac:dyDescent="0.35">
      <c r="A4" s="5" t="s">
        <v>1083</v>
      </c>
      <c r="B4" s="2">
        <v>2891.8900000000003</v>
      </c>
      <c r="D4" t="str">
        <f t="shared" si="0"/>
        <v>Keith Dawkins</v>
      </c>
      <c r="E4" s="2">
        <f t="shared" si="0"/>
        <v>2891.8900000000003</v>
      </c>
    </row>
    <row r="5" spans="1:5" x14ac:dyDescent="0.35">
      <c r="A5" s="5" t="s">
        <v>897</v>
      </c>
      <c r="B5" s="2">
        <v>2836.4399999999996</v>
      </c>
      <c r="D5" t="str">
        <f t="shared" si="0"/>
        <v>Sanjit Engle</v>
      </c>
      <c r="E5" s="2">
        <f t="shared" si="0"/>
        <v>2836.4399999999996</v>
      </c>
    </row>
    <row r="6" spans="1:5" x14ac:dyDescent="0.35">
      <c r="A6" s="5" t="s">
        <v>403</v>
      </c>
      <c r="B6" s="2">
        <v>2390.8500000000004</v>
      </c>
      <c r="D6" t="str">
        <f t="shared" si="0"/>
        <v>Nathan Mautz</v>
      </c>
      <c r="E6" s="2">
        <f t="shared" si="0"/>
        <v>2390.8500000000004</v>
      </c>
    </row>
    <row r="7" spans="1:5" x14ac:dyDescent="0.35">
      <c r="A7" s="5" t="s">
        <v>1661</v>
      </c>
      <c r="B7" s="2">
        <v>1924.02</v>
      </c>
    </row>
    <row r="8" spans="1:5" x14ac:dyDescent="0.35">
      <c r="A8" s="5" t="s">
        <v>524</v>
      </c>
      <c r="B8" s="2">
        <v>1827.9799999999998</v>
      </c>
    </row>
    <row r="9" spans="1:5" x14ac:dyDescent="0.35">
      <c r="A9" s="5" t="s">
        <v>385</v>
      </c>
      <c r="B9" s="2">
        <v>1442.71</v>
      </c>
    </row>
    <row r="10" spans="1:5" x14ac:dyDescent="0.35">
      <c r="A10" s="5" t="s">
        <v>332</v>
      </c>
      <c r="B10" s="2">
        <v>1400.63</v>
      </c>
    </row>
    <row r="11" spans="1:5" x14ac:dyDescent="0.35">
      <c r="A11" s="5" t="s">
        <v>2010</v>
      </c>
      <c r="B11" s="2">
        <v>1381.34</v>
      </c>
    </row>
    <row r="12" spans="1:5" x14ac:dyDescent="0.35">
      <c r="A12" s="5" t="s">
        <v>1572</v>
      </c>
      <c r="B12" s="2">
        <v>1301.5</v>
      </c>
    </row>
    <row r="13" spans="1:5" x14ac:dyDescent="0.35">
      <c r="A13" s="5" t="s">
        <v>2107</v>
      </c>
      <c r="B13" s="2">
        <v>1260.9000000000001</v>
      </c>
    </row>
    <row r="14" spans="1:5" x14ac:dyDescent="0.35">
      <c r="A14" s="5" t="s">
        <v>2140</v>
      </c>
      <c r="B14" s="2">
        <v>1234.3799999999999</v>
      </c>
    </row>
    <row r="15" spans="1:5" x14ac:dyDescent="0.35">
      <c r="A15" s="5" t="s">
        <v>54</v>
      </c>
      <c r="B15" s="2">
        <v>1181.77</v>
      </c>
    </row>
    <row r="16" spans="1:5" x14ac:dyDescent="0.35">
      <c r="A16" s="5" t="s">
        <v>70</v>
      </c>
      <c r="B16" s="2">
        <v>1166.54</v>
      </c>
    </row>
    <row r="17" spans="1:2" x14ac:dyDescent="0.35">
      <c r="A17" s="5" t="s">
        <v>771</v>
      </c>
      <c r="B17" s="2">
        <v>1152</v>
      </c>
    </row>
    <row r="18" spans="1:2" x14ac:dyDescent="0.35">
      <c r="A18" s="5" t="s">
        <v>86</v>
      </c>
      <c r="B18" s="2">
        <v>1110.4199999999998</v>
      </c>
    </row>
    <row r="19" spans="1:2" x14ac:dyDescent="0.35">
      <c r="A19" s="5" t="s">
        <v>951</v>
      </c>
      <c r="B19" s="2">
        <v>1107.6999999999996</v>
      </c>
    </row>
    <row r="20" spans="1:2" x14ac:dyDescent="0.35">
      <c r="A20" s="5" t="s">
        <v>1406</v>
      </c>
      <c r="B20" s="2">
        <v>1091.6299999999999</v>
      </c>
    </row>
    <row r="21" spans="1:2" x14ac:dyDescent="0.35">
      <c r="A21" s="5" t="s">
        <v>1929</v>
      </c>
      <c r="B21" s="2">
        <v>1064.8</v>
      </c>
    </row>
    <row r="22" spans="1:2" x14ac:dyDescent="0.35">
      <c r="A22" s="5" t="s">
        <v>1597</v>
      </c>
      <c r="B22" s="2">
        <v>1019.98</v>
      </c>
    </row>
    <row r="23" spans="1:2" x14ac:dyDescent="0.35">
      <c r="A23" s="5" t="s">
        <v>1196</v>
      </c>
      <c r="B23" s="2">
        <v>1016.6800000000001</v>
      </c>
    </row>
    <row r="24" spans="1:2" x14ac:dyDescent="0.35">
      <c r="A24" s="5" t="s">
        <v>1919</v>
      </c>
      <c r="B24" s="2">
        <v>963.93000000000006</v>
      </c>
    </row>
    <row r="25" spans="1:2" x14ac:dyDescent="0.35">
      <c r="A25" s="5" t="s">
        <v>1799</v>
      </c>
      <c r="B25" s="2">
        <v>953.73</v>
      </c>
    </row>
    <row r="26" spans="1:2" x14ac:dyDescent="0.35">
      <c r="A26" s="5" t="s">
        <v>546</v>
      </c>
      <c r="B26" s="2">
        <v>948.24</v>
      </c>
    </row>
    <row r="27" spans="1:2" x14ac:dyDescent="0.35">
      <c r="A27" s="5" t="s">
        <v>933</v>
      </c>
      <c r="B27" s="2">
        <v>945.6</v>
      </c>
    </row>
    <row r="28" spans="1:2" x14ac:dyDescent="0.35">
      <c r="A28" s="5" t="s">
        <v>346</v>
      </c>
      <c r="B28" s="2">
        <v>936.09999999999991</v>
      </c>
    </row>
    <row r="29" spans="1:2" x14ac:dyDescent="0.35">
      <c r="A29" s="5" t="s">
        <v>695</v>
      </c>
      <c r="B29" s="2">
        <v>927.90000000000009</v>
      </c>
    </row>
    <row r="30" spans="1:2" x14ac:dyDescent="0.35">
      <c r="A30" s="5" t="s">
        <v>1772</v>
      </c>
      <c r="B30" s="2">
        <v>921.53000000000009</v>
      </c>
    </row>
    <row r="31" spans="1:2" x14ac:dyDescent="0.35">
      <c r="A31" s="5" t="s">
        <v>206</v>
      </c>
      <c r="B31" s="2">
        <v>913.8900000000001</v>
      </c>
    </row>
    <row r="32" spans="1:2" x14ac:dyDescent="0.35">
      <c r="A32" s="5" t="s">
        <v>1336</v>
      </c>
      <c r="B32" s="2">
        <v>894.74000000000012</v>
      </c>
    </row>
    <row r="33" spans="1:2" x14ac:dyDescent="0.35">
      <c r="A33" s="5" t="s">
        <v>1447</v>
      </c>
      <c r="B33" s="2">
        <v>868.88</v>
      </c>
    </row>
    <row r="34" spans="1:2" x14ac:dyDescent="0.35">
      <c r="A34" s="5" t="s">
        <v>1634</v>
      </c>
      <c r="B34" s="2">
        <v>868.87999999999988</v>
      </c>
    </row>
    <row r="35" spans="1:2" x14ac:dyDescent="0.35">
      <c r="A35" s="5" t="s">
        <v>1415</v>
      </c>
      <c r="B35" s="2">
        <v>867.96</v>
      </c>
    </row>
    <row r="36" spans="1:2" x14ac:dyDescent="0.35">
      <c r="A36" s="5" t="s">
        <v>1539</v>
      </c>
      <c r="B36" s="2">
        <v>853.18000000000006</v>
      </c>
    </row>
    <row r="37" spans="1:2" x14ac:dyDescent="0.35">
      <c r="A37" s="5" t="s">
        <v>1423</v>
      </c>
      <c r="B37" s="2">
        <v>839.31000000000006</v>
      </c>
    </row>
    <row r="38" spans="1:2" x14ac:dyDescent="0.35">
      <c r="A38" s="5" t="s">
        <v>734</v>
      </c>
      <c r="B38" s="2">
        <v>829.18</v>
      </c>
    </row>
    <row r="39" spans="1:2" x14ac:dyDescent="0.35">
      <c r="A39" s="5" t="s">
        <v>621</v>
      </c>
      <c r="B39" s="2">
        <v>814.87</v>
      </c>
    </row>
    <row r="40" spans="1:2" x14ac:dyDescent="0.35">
      <c r="A40" s="5" t="s">
        <v>1355</v>
      </c>
      <c r="B40" s="2">
        <v>798.16000000000008</v>
      </c>
    </row>
    <row r="41" spans="1:2" x14ac:dyDescent="0.35">
      <c r="A41" s="5" t="s">
        <v>755</v>
      </c>
      <c r="B41" s="2">
        <v>785.75</v>
      </c>
    </row>
    <row r="42" spans="1:2" x14ac:dyDescent="0.35">
      <c r="A42" s="5" t="s">
        <v>787</v>
      </c>
      <c r="B42" s="2">
        <v>784.67000000000007</v>
      </c>
    </row>
    <row r="43" spans="1:2" x14ac:dyDescent="0.35">
      <c r="A43" s="5" t="s">
        <v>724</v>
      </c>
      <c r="B43" s="2">
        <v>782.74999999999977</v>
      </c>
    </row>
    <row r="44" spans="1:2" x14ac:dyDescent="0.35">
      <c r="A44" s="5" t="s">
        <v>1868</v>
      </c>
      <c r="B44" s="2">
        <v>780.25999999999988</v>
      </c>
    </row>
    <row r="45" spans="1:2" x14ac:dyDescent="0.35">
      <c r="A45" s="5" t="s">
        <v>359</v>
      </c>
      <c r="B45" s="2">
        <v>763.66000000000008</v>
      </c>
    </row>
    <row r="46" spans="1:2" x14ac:dyDescent="0.35">
      <c r="A46" s="5" t="s">
        <v>1012</v>
      </c>
      <c r="B46" s="2">
        <v>761.73000000000013</v>
      </c>
    </row>
    <row r="47" spans="1:2" x14ac:dyDescent="0.35">
      <c r="A47" s="5" t="s">
        <v>1161</v>
      </c>
      <c r="B47" s="2">
        <v>758.40000000000009</v>
      </c>
    </row>
    <row r="48" spans="1:2" x14ac:dyDescent="0.35">
      <c r="A48" s="5" t="s">
        <v>1607</v>
      </c>
      <c r="B48" s="2">
        <v>757.81999999999994</v>
      </c>
    </row>
    <row r="49" spans="1:2" x14ac:dyDescent="0.35">
      <c r="A49" s="5" t="s">
        <v>809</v>
      </c>
      <c r="B49" s="2">
        <v>735.51</v>
      </c>
    </row>
    <row r="50" spans="1:2" x14ac:dyDescent="0.35">
      <c r="A50" s="5" t="s">
        <v>1081</v>
      </c>
      <c r="B50" s="2">
        <v>718.2700000000001</v>
      </c>
    </row>
    <row r="51" spans="1:2" x14ac:dyDescent="0.35">
      <c r="A51" s="5" t="s">
        <v>135</v>
      </c>
      <c r="B51" s="2">
        <v>709.56000000000017</v>
      </c>
    </row>
    <row r="52" spans="1:2" x14ac:dyDescent="0.35">
      <c r="A52" s="5" t="s">
        <v>1142</v>
      </c>
      <c r="B52" s="2">
        <v>688.85</v>
      </c>
    </row>
    <row r="53" spans="1:2" x14ac:dyDescent="0.35">
      <c r="A53" s="5" t="s">
        <v>2181</v>
      </c>
      <c r="B53" s="2">
        <v>685.62</v>
      </c>
    </row>
    <row r="54" spans="1:2" x14ac:dyDescent="0.35">
      <c r="A54" s="5" t="s">
        <v>1972</v>
      </c>
      <c r="B54" s="2">
        <v>677.21</v>
      </c>
    </row>
    <row r="55" spans="1:2" x14ac:dyDescent="0.35">
      <c r="A55" s="5" t="s">
        <v>915</v>
      </c>
      <c r="B55" s="2">
        <v>665.4</v>
      </c>
    </row>
    <row r="56" spans="1:2" x14ac:dyDescent="0.35">
      <c r="A56" s="5" t="s">
        <v>1275</v>
      </c>
      <c r="B56" s="2">
        <v>653.03</v>
      </c>
    </row>
    <row r="57" spans="1:2" x14ac:dyDescent="0.35">
      <c r="A57" s="5" t="s">
        <v>856</v>
      </c>
      <c r="B57" s="2">
        <v>614.62</v>
      </c>
    </row>
    <row r="58" spans="1:2" x14ac:dyDescent="0.35">
      <c r="A58" s="5" t="s">
        <v>1085</v>
      </c>
      <c r="B58" s="2">
        <v>610.29999999999995</v>
      </c>
    </row>
    <row r="59" spans="1:2" x14ac:dyDescent="0.35">
      <c r="A59" s="5" t="s">
        <v>898</v>
      </c>
      <c r="B59" s="2">
        <v>606.96</v>
      </c>
    </row>
    <row r="60" spans="1:2" x14ac:dyDescent="0.35">
      <c r="A60" s="5" t="s">
        <v>2101</v>
      </c>
      <c r="B60" s="2">
        <v>591.54999999999995</v>
      </c>
    </row>
    <row r="61" spans="1:2" x14ac:dyDescent="0.35">
      <c r="A61" s="5" t="s">
        <v>586</v>
      </c>
      <c r="B61" s="2">
        <v>589.65</v>
      </c>
    </row>
    <row r="62" spans="1:2" x14ac:dyDescent="0.35">
      <c r="A62" s="5" t="s">
        <v>1438</v>
      </c>
      <c r="B62" s="2">
        <v>588.47</v>
      </c>
    </row>
    <row r="63" spans="1:2" x14ac:dyDescent="0.35">
      <c r="A63" s="5" t="s">
        <v>830</v>
      </c>
      <c r="B63" s="2">
        <v>563.52</v>
      </c>
    </row>
    <row r="64" spans="1:2" x14ac:dyDescent="0.35">
      <c r="A64" s="5" t="s">
        <v>782</v>
      </c>
      <c r="B64" s="2">
        <v>562.99</v>
      </c>
    </row>
    <row r="65" spans="1:2" x14ac:dyDescent="0.35">
      <c r="A65" s="5" t="s">
        <v>1944</v>
      </c>
      <c r="B65" s="2">
        <v>561.72</v>
      </c>
    </row>
    <row r="66" spans="1:2" x14ac:dyDescent="0.35">
      <c r="A66" s="5" t="s">
        <v>794</v>
      </c>
      <c r="B66" s="2">
        <v>554.53</v>
      </c>
    </row>
    <row r="67" spans="1:2" x14ac:dyDescent="0.35">
      <c r="A67" s="5" t="s">
        <v>1756</v>
      </c>
      <c r="B67" s="2">
        <v>547.93999999999994</v>
      </c>
    </row>
    <row r="68" spans="1:2" x14ac:dyDescent="0.35">
      <c r="A68" s="5" t="s">
        <v>1101</v>
      </c>
      <c r="B68" s="2">
        <v>540.97</v>
      </c>
    </row>
    <row r="69" spans="1:2" x14ac:dyDescent="0.35">
      <c r="A69" s="5" t="s">
        <v>485</v>
      </c>
      <c r="B69" s="2">
        <v>535.74</v>
      </c>
    </row>
    <row r="70" spans="1:2" x14ac:dyDescent="0.35">
      <c r="A70" s="5" t="s">
        <v>282</v>
      </c>
      <c r="B70" s="2">
        <v>534.45000000000005</v>
      </c>
    </row>
    <row r="71" spans="1:2" x14ac:dyDescent="0.35">
      <c r="A71" s="5" t="s">
        <v>1272</v>
      </c>
      <c r="B71" s="2">
        <v>527.25</v>
      </c>
    </row>
    <row r="72" spans="1:2" x14ac:dyDescent="0.35">
      <c r="A72" s="5" t="s">
        <v>1317</v>
      </c>
      <c r="B72" s="2">
        <v>524.91</v>
      </c>
    </row>
    <row r="73" spans="1:2" x14ac:dyDescent="0.35">
      <c r="A73" s="5" t="s">
        <v>1720</v>
      </c>
      <c r="B73" s="2">
        <v>522.71</v>
      </c>
    </row>
    <row r="74" spans="1:2" x14ac:dyDescent="0.35">
      <c r="A74" s="5" t="s">
        <v>259</v>
      </c>
      <c r="B74" s="2">
        <v>521.49</v>
      </c>
    </row>
    <row r="75" spans="1:2" x14ac:dyDescent="0.35">
      <c r="A75" s="5" t="s">
        <v>164</v>
      </c>
      <c r="B75" s="2">
        <v>510.6</v>
      </c>
    </row>
    <row r="76" spans="1:2" x14ac:dyDescent="0.35">
      <c r="A76" s="5" t="s">
        <v>1111</v>
      </c>
      <c r="B76" s="2">
        <v>506.68</v>
      </c>
    </row>
    <row r="77" spans="1:2" x14ac:dyDescent="0.35">
      <c r="A77" s="5" t="s">
        <v>687</v>
      </c>
      <c r="B77" s="2">
        <v>504.7000000000001</v>
      </c>
    </row>
    <row r="78" spans="1:2" x14ac:dyDescent="0.35">
      <c r="A78" s="5" t="s">
        <v>2322</v>
      </c>
      <c r="B78" s="2">
        <v>502.93</v>
      </c>
    </row>
    <row r="79" spans="1:2" x14ac:dyDescent="0.35">
      <c r="A79" s="5" t="s">
        <v>662</v>
      </c>
      <c r="B79" s="2">
        <v>499.73999999999995</v>
      </c>
    </row>
    <row r="80" spans="1:2" x14ac:dyDescent="0.35">
      <c r="A80" s="5" t="s">
        <v>117</v>
      </c>
      <c r="B80" s="2">
        <v>489.29000000000008</v>
      </c>
    </row>
    <row r="81" spans="1:2" x14ac:dyDescent="0.35">
      <c r="A81" s="5" t="s">
        <v>745</v>
      </c>
      <c r="B81" s="2">
        <v>483.03</v>
      </c>
    </row>
    <row r="82" spans="1:2" x14ac:dyDescent="0.35">
      <c r="A82" s="5" t="s">
        <v>1905</v>
      </c>
      <c r="B82" s="2">
        <v>482.65999999999997</v>
      </c>
    </row>
    <row r="83" spans="1:2" x14ac:dyDescent="0.35">
      <c r="A83" s="5" t="s">
        <v>599</v>
      </c>
      <c r="B83" s="2">
        <v>478.22</v>
      </c>
    </row>
    <row r="84" spans="1:2" x14ac:dyDescent="0.35">
      <c r="A84" s="5" t="s">
        <v>491</v>
      </c>
      <c r="B84" s="2">
        <v>466.80999999999995</v>
      </c>
    </row>
    <row r="85" spans="1:2" x14ac:dyDescent="0.35">
      <c r="A85" s="5" t="s">
        <v>1228</v>
      </c>
      <c r="B85" s="2">
        <v>462.98</v>
      </c>
    </row>
    <row r="86" spans="1:2" x14ac:dyDescent="0.35">
      <c r="A86" s="5" t="s">
        <v>412</v>
      </c>
      <c r="B86" s="2">
        <v>460.1699999999999</v>
      </c>
    </row>
    <row r="87" spans="1:2" x14ac:dyDescent="0.35">
      <c r="A87" s="5" t="s">
        <v>1838</v>
      </c>
      <c r="B87" s="2">
        <v>459.92999999999995</v>
      </c>
    </row>
    <row r="88" spans="1:2" x14ac:dyDescent="0.35">
      <c r="A88" s="5" t="s">
        <v>611</v>
      </c>
      <c r="B88" s="2">
        <v>458.15999999999997</v>
      </c>
    </row>
    <row r="89" spans="1:2" x14ac:dyDescent="0.35">
      <c r="A89" s="5" t="s">
        <v>391</v>
      </c>
      <c r="B89" s="2">
        <v>455.67</v>
      </c>
    </row>
    <row r="90" spans="1:2" x14ac:dyDescent="0.35">
      <c r="A90" s="5" t="s">
        <v>1253</v>
      </c>
      <c r="B90" s="2">
        <v>452.44</v>
      </c>
    </row>
    <row r="91" spans="1:2" x14ac:dyDescent="0.35">
      <c r="A91" s="5" t="s">
        <v>1467</v>
      </c>
      <c r="B91" s="2">
        <v>451.66</v>
      </c>
    </row>
    <row r="92" spans="1:2" x14ac:dyDescent="0.35">
      <c r="A92" s="5" t="s">
        <v>1873</v>
      </c>
      <c r="B92" s="2">
        <v>442.69000000000005</v>
      </c>
    </row>
    <row r="93" spans="1:2" x14ac:dyDescent="0.35">
      <c r="A93" s="5" t="s">
        <v>1097</v>
      </c>
      <c r="B93" s="2">
        <v>440.81</v>
      </c>
    </row>
    <row r="94" spans="1:2" x14ac:dyDescent="0.35">
      <c r="A94" s="5" t="s">
        <v>150</v>
      </c>
      <c r="B94" s="2">
        <v>438.53000000000003</v>
      </c>
    </row>
    <row r="95" spans="1:2" x14ac:dyDescent="0.35">
      <c r="A95" s="5" t="s">
        <v>921</v>
      </c>
      <c r="B95" s="2">
        <v>435.76000000000005</v>
      </c>
    </row>
    <row r="96" spans="1:2" x14ac:dyDescent="0.35">
      <c r="A96" s="5" t="s">
        <v>1627</v>
      </c>
      <c r="B96" s="2">
        <v>434.34000000000003</v>
      </c>
    </row>
    <row r="97" spans="1:2" x14ac:dyDescent="0.35">
      <c r="A97" s="5" t="s">
        <v>272</v>
      </c>
      <c r="B97" s="2">
        <v>428.02</v>
      </c>
    </row>
    <row r="98" spans="1:2" x14ac:dyDescent="0.35">
      <c r="A98" s="5" t="s">
        <v>2184</v>
      </c>
      <c r="B98" s="2">
        <v>423.71999999999997</v>
      </c>
    </row>
    <row r="99" spans="1:2" x14ac:dyDescent="0.35">
      <c r="A99" s="5" t="s">
        <v>455</v>
      </c>
      <c r="B99" s="2">
        <v>420.41</v>
      </c>
    </row>
    <row r="100" spans="1:2" x14ac:dyDescent="0.35">
      <c r="A100" s="5" t="s">
        <v>478</v>
      </c>
      <c r="B100" s="2">
        <v>413.72</v>
      </c>
    </row>
    <row r="101" spans="1:2" x14ac:dyDescent="0.35">
      <c r="A101" s="5" t="s">
        <v>1303</v>
      </c>
      <c r="B101" s="2">
        <v>411.80999999999995</v>
      </c>
    </row>
    <row r="102" spans="1:2" x14ac:dyDescent="0.35">
      <c r="A102" s="5" t="s">
        <v>1354</v>
      </c>
      <c r="B102" s="2">
        <v>408.42000000000007</v>
      </c>
    </row>
    <row r="103" spans="1:2" x14ac:dyDescent="0.35">
      <c r="A103" s="5" t="s">
        <v>975</v>
      </c>
      <c r="B103" s="2">
        <v>405.33</v>
      </c>
    </row>
    <row r="104" spans="1:2" x14ac:dyDescent="0.35">
      <c r="A104" s="5" t="s">
        <v>320</v>
      </c>
      <c r="B104" s="2">
        <v>403.65999999999997</v>
      </c>
    </row>
    <row r="105" spans="1:2" x14ac:dyDescent="0.35">
      <c r="A105" s="5" t="s">
        <v>1787</v>
      </c>
      <c r="B105" s="2">
        <v>397.39</v>
      </c>
    </row>
    <row r="106" spans="1:2" x14ac:dyDescent="0.35">
      <c r="A106" s="5" t="s">
        <v>1059</v>
      </c>
      <c r="B106" s="2">
        <v>392.25</v>
      </c>
    </row>
    <row r="107" spans="1:2" x14ac:dyDescent="0.35">
      <c r="A107" s="5" t="s">
        <v>784</v>
      </c>
      <c r="B107" s="2">
        <v>389.52000000000004</v>
      </c>
    </row>
    <row r="108" spans="1:2" x14ac:dyDescent="0.35">
      <c r="A108" s="5" t="s">
        <v>571</v>
      </c>
      <c r="B108" s="2">
        <v>388.32000000000005</v>
      </c>
    </row>
    <row r="109" spans="1:2" x14ac:dyDescent="0.35">
      <c r="A109" s="5" t="s">
        <v>44</v>
      </c>
      <c r="B109" s="2">
        <v>385.03000000000003</v>
      </c>
    </row>
    <row r="110" spans="1:2" x14ac:dyDescent="0.35">
      <c r="A110" s="5" t="s">
        <v>2012</v>
      </c>
      <c r="B110" s="2">
        <v>382.83000000000004</v>
      </c>
    </row>
    <row r="111" spans="1:2" x14ac:dyDescent="0.35">
      <c r="A111" s="5" t="s">
        <v>182</v>
      </c>
      <c r="B111" s="2">
        <v>372.42</v>
      </c>
    </row>
    <row r="112" spans="1:2" x14ac:dyDescent="0.35">
      <c r="A112" s="5" t="s">
        <v>669</v>
      </c>
      <c r="B112" s="2">
        <v>372.21</v>
      </c>
    </row>
    <row r="113" spans="1:2" x14ac:dyDescent="0.35">
      <c r="A113" s="5" t="s">
        <v>957</v>
      </c>
      <c r="B113" s="2">
        <v>362.90000000000003</v>
      </c>
    </row>
    <row r="114" spans="1:2" x14ac:dyDescent="0.35">
      <c r="A114" s="5" t="s">
        <v>1823</v>
      </c>
      <c r="B114" s="2">
        <v>361.15999999999997</v>
      </c>
    </row>
    <row r="115" spans="1:2" x14ac:dyDescent="0.35">
      <c r="A115" s="5" t="s">
        <v>750</v>
      </c>
      <c r="B115" s="2">
        <v>359.61</v>
      </c>
    </row>
    <row r="116" spans="1:2" x14ac:dyDescent="0.35">
      <c r="A116" s="5" t="s">
        <v>2161</v>
      </c>
      <c r="B116" s="2">
        <v>357.76999999999992</v>
      </c>
    </row>
    <row r="117" spans="1:2" x14ac:dyDescent="0.35">
      <c r="A117" s="5" t="s">
        <v>636</v>
      </c>
      <c r="B117" s="2">
        <v>355.20999999999992</v>
      </c>
    </row>
    <row r="118" spans="1:2" x14ac:dyDescent="0.35">
      <c r="A118" s="5" t="s">
        <v>1475</v>
      </c>
      <c r="B118" s="2">
        <v>354.57</v>
      </c>
    </row>
    <row r="119" spans="1:2" x14ac:dyDescent="0.35">
      <c r="A119" s="5" t="s">
        <v>1650</v>
      </c>
      <c r="B119" s="2">
        <v>349.74</v>
      </c>
    </row>
    <row r="120" spans="1:2" x14ac:dyDescent="0.35">
      <c r="A120" s="5" t="s">
        <v>736</v>
      </c>
      <c r="B120" s="2">
        <v>341.2</v>
      </c>
    </row>
    <row r="121" spans="1:2" x14ac:dyDescent="0.35">
      <c r="A121" s="5" t="s">
        <v>197</v>
      </c>
      <c r="B121" s="2">
        <v>340.14</v>
      </c>
    </row>
    <row r="122" spans="1:2" x14ac:dyDescent="0.35">
      <c r="A122" s="5" t="s">
        <v>371</v>
      </c>
      <c r="B122" s="2">
        <v>330.97</v>
      </c>
    </row>
    <row r="123" spans="1:2" x14ac:dyDescent="0.35">
      <c r="A123" s="5" t="s">
        <v>1215</v>
      </c>
      <c r="B123" s="2">
        <v>329.64000000000004</v>
      </c>
    </row>
    <row r="124" spans="1:2" x14ac:dyDescent="0.35">
      <c r="A124" s="5" t="s">
        <v>66</v>
      </c>
      <c r="B124" s="2">
        <v>322.38000000000005</v>
      </c>
    </row>
    <row r="125" spans="1:2" x14ac:dyDescent="0.35">
      <c r="A125" s="5" t="s">
        <v>1509</v>
      </c>
      <c r="B125" s="2">
        <v>312.25000000000006</v>
      </c>
    </row>
    <row r="126" spans="1:2" x14ac:dyDescent="0.35">
      <c r="A126" s="5" t="s">
        <v>424</v>
      </c>
      <c r="B126" s="2">
        <v>307.76</v>
      </c>
    </row>
    <row r="127" spans="1:2" x14ac:dyDescent="0.35">
      <c r="A127" s="5" t="s">
        <v>2061</v>
      </c>
      <c r="B127" s="2">
        <v>304.95</v>
      </c>
    </row>
    <row r="128" spans="1:2" x14ac:dyDescent="0.35">
      <c r="A128" s="5" t="s">
        <v>264</v>
      </c>
      <c r="B128" s="2">
        <v>303.35000000000002</v>
      </c>
    </row>
    <row r="129" spans="1:2" x14ac:dyDescent="0.35">
      <c r="A129" s="5" t="s">
        <v>653</v>
      </c>
      <c r="B129" s="2">
        <v>301.88999999999987</v>
      </c>
    </row>
    <row r="130" spans="1:2" x14ac:dyDescent="0.35">
      <c r="A130" s="5" t="s">
        <v>1792</v>
      </c>
      <c r="B130" s="2">
        <v>301.27</v>
      </c>
    </row>
    <row r="131" spans="1:2" x14ac:dyDescent="0.35">
      <c r="A131" s="5" t="s">
        <v>1537</v>
      </c>
      <c r="B131" s="2">
        <v>299.85000000000002</v>
      </c>
    </row>
    <row r="132" spans="1:2" x14ac:dyDescent="0.35">
      <c r="A132" s="5" t="s">
        <v>2144</v>
      </c>
      <c r="B132" s="2">
        <v>297.8</v>
      </c>
    </row>
    <row r="133" spans="1:2" x14ac:dyDescent="0.35">
      <c r="A133" s="5" t="s">
        <v>1900</v>
      </c>
      <c r="B133" s="2">
        <v>297.41000000000003</v>
      </c>
    </row>
    <row r="134" spans="1:2" x14ac:dyDescent="0.35">
      <c r="A134" s="5" t="s">
        <v>1598</v>
      </c>
      <c r="B134" s="2">
        <v>297.14999999999998</v>
      </c>
    </row>
    <row r="135" spans="1:2" x14ac:dyDescent="0.35">
      <c r="A135" s="5" t="s">
        <v>262</v>
      </c>
      <c r="B135" s="2">
        <v>295.95000000000005</v>
      </c>
    </row>
    <row r="136" spans="1:2" x14ac:dyDescent="0.35">
      <c r="A136" s="5" t="s">
        <v>189</v>
      </c>
      <c r="B136" s="2">
        <v>293.63000000000005</v>
      </c>
    </row>
    <row r="137" spans="1:2" x14ac:dyDescent="0.35">
      <c r="A137" s="5" t="s">
        <v>1260</v>
      </c>
      <c r="B137" s="2">
        <v>291.99</v>
      </c>
    </row>
    <row r="138" spans="1:2" x14ac:dyDescent="0.35">
      <c r="A138" s="5" t="s">
        <v>1613</v>
      </c>
      <c r="B138" s="2">
        <v>291.05</v>
      </c>
    </row>
    <row r="139" spans="1:2" x14ac:dyDescent="0.35">
      <c r="A139" s="5" t="s">
        <v>1389</v>
      </c>
      <c r="B139" s="2">
        <v>290</v>
      </c>
    </row>
    <row r="140" spans="1:2" x14ac:dyDescent="0.35">
      <c r="A140" s="5" t="s">
        <v>1505</v>
      </c>
      <c r="B140" s="2">
        <v>284.82</v>
      </c>
    </row>
    <row r="141" spans="1:2" x14ac:dyDescent="0.35">
      <c r="A141" s="5" t="s">
        <v>945</v>
      </c>
      <c r="B141" s="2">
        <v>284.54000000000008</v>
      </c>
    </row>
    <row r="142" spans="1:2" x14ac:dyDescent="0.35">
      <c r="A142" s="5" t="s">
        <v>1807</v>
      </c>
      <c r="B142" s="2">
        <v>284.04999999999995</v>
      </c>
    </row>
    <row r="143" spans="1:2" x14ac:dyDescent="0.35">
      <c r="A143" s="5" t="s">
        <v>2165</v>
      </c>
      <c r="B143" s="2">
        <v>282.44</v>
      </c>
    </row>
    <row r="144" spans="1:2" x14ac:dyDescent="0.35">
      <c r="A144" s="5" t="s">
        <v>889</v>
      </c>
      <c r="B144" s="2">
        <v>279.64</v>
      </c>
    </row>
    <row r="145" spans="1:2" x14ac:dyDescent="0.35">
      <c r="A145" s="5" t="s">
        <v>1236</v>
      </c>
      <c r="B145" s="2">
        <v>279.59000000000003</v>
      </c>
    </row>
    <row r="146" spans="1:2" x14ac:dyDescent="0.35">
      <c r="A146" s="5" t="s">
        <v>988</v>
      </c>
      <c r="B146" s="2">
        <v>278.93</v>
      </c>
    </row>
    <row r="147" spans="1:2" x14ac:dyDescent="0.35">
      <c r="A147" s="5" t="s">
        <v>503</v>
      </c>
      <c r="B147" s="2">
        <v>277.77999999999997</v>
      </c>
    </row>
    <row r="148" spans="1:2" x14ac:dyDescent="0.35">
      <c r="A148" s="5" t="s">
        <v>440</v>
      </c>
      <c r="B148" s="2">
        <v>270.53000000000003</v>
      </c>
    </row>
    <row r="149" spans="1:2" x14ac:dyDescent="0.35">
      <c r="A149" s="5" t="s">
        <v>839</v>
      </c>
      <c r="B149" s="2">
        <v>269.06</v>
      </c>
    </row>
    <row r="150" spans="1:2" x14ac:dyDescent="0.35">
      <c r="A150" s="5" t="s">
        <v>1090</v>
      </c>
      <c r="B150" s="2">
        <v>267.67</v>
      </c>
    </row>
    <row r="151" spans="1:2" x14ac:dyDescent="0.35">
      <c r="A151" s="5" t="s">
        <v>1567</v>
      </c>
      <c r="B151" s="2">
        <v>265.27999999999997</v>
      </c>
    </row>
    <row r="152" spans="1:2" x14ac:dyDescent="0.35">
      <c r="A152" s="5" t="s">
        <v>1232</v>
      </c>
      <c r="B152" s="2">
        <v>265.02</v>
      </c>
    </row>
    <row r="153" spans="1:2" x14ac:dyDescent="0.35">
      <c r="A153" s="5" t="s">
        <v>194</v>
      </c>
      <c r="B153" s="2">
        <v>264.72000000000003</v>
      </c>
    </row>
    <row r="154" spans="1:2" x14ac:dyDescent="0.35">
      <c r="A154" s="5" t="s">
        <v>2138</v>
      </c>
      <c r="B154" s="2">
        <v>264.14999999999998</v>
      </c>
    </row>
    <row r="155" spans="1:2" x14ac:dyDescent="0.35">
      <c r="A155" s="5" t="s">
        <v>534</v>
      </c>
      <c r="B155" s="2">
        <v>262.04000000000002</v>
      </c>
    </row>
    <row r="156" spans="1:2" x14ac:dyDescent="0.35">
      <c r="A156" s="5" t="s">
        <v>1974</v>
      </c>
      <c r="B156" s="2">
        <v>261.49</v>
      </c>
    </row>
    <row r="157" spans="1:2" x14ac:dyDescent="0.35">
      <c r="A157" s="5" t="s">
        <v>16</v>
      </c>
      <c r="B157" s="2">
        <v>258.63</v>
      </c>
    </row>
    <row r="158" spans="1:2" x14ac:dyDescent="0.35">
      <c r="A158" s="5" t="s">
        <v>2372</v>
      </c>
      <c r="B158" s="2">
        <v>257.64999999999998</v>
      </c>
    </row>
    <row r="159" spans="1:2" x14ac:dyDescent="0.35">
      <c r="A159" s="5" t="s">
        <v>1434</v>
      </c>
      <c r="B159" s="2">
        <v>255.43</v>
      </c>
    </row>
    <row r="160" spans="1:2" x14ac:dyDescent="0.35">
      <c r="A160" s="5" t="s">
        <v>1725</v>
      </c>
      <c r="B160" s="2">
        <v>253.00000000000006</v>
      </c>
    </row>
    <row r="161" spans="1:2" x14ac:dyDescent="0.35">
      <c r="A161" s="5" t="s">
        <v>102</v>
      </c>
      <c r="B161" s="2">
        <v>252.32</v>
      </c>
    </row>
    <row r="162" spans="1:2" x14ac:dyDescent="0.35">
      <c r="A162" s="5" t="s">
        <v>1716</v>
      </c>
      <c r="B162" s="2">
        <v>250.12</v>
      </c>
    </row>
    <row r="163" spans="1:2" x14ac:dyDescent="0.35">
      <c r="A163" s="5" t="s">
        <v>1556</v>
      </c>
      <c r="B163" s="2">
        <v>240.26000000000002</v>
      </c>
    </row>
    <row r="164" spans="1:2" x14ac:dyDescent="0.35">
      <c r="A164" s="5" t="s">
        <v>828</v>
      </c>
      <c r="B164" s="2">
        <v>232.58999999999997</v>
      </c>
    </row>
    <row r="165" spans="1:2" x14ac:dyDescent="0.35">
      <c r="A165" s="5" t="s">
        <v>2205</v>
      </c>
      <c r="B165" s="2">
        <v>230.89999999999998</v>
      </c>
    </row>
    <row r="166" spans="1:2" x14ac:dyDescent="0.35">
      <c r="A166" s="5" t="s">
        <v>807</v>
      </c>
      <c r="B166" s="2">
        <v>229.82999999999998</v>
      </c>
    </row>
    <row r="167" spans="1:2" x14ac:dyDescent="0.35">
      <c r="A167" s="5" t="s">
        <v>453</v>
      </c>
      <c r="B167" s="2">
        <v>229.54999999999998</v>
      </c>
    </row>
    <row r="168" spans="1:2" x14ac:dyDescent="0.35">
      <c r="A168" s="5" t="s">
        <v>1794</v>
      </c>
      <c r="B168" s="2">
        <v>229.22000000000003</v>
      </c>
    </row>
    <row r="169" spans="1:2" x14ac:dyDescent="0.35">
      <c r="A169" s="5" t="s">
        <v>377</v>
      </c>
      <c r="B169" s="2">
        <v>229.08999999999997</v>
      </c>
    </row>
    <row r="170" spans="1:2" x14ac:dyDescent="0.35">
      <c r="A170" s="5" t="s">
        <v>1735</v>
      </c>
      <c r="B170" s="2">
        <v>223.26000000000002</v>
      </c>
    </row>
    <row r="171" spans="1:2" x14ac:dyDescent="0.35">
      <c r="A171" s="5" t="s">
        <v>717</v>
      </c>
      <c r="B171" s="2">
        <v>221.35000000000002</v>
      </c>
    </row>
    <row r="172" spans="1:2" x14ac:dyDescent="0.35">
      <c r="A172" s="5" t="s">
        <v>767</v>
      </c>
      <c r="B172" s="2">
        <v>221.04000000000002</v>
      </c>
    </row>
    <row r="173" spans="1:2" x14ac:dyDescent="0.35">
      <c r="A173" s="5" t="s">
        <v>1200</v>
      </c>
      <c r="B173" s="2">
        <v>219.74</v>
      </c>
    </row>
    <row r="174" spans="1:2" x14ac:dyDescent="0.35">
      <c r="A174" s="5" t="s">
        <v>445</v>
      </c>
      <c r="B174" s="2">
        <v>219.28</v>
      </c>
    </row>
    <row r="175" spans="1:2" x14ac:dyDescent="0.35">
      <c r="A175" s="5" t="s">
        <v>248</v>
      </c>
      <c r="B175" s="2">
        <v>218.85000000000002</v>
      </c>
    </row>
    <row r="176" spans="1:2" x14ac:dyDescent="0.35">
      <c r="A176" s="5" t="s">
        <v>614</v>
      </c>
      <c r="B176" s="2">
        <v>218.32999999999998</v>
      </c>
    </row>
    <row r="177" spans="1:2" x14ac:dyDescent="0.35">
      <c r="A177" s="5" t="s">
        <v>1702</v>
      </c>
      <c r="B177" s="2">
        <v>216.06</v>
      </c>
    </row>
    <row r="178" spans="1:2" x14ac:dyDescent="0.35">
      <c r="A178" s="5" t="s">
        <v>361</v>
      </c>
      <c r="B178" s="2">
        <v>214.78000000000003</v>
      </c>
    </row>
    <row r="179" spans="1:2" x14ac:dyDescent="0.35">
      <c r="A179" s="5" t="s">
        <v>845</v>
      </c>
      <c r="B179" s="2">
        <v>214.24</v>
      </c>
    </row>
    <row r="180" spans="1:2" x14ac:dyDescent="0.35">
      <c r="A180" s="5" t="s">
        <v>1645</v>
      </c>
      <c r="B180" s="2">
        <v>213.99</v>
      </c>
    </row>
    <row r="181" spans="1:2" x14ac:dyDescent="0.35">
      <c r="A181" s="5" t="s">
        <v>1871</v>
      </c>
      <c r="B181" s="2">
        <v>212.84</v>
      </c>
    </row>
    <row r="182" spans="1:2" x14ac:dyDescent="0.35">
      <c r="A182" s="5" t="s">
        <v>1548</v>
      </c>
      <c r="B182" s="2">
        <v>212.60000000000002</v>
      </c>
    </row>
    <row r="183" spans="1:2" x14ac:dyDescent="0.35">
      <c r="A183" s="5" t="s">
        <v>848</v>
      </c>
      <c r="B183" s="2">
        <v>211.23</v>
      </c>
    </row>
    <row r="184" spans="1:2" x14ac:dyDescent="0.35">
      <c r="A184" s="5" t="s">
        <v>985</v>
      </c>
      <c r="B184" s="2">
        <v>208.67000000000002</v>
      </c>
    </row>
    <row r="185" spans="1:2" x14ac:dyDescent="0.35">
      <c r="A185" s="5" t="s">
        <v>1500</v>
      </c>
      <c r="B185" s="2">
        <v>208.01999999999998</v>
      </c>
    </row>
    <row r="186" spans="1:2" x14ac:dyDescent="0.35">
      <c r="A186" s="5" t="s">
        <v>1375</v>
      </c>
      <c r="B186" s="2">
        <v>207.83</v>
      </c>
    </row>
    <row r="187" spans="1:2" x14ac:dyDescent="0.35">
      <c r="A187" s="5" t="s">
        <v>96</v>
      </c>
      <c r="B187" s="2">
        <v>206.76</v>
      </c>
    </row>
    <row r="188" spans="1:2" x14ac:dyDescent="0.35">
      <c r="A188" s="5" t="s">
        <v>11</v>
      </c>
      <c r="B188" s="2">
        <v>206.32</v>
      </c>
    </row>
    <row r="189" spans="1:2" x14ac:dyDescent="0.35">
      <c r="A189" s="5" t="s">
        <v>333</v>
      </c>
      <c r="B189" s="2">
        <v>205.48</v>
      </c>
    </row>
    <row r="190" spans="1:2" x14ac:dyDescent="0.35">
      <c r="A190" s="5" t="s">
        <v>1458</v>
      </c>
      <c r="B190" s="2">
        <v>205.00000000000003</v>
      </c>
    </row>
    <row r="191" spans="1:2" x14ac:dyDescent="0.35">
      <c r="A191" s="5" t="s">
        <v>760</v>
      </c>
      <c r="B191" s="2">
        <v>199.97</v>
      </c>
    </row>
    <row r="192" spans="1:2" x14ac:dyDescent="0.35">
      <c r="A192" s="5" t="s">
        <v>467</v>
      </c>
      <c r="B192" s="2">
        <v>199.78</v>
      </c>
    </row>
    <row r="193" spans="1:2" x14ac:dyDescent="0.35">
      <c r="A193" s="5" t="s">
        <v>110</v>
      </c>
      <c r="B193" s="2">
        <v>199.33</v>
      </c>
    </row>
    <row r="194" spans="1:2" x14ac:dyDescent="0.35">
      <c r="A194" s="5" t="s">
        <v>815</v>
      </c>
      <c r="B194" s="2">
        <v>194.72</v>
      </c>
    </row>
    <row r="195" spans="1:2" x14ac:dyDescent="0.35">
      <c r="A195" s="5" t="s">
        <v>1560</v>
      </c>
      <c r="B195" s="2">
        <v>193.48999999999998</v>
      </c>
    </row>
    <row r="196" spans="1:2" x14ac:dyDescent="0.35">
      <c r="A196" s="5" t="s">
        <v>931</v>
      </c>
      <c r="B196" s="2">
        <v>192.63000000000002</v>
      </c>
    </row>
    <row r="197" spans="1:2" x14ac:dyDescent="0.35">
      <c r="A197" s="5" t="s">
        <v>1862</v>
      </c>
      <c r="B197" s="2">
        <v>191.66000000000003</v>
      </c>
    </row>
    <row r="198" spans="1:2" x14ac:dyDescent="0.35">
      <c r="A198" s="5" t="s">
        <v>246</v>
      </c>
      <c r="B198" s="2">
        <v>190.57</v>
      </c>
    </row>
    <row r="199" spans="1:2" x14ac:dyDescent="0.35">
      <c r="A199" s="5" t="s">
        <v>1328</v>
      </c>
      <c r="B199" s="2">
        <v>188.03000000000003</v>
      </c>
    </row>
    <row r="200" spans="1:2" x14ac:dyDescent="0.35">
      <c r="A200" s="5" t="s">
        <v>853</v>
      </c>
      <c r="B200" s="2">
        <v>187.92</v>
      </c>
    </row>
    <row r="201" spans="1:2" x14ac:dyDescent="0.35">
      <c r="A201" s="5" t="s">
        <v>1874</v>
      </c>
      <c r="B201" s="2">
        <v>187.73</v>
      </c>
    </row>
    <row r="202" spans="1:2" x14ac:dyDescent="0.35">
      <c r="A202" s="5" t="s">
        <v>879</v>
      </c>
      <c r="B202" s="2">
        <v>187.38000000000002</v>
      </c>
    </row>
    <row r="203" spans="1:2" x14ac:dyDescent="0.35">
      <c r="A203" s="5" t="s">
        <v>2171</v>
      </c>
      <c r="B203" s="2">
        <v>187.16</v>
      </c>
    </row>
    <row r="204" spans="1:2" x14ac:dyDescent="0.35">
      <c r="A204" s="5" t="s">
        <v>594</v>
      </c>
      <c r="B204" s="2">
        <v>186.79999999999998</v>
      </c>
    </row>
    <row r="205" spans="1:2" x14ac:dyDescent="0.35">
      <c r="A205" s="5" t="s">
        <v>1473</v>
      </c>
      <c r="B205" s="2">
        <v>185.57999999999998</v>
      </c>
    </row>
    <row r="206" spans="1:2" x14ac:dyDescent="0.35">
      <c r="A206" s="5" t="s">
        <v>1175</v>
      </c>
      <c r="B206" s="2">
        <v>185.49</v>
      </c>
    </row>
    <row r="207" spans="1:2" x14ac:dyDescent="0.35">
      <c r="A207" s="5" t="s">
        <v>578</v>
      </c>
      <c r="B207" s="2">
        <v>184.78999999999996</v>
      </c>
    </row>
    <row r="208" spans="1:2" x14ac:dyDescent="0.35">
      <c r="A208" s="5" t="s">
        <v>161</v>
      </c>
      <c r="B208" s="2">
        <v>184.22000000000003</v>
      </c>
    </row>
    <row r="209" spans="1:2" x14ac:dyDescent="0.35">
      <c r="A209" s="5" t="s">
        <v>1783</v>
      </c>
      <c r="B209" s="2">
        <v>184</v>
      </c>
    </row>
    <row r="210" spans="1:2" x14ac:dyDescent="0.35">
      <c r="A210" s="5" t="s">
        <v>664</v>
      </c>
      <c r="B210" s="2">
        <v>183.98999999999998</v>
      </c>
    </row>
    <row r="211" spans="1:2" x14ac:dyDescent="0.35">
      <c r="A211" s="5" t="s">
        <v>401</v>
      </c>
      <c r="B211" s="2">
        <v>182.83</v>
      </c>
    </row>
    <row r="212" spans="1:2" x14ac:dyDescent="0.35">
      <c r="A212" s="5" t="s">
        <v>1460</v>
      </c>
      <c r="B212" s="2">
        <v>182.59</v>
      </c>
    </row>
    <row r="213" spans="1:2" x14ac:dyDescent="0.35">
      <c r="A213" s="5" t="s">
        <v>1706</v>
      </c>
      <c r="B213" s="2">
        <v>182.39999999999998</v>
      </c>
    </row>
    <row r="214" spans="1:2" x14ac:dyDescent="0.35">
      <c r="A214" s="5" t="s">
        <v>227</v>
      </c>
      <c r="B214" s="2">
        <v>182.30999999999997</v>
      </c>
    </row>
    <row r="215" spans="1:2" x14ac:dyDescent="0.35">
      <c r="A215" s="5" t="s">
        <v>2282</v>
      </c>
      <c r="B215" s="2">
        <v>181.21</v>
      </c>
    </row>
    <row r="216" spans="1:2" x14ac:dyDescent="0.35">
      <c r="A216" s="5" t="s">
        <v>367</v>
      </c>
      <c r="B216" s="2">
        <v>179.59</v>
      </c>
    </row>
    <row r="217" spans="1:2" x14ac:dyDescent="0.35">
      <c r="A217" s="5" t="s">
        <v>2199</v>
      </c>
      <c r="B217" s="2">
        <v>179.36</v>
      </c>
    </row>
    <row r="218" spans="1:2" x14ac:dyDescent="0.35">
      <c r="A218" s="5" t="s">
        <v>680</v>
      </c>
      <c r="B218" s="2">
        <v>178.91000000000003</v>
      </c>
    </row>
    <row r="219" spans="1:2" x14ac:dyDescent="0.35">
      <c r="A219" s="5" t="s">
        <v>1124</v>
      </c>
      <c r="B219" s="2">
        <v>178.59</v>
      </c>
    </row>
    <row r="220" spans="1:2" x14ac:dyDescent="0.35">
      <c r="A220" s="5" t="s">
        <v>2004</v>
      </c>
      <c r="B220" s="2">
        <v>177.59</v>
      </c>
    </row>
    <row r="221" spans="1:2" x14ac:dyDescent="0.35">
      <c r="A221" s="5" t="s">
        <v>531</v>
      </c>
      <c r="B221" s="2">
        <v>175.48000000000002</v>
      </c>
    </row>
    <row r="222" spans="1:2" x14ac:dyDescent="0.35">
      <c r="A222" s="5" t="s">
        <v>1033</v>
      </c>
      <c r="B222" s="2">
        <v>173.32000000000005</v>
      </c>
    </row>
    <row r="223" spans="1:2" x14ac:dyDescent="0.35">
      <c r="A223" s="5" t="s">
        <v>601</v>
      </c>
      <c r="B223" s="2">
        <v>173.03</v>
      </c>
    </row>
    <row r="224" spans="1:2" x14ac:dyDescent="0.35">
      <c r="A224" s="5" t="s">
        <v>936</v>
      </c>
      <c r="B224" s="2">
        <v>172.57999999999976</v>
      </c>
    </row>
    <row r="225" spans="1:2" x14ac:dyDescent="0.35">
      <c r="A225" s="5" t="s">
        <v>909</v>
      </c>
      <c r="B225" s="2">
        <v>169.67000000000002</v>
      </c>
    </row>
    <row r="226" spans="1:2" x14ac:dyDescent="0.35">
      <c r="A226" s="5" t="s">
        <v>338</v>
      </c>
      <c r="B226" s="2">
        <v>169.10999999999996</v>
      </c>
    </row>
    <row r="227" spans="1:2" x14ac:dyDescent="0.35">
      <c r="A227" s="5" t="s">
        <v>274</v>
      </c>
      <c r="B227" s="2">
        <v>168.37</v>
      </c>
    </row>
    <row r="228" spans="1:2" x14ac:dyDescent="0.35">
      <c r="A228" s="5" t="s">
        <v>1113</v>
      </c>
      <c r="B228" s="2">
        <v>165.38000000000002</v>
      </c>
    </row>
    <row r="229" spans="1:2" x14ac:dyDescent="0.35">
      <c r="A229" s="5" t="s">
        <v>1882</v>
      </c>
      <c r="B229" s="2">
        <v>164.25</v>
      </c>
    </row>
    <row r="230" spans="1:2" x14ac:dyDescent="0.35">
      <c r="A230" s="5" t="s">
        <v>1333</v>
      </c>
      <c r="B230" s="2">
        <v>161.85</v>
      </c>
    </row>
    <row r="231" spans="1:2" x14ac:dyDescent="0.35">
      <c r="A231" s="5" t="s">
        <v>421</v>
      </c>
      <c r="B231" s="2">
        <v>160.88</v>
      </c>
    </row>
    <row r="232" spans="1:2" x14ac:dyDescent="0.35">
      <c r="A232" s="5" t="s">
        <v>1360</v>
      </c>
      <c r="B232" s="2">
        <v>159.14000000000004</v>
      </c>
    </row>
    <row r="233" spans="1:2" x14ac:dyDescent="0.35">
      <c r="A233" s="5" t="s">
        <v>556</v>
      </c>
      <c r="B233" s="2">
        <v>157.67999999999998</v>
      </c>
    </row>
    <row r="234" spans="1:2" x14ac:dyDescent="0.35">
      <c r="A234" s="5" t="s">
        <v>157</v>
      </c>
      <c r="B234" s="2">
        <v>157.59</v>
      </c>
    </row>
    <row r="235" spans="1:2" x14ac:dyDescent="0.35">
      <c r="A235" s="5" t="s">
        <v>1850</v>
      </c>
      <c r="B235" s="2">
        <v>157.16</v>
      </c>
    </row>
    <row r="236" spans="1:2" x14ac:dyDescent="0.35">
      <c r="A236" s="5" t="s">
        <v>1234</v>
      </c>
      <c r="B236" s="2">
        <v>156.73999999999998</v>
      </c>
    </row>
    <row r="237" spans="1:2" x14ac:dyDescent="0.35">
      <c r="A237" s="5" t="s">
        <v>2258</v>
      </c>
      <c r="B237" s="2">
        <v>156.54</v>
      </c>
    </row>
    <row r="238" spans="1:2" x14ac:dyDescent="0.35">
      <c r="A238" s="5" t="s">
        <v>2194</v>
      </c>
      <c r="B238" s="2">
        <v>156.26</v>
      </c>
    </row>
    <row r="239" spans="1:2" x14ac:dyDescent="0.35">
      <c r="A239" s="5" t="s">
        <v>567</v>
      </c>
      <c r="B239" s="2">
        <v>154.99</v>
      </c>
    </row>
    <row r="240" spans="1:2" x14ac:dyDescent="0.35">
      <c r="A240" s="5" t="s">
        <v>694</v>
      </c>
      <c r="B240" s="2">
        <v>154.80000000000001</v>
      </c>
    </row>
    <row r="241" spans="1:2" x14ac:dyDescent="0.35">
      <c r="A241" s="5" t="s">
        <v>74</v>
      </c>
      <c r="B241" s="2">
        <v>153.02999999999997</v>
      </c>
    </row>
    <row r="242" spans="1:2" x14ac:dyDescent="0.35">
      <c r="A242" s="5" t="s">
        <v>1776</v>
      </c>
      <c r="B242" s="2">
        <v>151.89000000000001</v>
      </c>
    </row>
    <row r="243" spans="1:2" x14ac:dyDescent="0.35">
      <c r="A243" s="5" t="s">
        <v>1239</v>
      </c>
      <c r="B243" s="2">
        <v>151.53</v>
      </c>
    </row>
    <row r="244" spans="1:2" x14ac:dyDescent="0.35">
      <c r="A244" s="5" t="s">
        <v>2285</v>
      </c>
      <c r="B244" s="2">
        <v>149.91</v>
      </c>
    </row>
    <row r="245" spans="1:2" x14ac:dyDescent="0.35">
      <c r="A245" s="5" t="s">
        <v>172</v>
      </c>
      <c r="B245" s="2">
        <v>148.43</v>
      </c>
    </row>
    <row r="246" spans="1:2" x14ac:dyDescent="0.35">
      <c r="A246" s="5" t="s">
        <v>947</v>
      </c>
      <c r="B246" s="2">
        <v>147.58000000000001</v>
      </c>
    </row>
    <row r="247" spans="1:2" x14ac:dyDescent="0.35">
      <c r="A247" s="5" t="s">
        <v>115</v>
      </c>
      <c r="B247" s="2">
        <v>146.72</v>
      </c>
    </row>
    <row r="248" spans="1:2" x14ac:dyDescent="0.35">
      <c r="A248" s="5" t="s">
        <v>1674</v>
      </c>
      <c r="B248" s="2">
        <v>145.35</v>
      </c>
    </row>
    <row r="249" spans="1:2" x14ac:dyDescent="0.35">
      <c r="A249" s="5" t="s">
        <v>1470</v>
      </c>
      <c r="B249" s="2">
        <v>144.35</v>
      </c>
    </row>
    <row r="250" spans="1:2" x14ac:dyDescent="0.35">
      <c r="A250" s="5" t="s">
        <v>1018</v>
      </c>
      <c r="B250" s="2">
        <v>143.55000000000001</v>
      </c>
    </row>
    <row r="251" spans="1:2" x14ac:dyDescent="0.35">
      <c r="A251" s="5" t="s">
        <v>870</v>
      </c>
      <c r="B251" s="2">
        <v>141.72999999999999</v>
      </c>
    </row>
    <row r="252" spans="1:2" x14ac:dyDescent="0.35">
      <c r="A252" s="5" t="s">
        <v>1292</v>
      </c>
      <c r="B252" s="2">
        <v>141.25</v>
      </c>
    </row>
    <row r="253" spans="1:2" x14ac:dyDescent="0.35">
      <c r="A253" s="5" t="s">
        <v>1345</v>
      </c>
      <c r="B253" s="2">
        <v>140.92999999999998</v>
      </c>
    </row>
    <row r="254" spans="1:2" x14ac:dyDescent="0.35">
      <c r="A254" s="5" t="s">
        <v>1687</v>
      </c>
      <c r="B254" s="2">
        <v>140.80000000000001</v>
      </c>
    </row>
    <row r="255" spans="1:2" x14ac:dyDescent="0.35">
      <c r="A255" s="5" t="s">
        <v>1045</v>
      </c>
      <c r="B255" s="2">
        <v>139.26000000000002</v>
      </c>
    </row>
    <row r="256" spans="1:2" x14ac:dyDescent="0.35">
      <c r="A256" s="5" t="s">
        <v>893</v>
      </c>
      <c r="B256" s="2">
        <v>138.30999999999997</v>
      </c>
    </row>
    <row r="257" spans="1:2" x14ac:dyDescent="0.35">
      <c r="A257" s="5" t="s">
        <v>138</v>
      </c>
      <c r="B257" s="2">
        <v>138.11999999999998</v>
      </c>
    </row>
    <row r="258" spans="1:2" x14ac:dyDescent="0.35">
      <c r="A258" s="5" t="s">
        <v>548</v>
      </c>
      <c r="B258" s="2">
        <v>137.72</v>
      </c>
    </row>
    <row r="259" spans="1:2" x14ac:dyDescent="0.35">
      <c r="A259" s="5" t="s">
        <v>2318</v>
      </c>
      <c r="B259" s="2">
        <v>137.46</v>
      </c>
    </row>
    <row r="260" spans="1:2" x14ac:dyDescent="0.35">
      <c r="A260" s="5" t="s">
        <v>1986</v>
      </c>
      <c r="B260" s="2">
        <v>137.08000000000001</v>
      </c>
    </row>
    <row r="261" spans="1:2" x14ac:dyDescent="0.35">
      <c r="A261" s="5" t="s">
        <v>1494</v>
      </c>
      <c r="B261" s="2">
        <v>134.62</v>
      </c>
    </row>
    <row r="262" spans="1:2" x14ac:dyDescent="0.35">
      <c r="A262" s="5" t="s">
        <v>2275</v>
      </c>
      <c r="B262" s="2">
        <v>133.21</v>
      </c>
    </row>
    <row r="263" spans="1:2" x14ac:dyDescent="0.35">
      <c r="A263" s="5" t="s">
        <v>1158</v>
      </c>
      <c r="B263" s="2">
        <v>133.05000000000001</v>
      </c>
    </row>
    <row r="264" spans="1:2" x14ac:dyDescent="0.35">
      <c r="A264" s="5" t="s">
        <v>2253</v>
      </c>
      <c r="B264" s="2">
        <v>131.89000000000001</v>
      </c>
    </row>
    <row r="265" spans="1:2" x14ac:dyDescent="0.35">
      <c r="A265" s="5" t="s">
        <v>595</v>
      </c>
      <c r="B265" s="2">
        <v>131.86000000000001</v>
      </c>
    </row>
    <row r="266" spans="1:2" x14ac:dyDescent="0.35">
      <c r="A266" s="5" t="s">
        <v>1463</v>
      </c>
      <c r="B266" s="2">
        <v>131.07999999999998</v>
      </c>
    </row>
    <row r="267" spans="1:2" x14ac:dyDescent="0.35">
      <c r="A267" s="5" t="s">
        <v>566</v>
      </c>
      <c r="B267" s="2">
        <v>130.33999999999997</v>
      </c>
    </row>
    <row r="268" spans="1:2" x14ac:dyDescent="0.35">
      <c r="A268" s="5" t="s">
        <v>1047</v>
      </c>
      <c r="B268" s="2">
        <v>129.07000000000002</v>
      </c>
    </row>
    <row r="269" spans="1:2" x14ac:dyDescent="0.35">
      <c r="A269" s="5" t="s">
        <v>210</v>
      </c>
      <c r="B269" s="2">
        <v>128.51</v>
      </c>
    </row>
    <row r="270" spans="1:2" x14ac:dyDescent="0.35">
      <c r="A270" s="5" t="s">
        <v>1936</v>
      </c>
      <c r="B270" s="2">
        <v>126.9</v>
      </c>
    </row>
    <row r="271" spans="1:2" x14ac:dyDescent="0.35">
      <c r="A271" s="5" t="s">
        <v>2179</v>
      </c>
      <c r="B271" s="2">
        <v>126.69</v>
      </c>
    </row>
    <row r="272" spans="1:2" x14ac:dyDescent="0.35">
      <c r="A272" s="5" t="s">
        <v>1909</v>
      </c>
      <c r="B272" s="2">
        <v>125.88</v>
      </c>
    </row>
    <row r="273" spans="1:2" x14ac:dyDescent="0.35">
      <c r="A273" s="5" t="s">
        <v>2264</v>
      </c>
      <c r="B273" s="2">
        <v>125.82</v>
      </c>
    </row>
    <row r="274" spans="1:2" x14ac:dyDescent="0.35">
      <c r="A274" s="5" t="s">
        <v>1984</v>
      </c>
      <c r="B274" s="2">
        <v>124.19</v>
      </c>
    </row>
    <row r="275" spans="1:2" x14ac:dyDescent="0.35">
      <c r="A275" s="5" t="s">
        <v>1922</v>
      </c>
      <c r="B275" s="2">
        <v>123.72</v>
      </c>
    </row>
    <row r="276" spans="1:2" x14ac:dyDescent="0.35">
      <c r="A276" s="5" t="s">
        <v>1264</v>
      </c>
      <c r="B276" s="2">
        <v>123.22</v>
      </c>
    </row>
    <row r="277" spans="1:2" x14ac:dyDescent="0.35">
      <c r="A277" s="5" t="s">
        <v>676</v>
      </c>
      <c r="B277" s="2">
        <v>123.05</v>
      </c>
    </row>
    <row r="278" spans="1:2" x14ac:dyDescent="0.35">
      <c r="A278" s="5" t="s">
        <v>713</v>
      </c>
      <c r="B278" s="2">
        <v>122.35000000000001</v>
      </c>
    </row>
    <row r="279" spans="1:2" x14ac:dyDescent="0.35">
      <c r="A279" s="5" t="s">
        <v>1801</v>
      </c>
      <c r="B279" s="2">
        <v>120.86000000000001</v>
      </c>
    </row>
    <row r="280" spans="1:2" x14ac:dyDescent="0.35">
      <c r="A280" s="5" t="s">
        <v>2148</v>
      </c>
      <c r="B280" s="2">
        <v>119.17</v>
      </c>
    </row>
    <row r="281" spans="1:2" x14ac:dyDescent="0.35">
      <c r="A281" s="5" t="s">
        <v>2261</v>
      </c>
      <c r="B281" s="2">
        <v>118.9</v>
      </c>
    </row>
    <row r="282" spans="1:2" x14ac:dyDescent="0.35">
      <c r="A282" s="5" t="s">
        <v>835</v>
      </c>
      <c r="B282" s="2">
        <v>118.79</v>
      </c>
    </row>
    <row r="283" spans="1:2" x14ac:dyDescent="0.35">
      <c r="A283" s="5" t="s">
        <v>1940</v>
      </c>
      <c r="B283" s="2">
        <v>118.22999999999999</v>
      </c>
    </row>
    <row r="284" spans="1:2" x14ac:dyDescent="0.35">
      <c r="A284" s="5" t="s">
        <v>569</v>
      </c>
      <c r="B284" s="2">
        <v>118.22</v>
      </c>
    </row>
    <row r="285" spans="1:2" x14ac:dyDescent="0.35">
      <c r="A285" s="5" t="s">
        <v>2340</v>
      </c>
      <c r="B285" s="2">
        <v>116.94</v>
      </c>
    </row>
    <row r="286" spans="1:2" x14ac:dyDescent="0.35">
      <c r="A286" s="5" t="s">
        <v>1638</v>
      </c>
      <c r="B286" s="2">
        <v>116.35</v>
      </c>
    </row>
    <row r="287" spans="1:2" x14ac:dyDescent="0.35">
      <c r="A287" s="5" t="s">
        <v>2232</v>
      </c>
      <c r="B287" s="2">
        <v>115.59</v>
      </c>
    </row>
    <row r="288" spans="1:2" x14ac:dyDescent="0.35">
      <c r="A288" s="5" t="s">
        <v>489</v>
      </c>
      <c r="B288" s="2">
        <v>113.85</v>
      </c>
    </row>
    <row r="289" spans="1:2" x14ac:dyDescent="0.35">
      <c r="A289" s="5" t="s">
        <v>2366</v>
      </c>
      <c r="B289" s="2">
        <v>113.54</v>
      </c>
    </row>
    <row r="290" spans="1:2" x14ac:dyDescent="0.35">
      <c r="A290" s="5" t="s">
        <v>539</v>
      </c>
      <c r="B290" s="2">
        <v>113.13</v>
      </c>
    </row>
    <row r="291" spans="1:2" x14ac:dyDescent="0.35">
      <c r="A291" s="5" t="s">
        <v>970</v>
      </c>
      <c r="B291" s="2">
        <v>111.68</v>
      </c>
    </row>
    <row r="292" spans="1:2" x14ac:dyDescent="0.35">
      <c r="A292" s="5" t="s">
        <v>1774</v>
      </c>
      <c r="B292" s="2">
        <v>111.42</v>
      </c>
    </row>
    <row r="293" spans="1:2" x14ac:dyDescent="0.35">
      <c r="A293" s="5" t="s">
        <v>1000</v>
      </c>
      <c r="B293" s="2">
        <v>111.41</v>
      </c>
    </row>
    <row r="294" spans="1:2" x14ac:dyDescent="0.35">
      <c r="A294" s="5" t="s">
        <v>1020</v>
      </c>
      <c r="B294" s="2">
        <v>111.34000000000002</v>
      </c>
    </row>
    <row r="295" spans="1:2" x14ac:dyDescent="0.35">
      <c r="A295" s="5" t="s">
        <v>254</v>
      </c>
      <c r="B295" s="2">
        <v>110.81</v>
      </c>
    </row>
    <row r="296" spans="1:2" x14ac:dyDescent="0.35">
      <c r="A296" s="5" t="s">
        <v>1713</v>
      </c>
      <c r="B296" s="2">
        <v>110.53999999999999</v>
      </c>
    </row>
    <row r="297" spans="1:2" x14ac:dyDescent="0.35">
      <c r="A297" s="5" t="s">
        <v>769</v>
      </c>
      <c r="B297" s="2">
        <v>110.03</v>
      </c>
    </row>
    <row r="298" spans="1:2" x14ac:dyDescent="0.35">
      <c r="A298" s="5" t="s">
        <v>878</v>
      </c>
      <c r="B298" s="2">
        <v>109.79</v>
      </c>
    </row>
    <row r="299" spans="1:2" x14ac:dyDescent="0.35">
      <c r="A299" s="5" t="s">
        <v>1230</v>
      </c>
      <c r="B299" s="2">
        <v>109.07999999999998</v>
      </c>
    </row>
    <row r="300" spans="1:2" x14ac:dyDescent="0.35">
      <c r="A300" s="5" t="s">
        <v>2218</v>
      </c>
      <c r="B300" s="2">
        <v>108.8</v>
      </c>
    </row>
    <row r="301" spans="1:2" x14ac:dyDescent="0.35">
      <c r="A301" s="5" t="s">
        <v>422</v>
      </c>
      <c r="B301" s="2">
        <v>108.08999999999999</v>
      </c>
    </row>
    <row r="302" spans="1:2" x14ac:dyDescent="0.35">
      <c r="A302" s="5" t="s">
        <v>1287</v>
      </c>
      <c r="B302" s="2">
        <v>107.05</v>
      </c>
    </row>
    <row r="303" spans="1:2" x14ac:dyDescent="0.35">
      <c r="A303" s="5" t="s">
        <v>2265</v>
      </c>
      <c r="B303" s="2">
        <v>106.97</v>
      </c>
    </row>
    <row r="304" spans="1:2" x14ac:dyDescent="0.35">
      <c r="A304" s="5" t="s">
        <v>1841</v>
      </c>
      <c r="B304" s="2">
        <v>106.95000000000002</v>
      </c>
    </row>
    <row r="305" spans="1:2" x14ac:dyDescent="0.35">
      <c r="A305" s="5" t="s">
        <v>1117</v>
      </c>
      <c r="B305" s="2">
        <v>106.83999999999999</v>
      </c>
    </row>
    <row r="306" spans="1:2" x14ac:dyDescent="0.35">
      <c r="A306" s="5" t="s">
        <v>1007</v>
      </c>
      <c r="B306" s="2">
        <v>106.62999999999998</v>
      </c>
    </row>
    <row r="307" spans="1:2" x14ac:dyDescent="0.35">
      <c r="A307" s="5" t="s">
        <v>201</v>
      </c>
      <c r="B307" s="2">
        <v>105.97000000000001</v>
      </c>
    </row>
    <row r="308" spans="1:2" x14ac:dyDescent="0.35">
      <c r="A308" s="5" t="s">
        <v>1681</v>
      </c>
      <c r="B308" s="2">
        <v>105.53999999999999</v>
      </c>
    </row>
    <row r="309" spans="1:2" x14ac:dyDescent="0.35">
      <c r="A309" s="5" t="s">
        <v>804</v>
      </c>
      <c r="B309" s="2">
        <v>105.44000000000001</v>
      </c>
    </row>
    <row r="310" spans="1:2" x14ac:dyDescent="0.35">
      <c r="A310" s="5" t="s">
        <v>61</v>
      </c>
      <c r="B310" s="2">
        <v>104.79</v>
      </c>
    </row>
    <row r="311" spans="1:2" x14ac:dyDescent="0.35">
      <c r="A311" s="5" t="s">
        <v>721</v>
      </c>
      <c r="B311" s="2">
        <v>104.25</v>
      </c>
    </row>
    <row r="312" spans="1:2" x14ac:dyDescent="0.35">
      <c r="A312" s="5" t="s">
        <v>1064</v>
      </c>
      <c r="B312" s="2">
        <v>103.92</v>
      </c>
    </row>
    <row r="313" spans="1:2" x14ac:dyDescent="0.35">
      <c r="A313" s="5" t="s">
        <v>179</v>
      </c>
      <c r="B313" s="2">
        <v>103.47999999999999</v>
      </c>
    </row>
    <row r="314" spans="1:2" x14ac:dyDescent="0.35">
      <c r="A314" s="5" t="s">
        <v>1339</v>
      </c>
      <c r="B314" s="2">
        <v>103.27000000000001</v>
      </c>
    </row>
    <row r="315" spans="1:2" x14ac:dyDescent="0.35">
      <c r="A315" s="5" t="s">
        <v>691</v>
      </c>
      <c r="B315" s="2">
        <v>103.02000000000001</v>
      </c>
    </row>
    <row r="316" spans="1:2" x14ac:dyDescent="0.35">
      <c r="A316" s="5" t="s">
        <v>1745</v>
      </c>
      <c r="B316" s="2">
        <v>102.7</v>
      </c>
    </row>
    <row r="317" spans="1:2" x14ac:dyDescent="0.35">
      <c r="A317" s="5" t="s">
        <v>1107</v>
      </c>
      <c r="B317" s="2">
        <v>102.38999999999999</v>
      </c>
    </row>
    <row r="318" spans="1:2" x14ac:dyDescent="0.35">
      <c r="A318" s="5" t="s">
        <v>1398</v>
      </c>
      <c r="B318" s="2">
        <v>101.82000000000002</v>
      </c>
    </row>
    <row r="319" spans="1:2" x14ac:dyDescent="0.35">
      <c r="A319" s="5" t="s">
        <v>1066</v>
      </c>
      <c r="B319" s="2">
        <v>100.94</v>
      </c>
    </row>
    <row r="320" spans="1:2" x14ac:dyDescent="0.35">
      <c r="A320" s="5" t="s">
        <v>1129</v>
      </c>
      <c r="B320" s="2">
        <v>100.93</v>
      </c>
    </row>
    <row r="321" spans="1:2" x14ac:dyDescent="0.35">
      <c r="A321" s="5" t="s">
        <v>177</v>
      </c>
      <c r="B321" s="2">
        <v>100.38</v>
      </c>
    </row>
    <row r="322" spans="1:2" x14ac:dyDescent="0.35">
      <c r="A322" s="5" t="s">
        <v>2203</v>
      </c>
      <c r="B322" s="2">
        <v>97.339999999999989</v>
      </c>
    </row>
    <row r="323" spans="1:2" x14ac:dyDescent="0.35">
      <c r="A323" s="5" t="s">
        <v>510</v>
      </c>
      <c r="B323" s="2">
        <v>97.259999999999991</v>
      </c>
    </row>
    <row r="324" spans="1:2" x14ac:dyDescent="0.35">
      <c r="A324" s="5" t="s">
        <v>564</v>
      </c>
      <c r="B324" s="2">
        <v>95.919999999999987</v>
      </c>
    </row>
    <row r="325" spans="1:2" x14ac:dyDescent="0.35">
      <c r="A325" s="5" t="s">
        <v>1934</v>
      </c>
      <c r="B325" s="2">
        <v>94.960000000000008</v>
      </c>
    </row>
    <row r="326" spans="1:2" x14ac:dyDescent="0.35">
      <c r="A326" s="5" t="s">
        <v>991</v>
      </c>
      <c r="B326" s="2">
        <v>94.799999999999983</v>
      </c>
    </row>
    <row r="327" spans="1:2" x14ac:dyDescent="0.35">
      <c r="A327" s="5" t="s">
        <v>1330</v>
      </c>
      <c r="B327" s="2">
        <v>93.600000000000009</v>
      </c>
    </row>
    <row r="328" spans="1:2" x14ac:dyDescent="0.35">
      <c r="A328" s="5" t="s">
        <v>2211</v>
      </c>
      <c r="B328" s="2">
        <v>92.600000000000009</v>
      </c>
    </row>
    <row r="329" spans="1:2" x14ac:dyDescent="0.35">
      <c r="A329" s="5" t="s">
        <v>2118</v>
      </c>
      <c r="B329" s="2">
        <v>91.34</v>
      </c>
    </row>
    <row r="330" spans="1:2" x14ac:dyDescent="0.35">
      <c r="A330" s="5" t="s">
        <v>1136</v>
      </c>
      <c r="B330" s="2">
        <v>90.839999999999989</v>
      </c>
    </row>
    <row r="331" spans="1:2" x14ac:dyDescent="0.35">
      <c r="A331" s="5" t="s">
        <v>450</v>
      </c>
      <c r="B331" s="2">
        <v>90</v>
      </c>
    </row>
    <row r="332" spans="1:2" x14ac:dyDescent="0.35">
      <c r="A332" s="5" t="s">
        <v>1973</v>
      </c>
      <c r="B332" s="2">
        <v>89.9</v>
      </c>
    </row>
    <row r="333" spans="1:2" x14ac:dyDescent="0.35">
      <c r="A333" s="5" t="s">
        <v>1271</v>
      </c>
      <c r="B333" s="2">
        <v>89.22</v>
      </c>
    </row>
    <row r="334" spans="1:2" x14ac:dyDescent="0.35">
      <c r="A334" s="5" t="s">
        <v>674</v>
      </c>
      <c r="B334" s="2">
        <v>88.340000000000018</v>
      </c>
    </row>
    <row r="335" spans="1:2" x14ac:dyDescent="0.35">
      <c r="A335" s="5" t="s">
        <v>1614</v>
      </c>
      <c r="B335" s="2">
        <v>84.81</v>
      </c>
    </row>
    <row r="336" spans="1:2" x14ac:dyDescent="0.35">
      <c r="A336" s="5" t="s">
        <v>470</v>
      </c>
      <c r="B336" s="2">
        <v>84.36</v>
      </c>
    </row>
    <row r="337" spans="1:2" x14ac:dyDescent="0.35">
      <c r="A337" s="5" t="s">
        <v>223</v>
      </c>
      <c r="B337" s="2">
        <v>83.350000000000009</v>
      </c>
    </row>
    <row r="338" spans="1:2" x14ac:dyDescent="0.35">
      <c r="A338" s="5" t="s">
        <v>1023</v>
      </c>
      <c r="B338" s="2">
        <v>83.06</v>
      </c>
    </row>
    <row r="339" spans="1:2" x14ac:dyDescent="0.35">
      <c r="A339" s="5" t="s">
        <v>1082</v>
      </c>
      <c r="B339" s="2">
        <v>82.5</v>
      </c>
    </row>
    <row r="340" spans="1:2" x14ac:dyDescent="0.35">
      <c r="A340" s="5" t="s">
        <v>981</v>
      </c>
      <c r="B340" s="2">
        <v>81.97</v>
      </c>
    </row>
    <row r="341" spans="1:2" x14ac:dyDescent="0.35">
      <c r="A341" s="5" t="s">
        <v>2187</v>
      </c>
      <c r="B341" s="2">
        <v>81.83</v>
      </c>
    </row>
    <row r="342" spans="1:2" x14ac:dyDescent="0.35">
      <c r="A342" s="5" t="s">
        <v>1818</v>
      </c>
      <c r="B342" s="2">
        <v>81.7</v>
      </c>
    </row>
    <row r="343" spans="1:2" x14ac:dyDescent="0.35">
      <c r="A343" s="5" t="s">
        <v>1994</v>
      </c>
      <c r="B343" s="2">
        <v>81.66</v>
      </c>
    </row>
    <row r="344" spans="1:2" x14ac:dyDescent="0.35">
      <c r="A344" s="5" t="s">
        <v>777</v>
      </c>
      <c r="B344" s="2">
        <v>81.14</v>
      </c>
    </row>
    <row r="345" spans="1:2" x14ac:dyDescent="0.35">
      <c r="A345" s="5" t="s">
        <v>483</v>
      </c>
      <c r="B345" s="2">
        <v>80.19</v>
      </c>
    </row>
    <row r="346" spans="1:2" x14ac:dyDescent="0.35">
      <c r="A346" s="5" t="s">
        <v>142</v>
      </c>
      <c r="B346" s="2">
        <v>79.88000000000001</v>
      </c>
    </row>
    <row r="347" spans="1:2" x14ac:dyDescent="0.35">
      <c r="A347" s="5" t="s">
        <v>148</v>
      </c>
      <c r="B347" s="2">
        <v>79.83</v>
      </c>
    </row>
    <row r="348" spans="1:2" x14ac:dyDescent="0.35">
      <c r="A348" s="5" t="s">
        <v>2146</v>
      </c>
      <c r="B348" s="2">
        <v>79.28</v>
      </c>
    </row>
    <row r="349" spans="1:2" x14ac:dyDescent="0.35">
      <c r="A349" s="5" t="s">
        <v>519</v>
      </c>
      <c r="B349" s="2">
        <v>79.009999999999991</v>
      </c>
    </row>
    <row r="350" spans="1:2" x14ac:dyDescent="0.35">
      <c r="A350" s="5" t="s">
        <v>284</v>
      </c>
      <c r="B350" s="2">
        <v>78.580000000000013</v>
      </c>
    </row>
    <row r="351" spans="1:2" x14ac:dyDescent="0.35">
      <c r="A351" s="5" t="s">
        <v>875</v>
      </c>
      <c r="B351" s="2">
        <v>78.53</v>
      </c>
    </row>
    <row r="352" spans="1:2" x14ac:dyDescent="0.35">
      <c r="A352" s="5" t="s">
        <v>506</v>
      </c>
      <c r="B352" s="2">
        <v>78.5</v>
      </c>
    </row>
    <row r="353" spans="1:2" x14ac:dyDescent="0.35">
      <c r="A353" s="5" t="s">
        <v>1525</v>
      </c>
      <c r="B353" s="2">
        <v>77.589999999999989</v>
      </c>
    </row>
    <row r="354" spans="1:2" x14ac:dyDescent="0.35">
      <c r="A354" s="5" t="s">
        <v>743</v>
      </c>
      <c r="B354" s="2">
        <v>76.97999999999999</v>
      </c>
    </row>
    <row r="355" spans="1:2" x14ac:dyDescent="0.35">
      <c r="A355" s="5" t="s">
        <v>1134</v>
      </c>
      <c r="B355" s="2">
        <v>76.460000000000008</v>
      </c>
    </row>
    <row r="356" spans="1:2" x14ac:dyDescent="0.35">
      <c r="A356" s="5" t="s">
        <v>1164</v>
      </c>
      <c r="B356" s="2">
        <v>75.92</v>
      </c>
    </row>
    <row r="357" spans="1:2" x14ac:dyDescent="0.35">
      <c r="A357" s="5" t="s">
        <v>1749</v>
      </c>
      <c r="B357" s="2">
        <v>74.849999999999994</v>
      </c>
    </row>
    <row r="358" spans="1:2" x14ac:dyDescent="0.35">
      <c r="A358" s="5" t="s">
        <v>325</v>
      </c>
      <c r="B358" s="2">
        <v>74.53</v>
      </c>
    </row>
    <row r="359" spans="1:2" x14ac:dyDescent="0.35">
      <c r="A359" s="5" t="s">
        <v>222</v>
      </c>
      <c r="B359" s="2">
        <v>74.510000000000005</v>
      </c>
    </row>
    <row r="360" spans="1:2" x14ac:dyDescent="0.35">
      <c r="A360" s="5" t="s">
        <v>1283</v>
      </c>
      <c r="B360" s="2">
        <v>73.52000000000001</v>
      </c>
    </row>
    <row r="361" spans="1:2" x14ac:dyDescent="0.35">
      <c r="A361" s="5" t="s">
        <v>1795</v>
      </c>
      <c r="B361" s="2">
        <v>73.209999999999994</v>
      </c>
    </row>
    <row r="362" spans="1:2" x14ac:dyDescent="0.35">
      <c r="A362" s="5" t="s">
        <v>995</v>
      </c>
      <c r="B362" s="2">
        <v>72.61</v>
      </c>
    </row>
    <row r="363" spans="1:2" x14ac:dyDescent="0.35">
      <c r="A363" s="5" t="s">
        <v>2046</v>
      </c>
      <c r="B363" s="2">
        <v>72.540000000000006</v>
      </c>
    </row>
    <row r="364" spans="1:2" x14ac:dyDescent="0.35">
      <c r="A364" s="5" t="s">
        <v>2044</v>
      </c>
      <c r="B364" s="2">
        <v>71.989999999999995</v>
      </c>
    </row>
    <row r="365" spans="1:2" x14ac:dyDescent="0.35">
      <c r="A365" s="5" t="s">
        <v>516</v>
      </c>
      <c r="B365" s="2">
        <v>71.930000000000035</v>
      </c>
    </row>
    <row r="366" spans="1:2" x14ac:dyDescent="0.35">
      <c r="A366" s="5" t="s">
        <v>1118</v>
      </c>
      <c r="B366" s="2">
        <v>71.289999999999992</v>
      </c>
    </row>
    <row r="367" spans="1:2" x14ac:dyDescent="0.35">
      <c r="A367" s="5" t="s">
        <v>1442</v>
      </c>
      <c r="B367" s="2">
        <v>71.22</v>
      </c>
    </row>
    <row r="368" spans="1:2" x14ac:dyDescent="0.35">
      <c r="A368" s="5" t="s">
        <v>2128</v>
      </c>
      <c r="B368" s="2">
        <v>71.180000000000007</v>
      </c>
    </row>
    <row r="369" spans="1:2" x14ac:dyDescent="0.35">
      <c r="A369" s="5" t="s">
        <v>1810</v>
      </c>
      <c r="B369" s="2">
        <v>71.12</v>
      </c>
    </row>
    <row r="370" spans="1:2" x14ac:dyDescent="0.35">
      <c r="A370" s="5" t="s">
        <v>76</v>
      </c>
      <c r="B370" s="2">
        <v>70.679999999999993</v>
      </c>
    </row>
    <row r="371" spans="1:2" x14ac:dyDescent="0.35">
      <c r="A371" s="5" t="s">
        <v>667</v>
      </c>
      <c r="B371" s="2">
        <v>70.180000000000007</v>
      </c>
    </row>
    <row r="372" spans="1:2" x14ac:dyDescent="0.35">
      <c r="A372" s="5" t="s">
        <v>21</v>
      </c>
      <c r="B372" s="2">
        <v>70.12</v>
      </c>
    </row>
    <row r="373" spans="1:2" x14ac:dyDescent="0.35">
      <c r="A373" s="5" t="s">
        <v>1444</v>
      </c>
      <c r="B373" s="2">
        <v>69.510000000000005</v>
      </c>
    </row>
    <row r="374" spans="1:2" x14ac:dyDescent="0.35">
      <c r="A374" s="5" t="s">
        <v>1179</v>
      </c>
      <c r="B374" s="2">
        <v>68.510000000000005</v>
      </c>
    </row>
    <row r="375" spans="1:2" x14ac:dyDescent="0.35">
      <c r="A375" s="5" t="s">
        <v>993</v>
      </c>
      <c r="B375" s="2">
        <v>67.899999999999991</v>
      </c>
    </row>
    <row r="376" spans="1:2" x14ac:dyDescent="0.35">
      <c r="A376" s="5" t="s">
        <v>2029</v>
      </c>
      <c r="B376" s="2">
        <v>66.569999999999993</v>
      </c>
    </row>
    <row r="377" spans="1:2" x14ac:dyDescent="0.35">
      <c r="A377" s="5" t="s">
        <v>731</v>
      </c>
      <c r="B377" s="2">
        <v>66.13</v>
      </c>
    </row>
    <row r="378" spans="1:2" x14ac:dyDescent="0.35">
      <c r="A378" s="5" t="s">
        <v>1623</v>
      </c>
      <c r="B378" s="2">
        <v>66.039999999999992</v>
      </c>
    </row>
    <row r="379" spans="1:2" x14ac:dyDescent="0.35">
      <c r="A379" s="5" t="s">
        <v>573</v>
      </c>
      <c r="B379" s="2">
        <v>66.02</v>
      </c>
    </row>
    <row r="380" spans="1:2" x14ac:dyDescent="0.35">
      <c r="A380" s="5" t="s">
        <v>2057</v>
      </c>
      <c r="B380" s="2">
        <v>65.900000000000006</v>
      </c>
    </row>
    <row r="381" spans="1:2" x14ac:dyDescent="0.35">
      <c r="A381" s="5" t="s">
        <v>1112</v>
      </c>
      <c r="B381" s="2">
        <v>65.63</v>
      </c>
    </row>
    <row r="382" spans="1:2" x14ac:dyDescent="0.35">
      <c r="A382" s="5" t="s">
        <v>542</v>
      </c>
      <c r="B382" s="2">
        <v>64.5</v>
      </c>
    </row>
    <row r="383" spans="1:2" x14ac:dyDescent="0.35">
      <c r="A383" s="5" t="s">
        <v>1688</v>
      </c>
      <c r="B383" s="2">
        <v>64.11</v>
      </c>
    </row>
    <row r="384" spans="1:2" x14ac:dyDescent="0.35">
      <c r="A384" s="5" t="s">
        <v>1515</v>
      </c>
      <c r="B384" s="2">
        <v>63.949999999999967</v>
      </c>
    </row>
    <row r="385" spans="1:2" x14ac:dyDescent="0.35">
      <c r="A385" s="5" t="s">
        <v>1924</v>
      </c>
      <c r="B385" s="2">
        <v>62.82</v>
      </c>
    </row>
    <row r="386" spans="1:2" x14ac:dyDescent="0.35">
      <c r="A386" s="5" t="s">
        <v>2002</v>
      </c>
      <c r="B386" s="2">
        <v>62.589999999999989</v>
      </c>
    </row>
    <row r="387" spans="1:2" x14ac:dyDescent="0.35">
      <c r="A387" s="5" t="s">
        <v>2093</v>
      </c>
      <c r="B387" s="2">
        <v>62.17</v>
      </c>
    </row>
    <row r="388" spans="1:2" x14ac:dyDescent="0.35">
      <c r="A388" s="5" t="s">
        <v>2087</v>
      </c>
      <c r="B388" s="2">
        <v>61.75</v>
      </c>
    </row>
    <row r="389" spans="1:2" x14ac:dyDescent="0.35">
      <c r="A389" s="5" t="s">
        <v>1472</v>
      </c>
      <c r="B389" s="2">
        <v>61.709999999999994</v>
      </c>
    </row>
    <row r="390" spans="1:2" x14ac:dyDescent="0.35">
      <c r="A390" s="5" t="s">
        <v>1181</v>
      </c>
      <c r="B390" s="2">
        <v>61.370000000000005</v>
      </c>
    </row>
    <row r="391" spans="1:2" x14ac:dyDescent="0.35">
      <c r="A391" s="5" t="s">
        <v>88</v>
      </c>
      <c r="B391" s="2">
        <v>61.14</v>
      </c>
    </row>
    <row r="392" spans="1:2" x14ac:dyDescent="0.35">
      <c r="A392" s="5" t="s">
        <v>1609</v>
      </c>
      <c r="B392" s="2">
        <v>61.05</v>
      </c>
    </row>
    <row r="393" spans="1:2" x14ac:dyDescent="0.35">
      <c r="A393" s="5" t="s">
        <v>420</v>
      </c>
      <c r="B393" s="2">
        <v>60.740000000000009</v>
      </c>
    </row>
    <row r="394" spans="1:2" x14ac:dyDescent="0.35">
      <c r="A394" s="5" t="s">
        <v>1366</v>
      </c>
      <c r="B394" s="2">
        <v>60.220000000000006</v>
      </c>
    </row>
    <row r="395" spans="1:2" x14ac:dyDescent="0.35">
      <c r="A395" s="5" t="s">
        <v>208</v>
      </c>
      <c r="B395" s="2">
        <v>59.959999999999994</v>
      </c>
    </row>
    <row r="396" spans="1:2" x14ac:dyDescent="0.35">
      <c r="A396" s="5" t="s">
        <v>1777</v>
      </c>
      <c r="B396" s="2">
        <v>59.62</v>
      </c>
    </row>
    <row r="397" spans="1:2" x14ac:dyDescent="0.35">
      <c r="A397" s="5" t="s">
        <v>91</v>
      </c>
      <c r="B397" s="2">
        <v>59.039999999999992</v>
      </c>
    </row>
    <row r="398" spans="1:2" x14ac:dyDescent="0.35">
      <c r="A398" s="5" t="s">
        <v>1369</v>
      </c>
      <c r="B398" s="2">
        <v>59</v>
      </c>
    </row>
    <row r="399" spans="1:2" x14ac:dyDescent="0.35">
      <c r="A399" s="5" t="s">
        <v>410</v>
      </c>
      <c r="B399" s="2">
        <v>58.72</v>
      </c>
    </row>
    <row r="400" spans="1:2" x14ac:dyDescent="0.35">
      <c r="A400" s="5" t="s">
        <v>1967</v>
      </c>
      <c r="B400" s="2">
        <v>58.71</v>
      </c>
    </row>
    <row r="401" spans="1:2" x14ac:dyDescent="0.35">
      <c r="A401" s="5" t="s">
        <v>918</v>
      </c>
      <c r="B401" s="2">
        <v>58.160000000000004</v>
      </c>
    </row>
    <row r="402" spans="1:2" x14ac:dyDescent="0.35">
      <c r="A402" s="5" t="s">
        <v>502</v>
      </c>
      <c r="B402" s="2">
        <v>58.1</v>
      </c>
    </row>
    <row r="403" spans="1:2" x14ac:dyDescent="0.35">
      <c r="A403" s="5" t="s">
        <v>257</v>
      </c>
      <c r="B403" s="2">
        <v>56.71</v>
      </c>
    </row>
    <row r="404" spans="1:2" x14ac:dyDescent="0.35">
      <c r="A404" s="5" t="s">
        <v>2074</v>
      </c>
      <c r="B404" s="2">
        <v>56.11</v>
      </c>
    </row>
    <row r="405" spans="1:2" x14ac:dyDescent="0.35">
      <c r="A405" s="5" t="s">
        <v>80</v>
      </c>
      <c r="B405" s="2">
        <v>55.49</v>
      </c>
    </row>
    <row r="406" spans="1:2" x14ac:dyDescent="0.35">
      <c r="A406" s="5" t="s">
        <v>1316</v>
      </c>
      <c r="B406" s="2">
        <v>55.379999999999995</v>
      </c>
    </row>
    <row r="407" spans="1:2" x14ac:dyDescent="0.35">
      <c r="A407" s="5" t="s">
        <v>1352</v>
      </c>
      <c r="B407" s="2">
        <v>55.31</v>
      </c>
    </row>
    <row r="408" spans="1:2" x14ac:dyDescent="0.35">
      <c r="A408" s="5" t="s">
        <v>1831</v>
      </c>
      <c r="B408" s="2">
        <v>55.11</v>
      </c>
    </row>
    <row r="409" spans="1:2" x14ac:dyDescent="0.35">
      <c r="A409" s="5" t="s">
        <v>336</v>
      </c>
      <c r="B409" s="2">
        <v>54.69</v>
      </c>
    </row>
    <row r="410" spans="1:2" x14ac:dyDescent="0.35">
      <c r="A410" s="5" t="s">
        <v>939</v>
      </c>
      <c r="B410" s="2">
        <v>54.679999999999978</v>
      </c>
    </row>
    <row r="411" spans="1:2" x14ac:dyDescent="0.35">
      <c r="A411" s="5" t="s">
        <v>1102</v>
      </c>
      <c r="B411" s="2">
        <v>53.58</v>
      </c>
    </row>
    <row r="412" spans="1:2" x14ac:dyDescent="0.35">
      <c r="A412" s="5" t="s">
        <v>888</v>
      </c>
      <c r="B412" s="2">
        <v>52.41</v>
      </c>
    </row>
    <row r="413" spans="1:2" x14ac:dyDescent="0.35">
      <c r="A413" s="5" t="s">
        <v>1140</v>
      </c>
      <c r="B413" s="2">
        <v>51.94</v>
      </c>
    </row>
    <row r="414" spans="1:2" x14ac:dyDescent="0.35">
      <c r="A414" s="5" t="s">
        <v>128</v>
      </c>
      <c r="B414" s="2">
        <v>51.61</v>
      </c>
    </row>
    <row r="415" spans="1:2" x14ac:dyDescent="0.35">
      <c r="A415" s="5" t="s">
        <v>1671</v>
      </c>
      <c r="B415" s="2">
        <v>49.620000000000005</v>
      </c>
    </row>
    <row r="416" spans="1:2" x14ac:dyDescent="0.35">
      <c r="A416" s="5" t="s">
        <v>1615</v>
      </c>
      <c r="B416" s="2">
        <v>49.559999999999995</v>
      </c>
    </row>
    <row r="417" spans="1:2" x14ac:dyDescent="0.35">
      <c r="A417" s="5" t="s">
        <v>1653</v>
      </c>
      <c r="B417" s="2">
        <v>49.24</v>
      </c>
    </row>
    <row r="418" spans="1:2" x14ac:dyDescent="0.35">
      <c r="A418" s="5" t="s">
        <v>924</v>
      </c>
      <c r="B418" s="2">
        <v>48.35</v>
      </c>
    </row>
    <row r="419" spans="1:2" x14ac:dyDescent="0.35">
      <c r="A419" s="5" t="s">
        <v>2225</v>
      </c>
      <c r="B419" s="2">
        <v>47.98</v>
      </c>
    </row>
    <row r="420" spans="1:2" x14ac:dyDescent="0.35">
      <c r="A420" s="5" t="s">
        <v>1371</v>
      </c>
      <c r="B420" s="2">
        <v>47.13</v>
      </c>
    </row>
    <row r="421" spans="1:2" x14ac:dyDescent="0.35">
      <c r="A421" s="5" t="s">
        <v>698</v>
      </c>
      <c r="B421" s="2">
        <v>46.04</v>
      </c>
    </row>
    <row r="422" spans="1:2" x14ac:dyDescent="0.35">
      <c r="A422" s="5" t="s">
        <v>577</v>
      </c>
      <c r="B422" s="2">
        <v>44.94</v>
      </c>
    </row>
    <row r="423" spans="1:2" x14ac:dyDescent="0.35">
      <c r="A423" s="5" t="s">
        <v>1258</v>
      </c>
      <c r="B423" s="2">
        <v>44.4</v>
      </c>
    </row>
    <row r="424" spans="1:2" x14ac:dyDescent="0.35">
      <c r="A424" s="5" t="s">
        <v>1983</v>
      </c>
      <c r="B424" s="2">
        <v>44.21</v>
      </c>
    </row>
    <row r="425" spans="1:2" x14ac:dyDescent="0.35">
      <c r="A425" s="5" t="s">
        <v>1121</v>
      </c>
      <c r="B425" s="2">
        <v>44.03</v>
      </c>
    </row>
    <row r="426" spans="1:2" x14ac:dyDescent="0.35">
      <c r="A426" s="5" t="s">
        <v>1152</v>
      </c>
      <c r="B426" s="2">
        <v>43.17</v>
      </c>
    </row>
    <row r="427" spans="1:2" x14ac:dyDescent="0.35">
      <c r="A427" s="5" t="s">
        <v>678</v>
      </c>
      <c r="B427" s="2">
        <v>42.95</v>
      </c>
    </row>
    <row r="428" spans="1:2" x14ac:dyDescent="0.35">
      <c r="A428" s="5" t="s">
        <v>2077</v>
      </c>
      <c r="B428" s="2">
        <v>42.670000000000009</v>
      </c>
    </row>
    <row r="429" spans="1:2" x14ac:dyDescent="0.35">
      <c r="A429" s="5" t="s">
        <v>1853</v>
      </c>
      <c r="B429" s="2">
        <v>42.489999999999995</v>
      </c>
    </row>
    <row r="430" spans="1:2" x14ac:dyDescent="0.35">
      <c r="A430" s="5" t="s">
        <v>1612</v>
      </c>
      <c r="B430" s="2">
        <v>42.459999999999994</v>
      </c>
    </row>
    <row r="431" spans="1:2" x14ac:dyDescent="0.35">
      <c r="A431" s="5" t="s">
        <v>508</v>
      </c>
      <c r="B431" s="2">
        <v>40.86</v>
      </c>
    </row>
    <row r="432" spans="1:2" x14ac:dyDescent="0.35">
      <c r="A432" s="5" t="s">
        <v>1590</v>
      </c>
      <c r="B432" s="2">
        <v>40.630000000000003</v>
      </c>
    </row>
    <row r="433" spans="1:2" x14ac:dyDescent="0.35">
      <c r="A433" s="5" t="s">
        <v>2274</v>
      </c>
      <c r="B433" s="2">
        <v>40.35</v>
      </c>
    </row>
    <row r="434" spans="1:2" x14ac:dyDescent="0.35">
      <c r="A434" s="5" t="s">
        <v>841</v>
      </c>
      <c r="B434" s="2">
        <v>39.79</v>
      </c>
    </row>
    <row r="435" spans="1:2" x14ac:dyDescent="0.35">
      <c r="A435" s="5" t="s">
        <v>2112</v>
      </c>
      <c r="B435" s="2">
        <v>39.07</v>
      </c>
    </row>
    <row r="436" spans="1:2" x14ac:dyDescent="0.35">
      <c r="A436" s="5" t="s">
        <v>2137</v>
      </c>
      <c r="B436" s="2">
        <v>38.370000000000005</v>
      </c>
    </row>
    <row r="437" spans="1:2" x14ac:dyDescent="0.35">
      <c r="A437" s="5" t="s">
        <v>219</v>
      </c>
      <c r="B437" s="2">
        <v>38.249999999999993</v>
      </c>
    </row>
    <row r="438" spans="1:2" x14ac:dyDescent="0.35">
      <c r="A438" s="5" t="s">
        <v>2162</v>
      </c>
      <c r="B438" s="2">
        <v>38.239999999999995</v>
      </c>
    </row>
    <row r="439" spans="1:2" x14ac:dyDescent="0.35">
      <c r="A439" s="5" t="s">
        <v>911</v>
      </c>
      <c r="B439" s="2">
        <v>38.01</v>
      </c>
    </row>
    <row r="440" spans="1:2" x14ac:dyDescent="0.35">
      <c r="A440" s="5" t="s">
        <v>2216</v>
      </c>
      <c r="B440" s="2">
        <v>38</v>
      </c>
    </row>
    <row r="441" spans="1:2" x14ac:dyDescent="0.35">
      <c r="A441" s="5" t="s">
        <v>396</v>
      </c>
      <c r="B441" s="2">
        <v>37.880000000000003</v>
      </c>
    </row>
    <row r="442" spans="1:2" x14ac:dyDescent="0.35">
      <c r="A442" s="5" t="s">
        <v>1541</v>
      </c>
      <c r="B442" s="2">
        <v>37.49</v>
      </c>
    </row>
    <row r="443" spans="1:2" x14ac:dyDescent="0.35">
      <c r="A443" s="5" t="s">
        <v>2414</v>
      </c>
      <c r="B443" s="2">
        <v>37.36</v>
      </c>
    </row>
    <row r="444" spans="1:2" x14ac:dyDescent="0.35">
      <c r="A444" s="5" t="s">
        <v>1893</v>
      </c>
      <c r="B444" s="2">
        <v>37.29</v>
      </c>
    </row>
    <row r="445" spans="1:2" x14ac:dyDescent="0.35">
      <c r="A445" s="5" t="s">
        <v>1250</v>
      </c>
      <c r="B445" s="2">
        <v>36.39</v>
      </c>
    </row>
    <row r="446" spans="1:2" x14ac:dyDescent="0.35">
      <c r="A446" s="5" t="s">
        <v>1205</v>
      </c>
      <c r="B446" s="2">
        <v>36.1</v>
      </c>
    </row>
    <row r="447" spans="1:2" x14ac:dyDescent="0.35">
      <c r="A447" s="5" t="s">
        <v>1154</v>
      </c>
      <c r="B447" s="2">
        <v>35.689999999999991</v>
      </c>
    </row>
    <row r="448" spans="1:2" x14ac:dyDescent="0.35">
      <c r="A448" s="5" t="s">
        <v>1225</v>
      </c>
      <c r="B448" s="2">
        <v>35.26</v>
      </c>
    </row>
    <row r="449" spans="1:2" x14ac:dyDescent="0.35">
      <c r="A449" s="5" t="s">
        <v>1290</v>
      </c>
      <c r="B449" s="2">
        <v>34.46</v>
      </c>
    </row>
    <row r="450" spans="1:2" x14ac:dyDescent="0.35">
      <c r="A450" s="5" t="s">
        <v>1313</v>
      </c>
      <c r="B450" s="2">
        <v>34.450000000000003</v>
      </c>
    </row>
    <row r="451" spans="1:2" x14ac:dyDescent="0.35">
      <c r="A451" s="5" t="s">
        <v>2346</v>
      </c>
      <c r="B451" s="2">
        <v>34.28</v>
      </c>
    </row>
    <row r="452" spans="1:2" x14ac:dyDescent="0.35">
      <c r="A452" s="5" t="s">
        <v>300</v>
      </c>
      <c r="B452" s="2">
        <v>33.86</v>
      </c>
    </row>
    <row r="453" spans="1:2" x14ac:dyDescent="0.35">
      <c r="A453" s="5" t="s">
        <v>2136</v>
      </c>
      <c r="B453" s="2">
        <v>33.64</v>
      </c>
    </row>
    <row r="454" spans="1:2" x14ac:dyDescent="0.35">
      <c r="A454" s="5" t="s">
        <v>2009</v>
      </c>
      <c r="B454" s="2">
        <v>33.22</v>
      </c>
    </row>
    <row r="455" spans="1:2" x14ac:dyDescent="0.35">
      <c r="A455" s="5" t="s">
        <v>474</v>
      </c>
      <c r="B455" s="2">
        <v>32.83</v>
      </c>
    </row>
    <row r="456" spans="1:2" x14ac:dyDescent="0.35">
      <c r="A456" s="5" t="s">
        <v>1964</v>
      </c>
      <c r="B456" s="2">
        <v>32.799999999999997</v>
      </c>
    </row>
    <row r="457" spans="1:2" x14ac:dyDescent="0.35">
      <c r="A457" s="5" t="s">
        <v>121</v>
      </c>
      <c r="B457" s="2">
        <v>31.83</v>
      </c>
    </row>
    <row r="458" spans="1:2" x14ac:dyDescent="0.35">
      <c r="A458" s="5" t="s">
        <v>2299</v>
      </c>
      <c r="B458" s="2">
        <v>31.689999999999998</v>
      </c>
    </row>
    <row r="459" spans="1:2" x14ac:dyDescent="0.35">
      <c r="A459" s="5" t="s">
        <v>708</v>
      </c>
      <c r="B459" s="2">
        <v>30.1</v>
      </c>
    </row>
    <row r="460" spans="1:2" x14ac:dyDescent="0.35">
      <c r="A460" s="5" t="s">
        <v>1676</v>
      </c>
      <c r="B460" s="2">
        <v>30.049999999999997</v>
      </c>
    </row>
    <row r="461" spans="1:2" x14ac:dyDescent="0.35">
      <c r="A461" s="5" t="s">
        <v>309</v>
      </c>
      <c r="B461" s="2">
        <v>29.369999999999997</v>
      </c>
    </row>
    <row r="462" spans="1:2" x14ac:dyDescent="0.35">
      <c r="A462" s="5" t="s">
        <v>1642</v>
      </c>
      <c r="B462" s="2">
        <v>29.369999999999997</v>
      </c>
    </row>
    <row r="463" spans="1:2" x14ac:dyDescent="0.35">
      <c r="A463" s="5" t="s">
        <v>2124</v>
      </c>
      <c r="B463" s="2">
        <v>29.069999999999997</v>
      </c>
    </row>
    <row r="464" spans="1:2" x14ac:dyDescent="0.35">
      <c r="A464" s="5" t="s">
        <v>2273</v>
      </c>
      <c r="B464" s="2">
        <v>28.92</v>
      </c>
    </row>
    <row r="465" spans="1:2" x14ac:dyDescent="0.35">
      <c r="A465" s="5" t="s">
        <v>1558</v>
      </c>
      <c r="B465" s="2">
        <v>28.830000000000002</v>
      </c>
    </row>
    <row r="466" spans="1:2" x14ac:dyDescent="0.35">
      <c r="A466" s="5" t="s">
        <v>2267</v>
      </c>
      <c r="B466" s="2">
        <v>28.68</v>
      </c>
    </row>
    <row r="467" spans="1:2" x14ac:dyDescent="0.35">
      <c r="A467" s="5" t="s">
        <v>885</v>
      </c>
      <c r="B467" s="2">
        <v>28.6</v>
      </c>
    </row>
    <row r="468" spans="1:2" x14ac:dyDescent="0.35">
      <c r="A468" s="5" t="s">
        <v>1288</v>
      </c>
      <c r="B468" s="2">
        <v>28.49</v>
      </c>
    </row>
    <row r="469" spans="1:2" x14ac:dyDescent="0.35">
      <c r="A469" s="5" t="s">
        <v>1514</v>
      </c>
      <c r="B469" s="2">
        <v>27.6</v>
      </c>
    </row>
    <row r="470" spans="1:2" x14ac:dyDescent="0.35">
      <c r="A470" s="5" t="s">
        <v>1002</v>
      </c>
      <c r="B470" s="2">
        <v>27.56</v>
      </c>
    </row>
    <row r="471" spans="1:2" x14ac:dyDescent="0.35">
      <c r="A471" s="5" t="s">
        <v>1221</v>
      </c>
      <c r="B471" s="2">
        <v>27.49</v>
      </c>
    </row>
    <row r="472" spans="1:2" x14ac:dyDescent="0.35">
      <c r="A472" s="5" t="s">
        <v>1999</v>
      </c>
      <c r="B472" s="2">
        <v>27.29</v>
      </c>
    </row>
    <row r="473" spans="1:2" x14ac:dyDescent="0.35">
      <c r="A473" s="5" t="s">
        <v>619</v>
      </c>
      <c r="B473" s="2">
        <v>27.230000000000004</v>
      </c>
    </row>
    <row r="474" spans="1:2" x14ac:dyDescent="0.35">
      <c r="A474" s="5" t="s">
        <v>1038</v>
      </c>
      <c r="B474" s="2">
        <v>27.01</v>
      </c>
    </row>
    <row r="475" spans="1:2" x14ac:dyDescent="0.35">
      <c r="A475" s="5" t="s">
        <v>430</v>
      </c>
      <c r="B475" s="2">
        <v>26.63</v>
      </c>
    </row>
    <row r="476" spans="1:2" x14ac:dyDescent="0.35">
      <c r="A476" s="5" t="s">
        <v>487</v>
      </c>
      <c r="B476" s="2">
        <v>26.41</v>
      </c>
    </row>
    <row r="477" spans="1:2" x14ac:dyDescent="0.35">
      <c r="A477" s="5" t="s">
        <v>1300</v>
      </c>
      <c r="B477" s="2">
        <v>25.89</v>
      </c>
    </row>
    <row r="478" spans="1:2" x14ac:dyDescent="0.35">
      <c r="A478" s="5" t="s">
        <v>2129</v>
      </c>
      <c r="B478" s="2">
        <v>25.409999999999997</v>
      </c>
    </row>
    <row r="479" spans="1:2" x14ac:dyDescent="0.35">
      <c r="A479" s="5" t="s">
        <v>683</v>
      </c>
      <c r="B479" s="2">
        <v>25.1</v>
      </c>
    </row>
    <row r="480" spans="1:2" x14ac:dyDescent="0.35">
      <c r="A480" s="5" t="s">
        <v>493</v>
      </c>
      <c r="B480" s="2">
        <v>24.970000000000006</v>
      </c>
    </row>
    <row r="481" spans="1:2" x14ac:dyDescent="0.35">
      <c r="A481" s="5" t="s">
        <v>279</v>
      </c>
      <c r="B481" s="2">
        <v>24.73</v>
      </c>
    </row>
    <row r="482" spans="1:2" x14ac:dyDescent="0.35">
      <c r="A482" s="5" t="s">
        <v>31</v>
      </c>
      <c r="B482" s="2">
        <v>24.52</v>
      </c>
    </row>
    <row r="483" spans="1:2" x14ac:dyDescent="0.35">
      <c r="A483" s="5" t="s">
        <v>1166</v>
      </c>
      <c r="B483" s="2">
        <v>23.980000000000015</v>
      </c>
    </row>
    <row r="484" spans="1:2" x14ac:dyDescent="0.35">
      <c r="A484" s="5" t="s">
        <v>199</v>
      </c>
      <c r="B484" s="2">
        <v>23.19</v>
      </c>
    </row>
    <row r="485" spans="1:2" x14ac:dyDescent="0.35">
      <c r="A485" s="5" t="s">
        <v>374</v>
      </c>
      <c r="B485" s="2">
        <v>22.93</v>
      </c>
    </row>
    <row r="486" spans="1:2" x14ac:dyDescent="0.35">
      <c r="A486" s="5" t="s">
        <v>1058</v>
      </c>
      <c r="B486" s="2">
        <v>22.78</v>
      </c>
    </row>
    <row r="487" spans="1:2" x14ac:dyDescent="0.35">
      <c r="A487" s="5" t="s">
        <v>825</v>
      </c>
      <c r="B487" s="2">
        <v>22.66</v>
      </c>
    </row>
    <row r="488" spans="1:2" x14ac:dyDescent="0.35">
      <c r="A488" s="5" t="s">
        <v>1835</v>
      </c>
      <c r="B488" s="2">
        <v>22.56</v>
      </c>
    </row>
    <row r="489" spans="1:2" x14ac:dyDescent="0.35">
      <c r="A489" s="5" t="s">
        <v>684</v>
      </c>
      <c r="B489" s="2">
        <v>22.509999999999994</v>
      </c>
    </row>
    <row r="490" spans="1:2" x14ac:dyDescent="0.35">
      <c r="A490" s="5" t="s">
        <v>1869</v>
      </c>
      <c r="B490" s="2">
        <v>22.159999999999997</v>
      </c>
    </row>
    <row r="491" spans="1:2" x14ac:dyDescent="0.35">
      <c r="A491" s="5" t="s">
        <v>495</v>
      </c>
      <c r="B491" s="2">
        <v>21.86</v>
      </c>
    </row>
    <row r="492" spans="1:2" x14ac:dyDescent="0.35">
      <c r="A492" s="5" t="s">
        <v>977</v>
      </c>
      <c r="B492" s="2">
        <v>21.74</v>
      </c>
    </row>
    <row r="493" spans="1:2" x14ac:dyDescent="0.35">
      <c r="A493" s="5" t="s">
        <v>1820</v>
      </c>
      <c r="B493" s="2">
        <v>21.54</v>
      </c>
    </row>
    <row r="494" spans="1:2" x14ac:dyDescent="0.35">
      <c r="A494" s="5" t="s">
        <v>2031</v>
      </c>
      <c r="B494" s="2">
        <v>21.53</v>
      </c>
    </row>
    <row r="495" spans="1:2" x14ac:dyDescent="0.35">
      <c r="A495" s="5" t="s">
        <v>1532</v>
      </c>
      <c r="B495" s="2">
        <v>21.389999999999997</v>
      </c>
    </row>
    <row r="496" spans="1:2" x14ac:dyDescent="0.35">
      <c r="A496" s="5" t="s">
        <v>2364</v>
      </c>
      <c r="B496" s="2">
        <v>21.27</v>
      </c>
    </row>
    <row r="497" spans="1:2" x14ac:dyDescent="0.35">
      <c r="A497" s="5" t="s">
        <v>2210</v>
      </c>
      <c r="B497" s="2">
        <v>20.91</v>
      </c>
    </row>
    <row r="498" spans="1:2" x14ac:dyDescent="0.35">
      <c r="A498" s="5" t="s">
        <v>2277</v>
      </c>
      <c r="B498" s="2">
        <v>20.8</v>
      </c>
    </row>
    <row r="499" spans="1:2" x14ac:dyDescent="0.35">
      <c r="A499" s="5" t="s">
        <v>1616</v>
      </c>
      <c r="B499" s="2">
        <v>20.619999999999997</v>
      </c>
    </row>
    <row r="500" spans="1:2" x14ac:dyDescent="0.35">
      <c r="A500" s="5" t="s">
        <v>1768</v>
      </c>
      <c r="B500" s="2">
        <v>20.43</v>
      </c>
    </row>
    <row r="501" spans="1:2" x14ac:dyDescent="0.35">
      <c r="A501" s="5" t="s">
        <v>356</v>
      </c>
      <c r="B501" s="2">
        <v>20.21</v>
      </c>
    </row>
    <row r="502" spans="1:2" x14ac:dyDescent="0.35">
      <c r="A502" s="5" t="s">
        <v>186</v>
      </c>
      <c r="B502" s="2">
        <v>19.909999999999997</v>
      </c>
    </row>
    <row r="503" spans="1:2" x14ac:dyDescent="0.35">
      <c r="A503" s="5" t="s">
        <v>232</v>
      </c>
      <c r="B503" s="2">
        <v>19.72</v>
      </c>
    </row>
    <row r="504" spans="1:2" x14ac:dyDescent="0.35">
      <c r="A504" s="5" t="s">
        <v>1731</v>
      </c>
      <c r="B504" s="2">
        <v>19.61</v>
      </c>
    </row>
    <row r="505" spans="1:2" x14ac:dyDescent="0.35">
      <c r="A505" s="5" t="s">
        <v>1675</v>
      </c>
      <c r="B505" s="2">
        <v>19.36</v>
      </c>
    </row>
    <row r="506" spans="1:2" x14ac:dyDescent="0.35">
      <c r="A506" s="5" t="s">
        <v>2103</v>
      </c>
      <c r="B506" s="2">
        <v>19.32</v>
      </c>
    </row>
    <row r="507" spans="1:2" x14ac:dyDescent="0.35">
      <c r="A507" s="5" t="s">
        <v>789</v>
      </c>
      <c r="B507" s="2">
        <v>19.220000000000002</v>
      </c>
    </row>
    <row r="508" spans="1:2" x14ac:dyDescent="0.35">
      <c r="A508" s="5" t="s">
        <v>437</v>
      </c>
      <c r="B508" s="2">
        <v>18.37</v>
      </c>
    </row>
    <row r="509" spans="1:2" x14ac:dyDescent="0.35">
      <c r="A509" s="5" t="s">
        <v>2406</v>
      </c>
      <c r="B509" s="2">
        <v>18.329999999999998</v>
      </c>
    </row>
    <row r="510" spans="1:2" x14ac:dyDescent="0.35">
      <c r="A510" s="5" t="s">
        <v>660</v>
      </c>
      <c r="B510" s="2">
        <v>18.130000000000003</v>
      </c>
    </row>
    <row r="511" spans="1:2" x14ac:dyDescent="0.35">
      <c r="A511" s="5" t="s">
        <v>1856</v>
      </c>
      <c r="B511" s="2">
        <v>18.02</v>
      </c>
    </row>
    <row r="512" spans="1:2" x14ac:dyDescent="0.35">
      <c r="A512" s="5" t="s">
        <v>1191</v>
      </c>
      <c r="B512" s="2">
        <v>17.91</v>
      </c>
    </row>
    <row r="513" spans="1:2" x14ac:dyDescent="0.35">
      <c r="A513" s="5" t="s">
        <v>2213</v>
      </c>
      <c r="B513" s="2">
        <v>17.38</v>
      </c>
    </row>
    <row r="514" spans="1:2" x14ac:dyDescent="0.35">
      <c r="A514" s="5" t="s">
        <v>304</v>
      </c>
      <c r="B514" s="2">
        <v>17.350000000000001</v>
      </c>
    </row>
    <row r="515" spans="1:2" x14ac:dyDescent="0.35">
      <c r="A515" s="5" t="s">
        <v>537</v>
      </c>
      <c r="B515" s="2">
        <v>17.220000000000002</v>
      </c>
    </row>
    <row r="516" spans="1:2" x14ac:dyDescent="0.35">
      <c r="A516" s="5" t="s">
        <v>2109</v>
      </c>
      <c r="B516" s="2">
        <v>17</v>
      </c>
    </row>
    <row r="517" spans="1:2" x14ac:dyDescent="0.35">
      <c r="A517" s="5" t="s">
        <v>1266</v>
      </c>
      <c r="B517" s="2">
        <v>16.66</v>
      </c>
    </row>
    <row r="518" spans="1:2" x14ac:dyDescent="0.35">
      <c r="A518" s="5" t="s">
        <v>1712</v>
      </c>
      <c r="B518" s="2">
        <v>16.59</v>
      </c>
    </row>
    <row r="519" spans="1:2" x14ac:dyDescent="0.35">
      <c r="A519" s="5" t="s">
        <v>1723</v>
      </c>
      <c r="B519" s="2">
        <v>16.25</v>
      </c>
    </row>
    <row r="520" spans="1:2" x14ac:dyDescent="0.35">
      <c r="A520" s="5" t="s">
        <v>298</v>
      </c>
      <c r="B520" s="2">
        <v>15.77</v>
      </c>
    </row>
    <row r="521" spans="1:2" x14ac:dyDescent="0.35">
      <c r="A521" s="5" t="s">
        <v>747</v>
      </c>
      <c r="B521" s="2">
        <v>15.749999999999996</v>
      </c>
    </row>
    <row r="522" spans="1:2" x14ac:dyDescent="0.35">
      <c r="A522" s="5" t="s">
        <v>418</v>
      </c>
      <c r="B522" s="2">
        <v>15.420000000000016</v>
      </c>
    </row>
    <row r="523" spans="1:2" x14ac:dyDescent="0.35">
      <c r="A523" s="5" t="s">
        <v>2191</v>
      </c>
      <c r="B523" s="2">
        <v>15.149999999999999</v>
      </c>
    </row>
    <row r="524" spans="1:2" x14ac:dyDescent="0.35">
      <c r="A524" s="5" t="s">
        <v>2114</v>
      </c>
      <c r="B524" s="2">
        <v>14.82</v>
      </c>
    </row>
    <row r="525" spans="1:2" x14ac:dyDescent="0.35">
      <c r="A525" s="5" t="s">
        <v>549</v>
      </c>
      <c r="B525" s="2">
        <v>14.749999999999996</v>
      </c>
    </row>
    <row r="526" spans="1:2" x14ac:dyDescent="0.35">
      <c r="A526" s="5" t="s">
        <v>399</v>
      </c>
      <c r="B526" s="2">
        <v>14.54</v>
      </c>
    </row>
    <row r="527" spans="1:2" x14ac:dyDescent="0.35">
      <c r="A527" s="5" t="s">
        <v>2379</v>
      </c>
      <c r="B527" s="2">
        <v>13.979999999999999</v>
      </c>
    </row>
    <row r="528" spans="1:2" x14ac:dyDescent="0.35">
      <c r="A528" s="5" t="s">
        <v>1016</v>
      </c>
      <c r="B528" s="2">
        <v>13.62</v>
      </c>
    </row>
    <row r="529" spans="1:2" x14ac:dyDescent="0.35">
      <c r="A529" s="5" t="s">
        <v>1410</v>
      </c>
      <c r="B529" s="2">
        <v>13.399999999999999</v>
      </c>
    </row>
    <row r="530" spans="1:2" x14ac:dyDescent="0.35">
      <c r="A530" s="5" t="s">
        <v>432</v>
      </c>
      <c r="B530" s="2">
        <v>13.099999999999994</v>
      </c>
    </row>
    <row r="531" spans="1:2" x14ac:dyDescent="0.35">
      <c r="A531" s="5" t="s">
        <v>1137</v>
      </c>
      <c r="B531" s="2">
        <v>12.95</v>
      </c>
    </row>
    <row r="532" spans="1:2" x14ac:dyDescent="0.35">
      <c r="A532" s="5" t="s">
        <v>905</v>
      </c>
      <c r="B532" s="2">
        <v>12.899999999999995</v>
      </c>
    </row>
    <row r="533" spans="1:2" x14ac:dyDescent="0.35">
      <c r="A533" s="5" t="s">
        <v>1320</v>
      </c>
      <c r="B533" s="2">
        <v>12.510000000000002</v>
      </c>
    </row>
    <row r="534" spans="1:2" x14ac:dyDescent="0.35">
      <c r="A534" s="5" t="s">
        <v>341</v>
      </c>
      <c r="B534" s="2">
        <v>12.44</v>
      </c>
    </row>
    <row r="535" spans="1:2" x14ac:dyDescent="0.35">
      <c r="A535" s="5" t="s">
        <v>1690</v>
      </c>
      <c r="B535" s="2">
        <v>11.69</v>
      </c>
    </row>
    <row r="536" spans="1:2" x14ac:dyDescent="0.35">
      <c r="A536" s="5" t="s">
        <v>1063</v>
      </c>
      <c r="B536" s="2">
        <v>11.309999999999999</v>
      </c>
    </row>
    <row r="537" spans="1:2" x14ac:dyDescent="0.35">
      <c r="A537" s="5" t="s">
        <v>1522</v>
      </c>
      <c r="B537" s="2">
        <v>10.89</v>
      </c>
    </row>
    <row r="538" spans="1:2" x14ac:dyDescent="0.35">
      <c r="A538" s="5" t="s">
        <v>1695</v>
      </c>
      <c r="B538" s="2">
        <v>10.8</v>
      </c>
    </row>
    <row r="539" spans="1:2" x14ac:dyDescent="0.35">
      <c r="A539" s="5" t="s">
        <v>764</v>
      </c>
      <c r="B539" s="2">
        <v>10.780000000000001</v>
      </c>
    </row>
    <row r="540" spans="1:2" x14ac:dyDescent="0.35">
      <c r="A540" s="5" t="s">
        <v>1697</v>
      </c>
      <c r="B540" s="2">
        <v>10.649999999999991</v>
      </c>
    </row>
    <row r="541" spans="1:2" x14ac:dyDescent="0.35">
      <c r="A541" s="5" t="s">
        <v>1202</v>
      </c>
      <c r="B541" s="2">
        <v>10.64</v>
      </c>
    </row>
    <row r="542" spans="1:2" x14ac:dyDescent="0.35">
      <c r="A542" s="5" t="s">
        <v>1911</v>
      </c>
      <c r="B542" s="2">
        <v>10.62</v>
      </c>
    </row>
    <row r="543" spans="1:2" x14ac:dyDescent="0.35">
      <c r="A543" s="5" t="s">
        <v>818</v>
      </c>
      <c r="B543" s="2">
        <v>10.210000000000001</v>
      </c>
    </row>
    <row r="544" spans="1:2" x14ac:dyDescent="0.35">
      <c r="A544" s="5" t="s">
        <v>1391</v>
      </c>
      <c r="B544" s="2">
        <v>10.17</v>
      </c>
    </row>
    <row r="545" spans="1:2" x14ac:dyDescent="0.35">
      <c r="A545" s="5" t="s">
        <v>2155</v>
      </c>
      <c r="B545" s="2">
        <v>10.09</v>
      </c>
    </row>
    <row r="546" spans="1:2" x14ac:dyDescent="0.35">
      <c r="A546" s="5" t="s">
        <v>944</v>
      </c>
      <c r="B546" s="2">
        <v>9.92</v>
      </c>
    </row>
    <row r="547" spans="1:2" x14ac:dyDescent="0.35">
      <c r="A547" s="5" t="s">
        <v>369</v>
      </c>
      <c r="B547" s="2">
        <v>9.89</v>
      </c>
    </row>
    <row r="548" spans="1:2" x14ac:dyDescent="0.35">
      <c r="A548" s="5" t="s">
        <v>1779</v>
      </c>
      <c r="B548" s="2">
        <v>9.84</v>
      </c>
    </row>
    <row r="549" spans="1:2" x14ac:dyDescent="0.35">
      <c r="A549" s="5" t="s">
        <v>1606</v>
      </c>
      <c r="B549" s="2">
        <v>9.7200000000000006</v>
      </c>
    </row>
    <row r="550" spans="1:2" x14ac:dyDescent="0.35">
      <c r="A550" s="5" t="s">
        <v>50</v>
      </c>
      <c r="B550" s="2">
        <v>9.6999999999999993</v>
      </c>
    </row>
    <row r="551" spans="1:2" x14ac:dyDescent="0.35">
      <c r="A551" s="5" t="s">
        <v>140</v>
      </c>
      <c r="B551" s="2">
        <v>9.6</v>
      </c>
    </row>
    <row r="552" spans="1:2" x14ac:dyDescent="0.35">
      <c r="A552" s="5" t="s">
        <v>1917</v>
      </c>
      <c r="B552" s="2">
        <v>9.58</v>
      </c>
    </row>
    <row r="553" spans="1:2" x14ac:dyDescent="0.35">
      <c r="A553" s="5" t="s">
        <v>2043</v>
      </c>
      <c r="B553" s="2">
        <v>9.48</v>
      </c>
    </row>
    <row r="554" spans="1:2" x14ac:dyDescent="0.35">
      <c r="A554" s="5" t="s">
        <v>2422</v>
      </c>
      <c r="B554" s="2">
        <v>9.35</v>
      </c>
    </row>
    <row r="555" spans="1:2" x14ac:dyDescent="0.35">
      <c r="A555" s="5" t="s">
        <v>521</v>
      </c>
      <c r="B555" s="2">
        <v>9.33</v>
      </c>
    </row>
    <row r="556" spans="1:2" x14ac:dyDescent="0.35">
      <c r="A556" s="5" t="s">
        <v>1991</v>
      </c>
      <c r="B556" s="2">
        <v>9.19</v>
      </c>
    </row>
    <row r="557" spans="1:2" x14ac:dyDescent="0.35">
      <c r="A557" s="5" t="s">
        <v>1278</v>
      </c>
      <c r="B557" s="2">
        <v>8.93</v>
      </c>
    </row>
    <row r="558" spans="1:2" x14ac:dyDescent="0.35">
      <c r="A558" s="5" t="s">
        <v>2081</v>
      </c>
      <c r="B558" s="2">
        <v>8.3800000000000008</v>
      </c>
    </row>
    <row r="559" spans="1:2" x14ac:dyDescent="0.35">
      <c r="A559" s="5" t="s">
        <v>306</v>
      </c>
      <c r="B559" s="2">
        <v>8.19</v>
      </c>
    </row>
    <row r="560" spans="1:2" x14ac:dyDescent="0.35">
      <c r="A560" s="5" t="s">
        <v>1037</v>
      </c>
      <c r="B560" s="2">
        <v>7.63</v>
      </c>
    </row>
    <row r="561" spans="1:2" x14ac:dyDescent="0.35">
      <c r="A561" s="5" t="s">
        <v>1781</v>
      </c>
      <c r="B561" s="2">
        <v>7.41</v>
      </c>
    </row>
    <row r="562" spans="1:2" x14ac:dyDescent="0.35">
      <c r="A562" s="5" t="s">
        <v>2408</v>
      </c>
      <c r="B562" s="2">
        <v>7.26</v>
      </c>
    </row>
    <row r="563" spans="1:2" x14ac:dyDescent="0.35">
      <c r="A563" s="5" t="s">
        <v>1658</v>
      </c>
      <c r="B563" s="2">
        <v>6.63</v>
      </c>
    </row>
    <row r="564" spans="1:2" x14ac:dyDescent="0.35">
      <c r="A564" s="5" t="s">
        <v>798</v>
      </c>
      <c r="B564" s="2">
        <v>6.6299999999999955</v>
      </c>
    </row>
    <row r="565" spans="1:2" x14ac:dyDescent="0.35">
      <c r="A565" s="5" t="s">
        <v>2014</v>
      </c>
      <c r="B565" s="2">
        <v>6.54</v>
      </c>
    </row>
    <row r="566" spans="1:2" x14ac:dyDescent="0.35">
      <c r="A566" s="5" t="s">
        <v>1742</v>
      </c>
      <c r="B566" s="2">
        <v>6.3</v>
      </c>
    </row>
    <row r="567" spans="1:2" x14ac:dyDescent="0.35">
      <c r="A567" s="5" t="s">
        <v>349</v>
      </c>
      <c r="B567" s="2">
        <v>6.04</v>
      </c>
    </row>
    <row r="568" spans="1:2" x14ac:dyDescent="0.35">
      <c r="A568" s="5" t="s">
        <v>1150</v>
      </c>
      <c r="B568" s="2">
        <v>5.9600000000000009</v>
      </c>
    </row>
    <row r="569" spans="1:2" x14ac:dyDescent="0.35">
      <c r="A569" s="5" t="s">
        <v>153</v>
      </c>
      <c r="B569" s="2">
        <v>5.8</v>
      </c>
    </row>
    <row r="570" spans="1:2" x14ac:dyDescent="0.35">
      <c r="A570" s="5" t="s">
        <v>2286</v>
      </c>
      <c r="B570" s="2">
        <v>5.51</v>
      </c>
    </row>
    <row r="571" spans="1:2" x14ac:dyDescent="0.35">
      <c r="A571" s="5" t="s">
        <v>2091</v>
      </c>
      <c r="B571" s="2">
        <v>4.5600000000000023</v>
      </c>
    </row>
    <row r="572" spans="1:2" x14ac:dyDescent="0.35">
      <c r="A572" s="5" t="s">
        <v>1551</v>
      </c>
      <c r="B572" s="2">
        <v>4.46</v>
      </c>
    </row>
    <row r="573" spans="1:2" x14ac:dyDescent="0.35">
      <c r="A573" s="5" t="s">
        <v>1379</v>
      </c>
      <c r="B573" s="2">
        <v>4.26</v>
      </c>
    </row>
    <row r="574" spans="1:2" x14ac:dyDescent="0.35">
      <c r="A574" s="5" t="s">
        <v>2362</v>
      </c>
      <c r="B574" s="2">
        <v>4.2299999999999986</v>
      </c>
    </row>
    <row r="575" spans="1:2" x14ac:dyDescent="0.35">
      <c r="A575" s="5" t="s">
        <v>2175</v>
      </c>
      <c r="B575" s="2">
        <v>4.2</v>
      </c>
    </row>
    <row r="576" spans="1:2" x14ac:dyDescent="0.35">
      <c r="A576" s="5" t="s">
        <v>2369</v>
      </c>
      <c r="B576" s="2">
        <v>4.12</v>
      </c>
    </row>
    <row r="577" spans="1:2" x14ac:dyDescent="0.35">
      <c r="A577" s="5" t="s">
        <v>1778</v>
      </c>
      <c r="B577" s="2">
        <v>3.95</v>
      </c>
    </row>
    <row r="578" spans="1:2" x14ac:dyDescent="0.35">
      <c r="A578" s="5" t="s">
        <v>106</v>
      </c>
      <c r="B578" s="2">
        <v>3.8600000000000039</v>
      </c>
    </row>
    <row r="579" spans="1:2" x14ac:dyDescent="0.35">
      <c r="A579" s="5" t="s">
        <v>2159</v>
      </c>
      <c r="B579" s="2">
        <v>3.45</v>
      </c>
    </row>
    <row r="580" spans="1:2" x14ac:dyDescent="0.35">
      <c r="A580" s="5" t="s">
        <v>2351</v>
      </c>
      <c r="B580" s="2">
        <v>3.45</v>
      </c>
    </row>
    <row r="581" spans="1:2" x14ac:dyDescent="0.35">
      <c r="A581" s="5" t="s">
        <v>318</v>
      </c>
      <c r="B581" s="2">
        <v>3.1199999999999974</v>
      </c>
    </row>
    <row r="582" spans="1:2" x14ac:dyDescent="0.35">
      <c r="A582" s="5" t="s">
        <v>2412</v>
      </c>
      <c r="B582" s="2">
        <v>3.01</v>
      </c>
    </row>
    <row r="583" spans="1:2" x14ac:dyDescent="0.35">
      <c r="A583" s="5" t="s">
        <v>2072</v>
      </c>
      <c r="B583" s="2">
        <v>2.96</v>
      </c>
    </row>
    <row r="584" spans="1:2" x14ac:dyDescent="0.35">
      <c r="A584" s="5" t="s">
        <v>1529</v>
      </c>
      <c r="B584" s="2">
        <v>2.0699999999999998</v>
      </c>
    </row>
    <row r="585" spans="1:2" x14ac:dyDescent="0.35">
      <c r="A585" s="5" t="s">
        <v>175</v>
      </c>
      <c r="B585" s="2">
        <v>1.96</v>
      </c>
    </row>
    <row r="586" spans="1:2" x14ac:dyDescent="0.35">
      <c r="A586" s="5" t="s">
        <v>1334</v>
      </c>
      <c r="B586" s="2">
        <v>1.7799999999999998</v>
      </c>
    </row>
    <row r="587" spans="1:2" x14ac:dyDescent="0.35">
      <c r="A587" s="5" t="s">
        <v>93</v>
      </c>
      <c r="B587" s="2">
        <v>1.5900000000000007</v>
      </c>
    </row>
    <row r="588" spans="1:2" x14ac:dyDescent="0.35">
      <c r="A588" s="5" t="s">
        <v>154</v>
      </c>
      <c r="B588" s="2">
        <v>1.3499999999999996</v>
      </c>
    </row>
    <row r="589" spans="1:2" x14ac:dyDescent="0.35">
      <c r="A589" s="5" t="s">
        <v>2060</v>
      </c>
      <c r="B589" s="2">
        <v>1.23</v>
      </c>
    </row>
    <row r="590" spans="1:2" x14ac:dyDescent="0.35">
      <c r="A590" s="5" t="s">
        <v>1512</v>
      </c>
      <c r="B590" s="2">
        <v>1.17</v>
      </c>
    </row>
    <row r="591" spans="1:2" x14ac:dyDescent="0.35">
      <c r="A591" s="5" t="s">
        <v>727</v>
      </c>
      <c r="B591" s="2">
        <v>1.1199999999999999</v>
      </c>
    </row>
    <row r="592" spans="1:2" x14ac:dyDescent="0.35">
      <c r="A592" s="5" t="s">
        <v>2042</v>
      </c>
      <c r="B592" s="2">
        <v>0.7</v>
      </c>
    </row>
    <row r="593" spans="1:2" x14ac:dyDescent="0.35">
      <c r="A593" s="5" t="s">
        <v>313</v>
      </c>
      <c r="B593" s="2">
        <v>0.67999999999999972</v>
      </c>
    </row>
    <row r="594" spans="1:2" x14ac:dyDescent="0.35">
      <c r="A594" s="5" t="s">
        <v>2217</v>
      </c>
      <c r="B594" s="2">
        <v>0.51</v>
      </c>
    </row>
    <row r="595" spans="1:2" x14ac:dyDescent="0.35">
      <c r="A595" s="5" t="s">
        <v>465</v>
      </c>
      <c r="B595" s="2">
        <v>0.38</v>
      </c>
    </row>
    <row r="596" spans="1:2" x14ac:dyDescent="0.35">
      <c r="A596" s="5" t="s">
        <v>99</v>
      </c>
      <c r="B596" s="2">
        <v>0</v>
      </c>
    </row>
    <row r="597" spans="1:2" x14ac:dyDescent="0.35">
      <c r="A597" s="5" t="s">
        <v>1280</v>
      </c>
      <c r="B597" s="2">
        <v>-0.25999999999999979</v>
      </c>
    </row>
    <row r="598" spans="1:2" x14ac:dyDescent="0.35">
      <c r="A598" s="5" t="s">
        <v>2365</v>
      </c>
      <c r="B598" s="2">
        <v>-1.2399999999999998</v>
      </c>
    </row>
    <row r="599" spans="1:2" x14ac:dyDescent="0.35">
      <c r="A599" s="5" t="s">
        <v>2287</v>
      </c>
      <c r="B599" s="2">
        <v>-1.97</v>
      </c>
    </row>
    <row r="600" spans="1:2" x14ac:dyDescent="0.35">
      <c r="A600" s="5" t="s">
        <v>1497</v>
      </c>
      <c r="B600" s="2">
        <v>-2.4299999999999997</v>
      </c>
    </row>
    <row r="601" spans="1:2" x14ac:dyDescent="0.35">
      <c r="A601" s="5" t="s">
        <v>2172</v>
      </c>
      <c r="B601" s="2">
        <v>-2.5399999999999991</v>
      </c>
    </row>
    <row r="602" spans="1:2" x14ac:dyDescent="0.35">
      <c r="A602" s="5" t="s">
        <v>1469</v>
      </c>
      <c r="B602" s="2">
        <v>-3.14</v>
      </c>
    </row>
    <row r="603" spans="1:2" x14ac:dyDescent="0.35">
      <c r="A603" s="5" t="s">
        <v>2383</v>
      </c>
      <c r="B603" s="2">
        <v>-3.69</v>
      </c>
    </row>
    <row r="604" spans="1:2" x14ac:dyDescent="0.35">
      <c r="A604" s="5" t="s">
        <v>2279</v>
      </c>
      <c r="B604" s="2">
        <v>-3.79</v>
      </c>
    </row>
    <row r="605" spans="1:2" x14ac:dyDescent="0.35">
      <c r="A605" s="5" t="s">
        <v>2245</v>
      </c>
      <c r="B605" s="2">
        <v>-4.46</v>
      </c>
    </row>
    <row r="606" spans="1:2" x14ac:dyDescent="0.35">
      <c r="A606" s="5" t="s">
        <v>1337</v>
      </c>
      <c r="B606" s="2">
        <v>-4.8499999999999996</v>
      </c>
    </row>
    <row r="607" spans="1:2" x14ac:dyDescent="0.35">
      <c r="A607" s="5" t="s">
        <v>1845</v>
      </c>
      <c r="B607" s="2">
        <v>-4.93</v>
      </c>
    </row>
    <row r="608" spans="1:2" x14ac:dyDescent="0.35">
      <c r="A608" s="5" t="s">
        <v>1664</v>
      </c>
      <c r="B608" s="2">
        <v>-5.1099999999999985</v>
      </c>
    </row>
    <row r="609" spans="1:2" x14ac:dyDescent="0.35">
      <c r="A609" s="5" t="s">
        <v>1245</v>
      </c>
      <c r="B609" s="2">
        <v>-6.03</v>
      </c>
    </row>
    <row r="610" spans="1:2" x14ac:dyDescent="0.35">
      <c r="A610" s="5" t="s">
        <v>2363</v>
      </c>
      <c r="B610" s="2">
        <v>-6.379999999999999</v>
      </c>
    </row>
    <row r="611" spans="1:2" x14ac:dyDescent="0.35">
      <c r="A611" s="5" t="s">
        <v>1596</v>
      </c>
      <c r="B611" s="2">
        <v>-6.51</v>
      </c>
    </row>
    <row r="612" spans="1:2" x14ac:dyDescent="0.35">
      <c r="A612" s="5" t="s">
        <v>1351</v>
      </c>
      <c r="B612" s="2">
        <v>-6.54</v>
      </c>
    </row>
    <row r="613" spans="1:2" x14ac:dyDescent="0.35">
      <c r="A613" s="5" t="s">
        <v>942</v>
      </c>
      <c r="B613" s="2">
        <v>-9.1599999999999895</v>
      </c>
    </row>
    <row r="614" spans="1:2" x14ac:dyDescent="0.35">
      <c r="A614" s="5" t="s">
        <v>1626</v>
      </c>
      <c r="B614" s="2">
        <v>-9.870000000000001</v>
      </c>
    </row>
    <row r="615" spans="1:2" x14ac:dyDescent="0.35">
      <c r="A615" s="5" t="s">
        <v>606</v>
      </c>
      <c r="B615" s="2">
        <v>-10</v>
      </c>
    </row>
    <row r="616" spans="1:2" x14ac:dyDescent="0.35">
      <c r="A616" s="5" t="s">
        <v>277</v>
      </c>
      <c r="B616" s="2">
        <v>-10.36</v>
      </c>
    </row>
    <row r="617" spans="1:2" x14ac:dyDescent="0.35">
      <c r="A617" s="5" t="s">
        <v>2320</v>
      </c>
      <c r="B617" s="2">
        <v>-10.700000000000003</v>
      </c>
    </row>
    <row r="618" spans="1:2" x14ac:dyDescent="0.35">
      <c r="A618" s="5" t="s">
        <v>1297</v>
      </c>
      <c r="B618" s="2">
        <v>-10.809999999999992</v>
      </c>
    </row>
    <row r="619" spans="1:2" x14ac:dyDescent="0.35">
      <c r="A619" s="5" t="s">
        <v>378</v>
      </c>
      <c r="B619" s="2">
        <v>-12.370000000000005</v>
      </c>
    </row>
    <row r="620" spans="1:2" x14ac:dyDescent="0.35">
      <c r="A620" s="5" t="s">
        <v>2069</v>
      </c>
      <c r="B620" s="2">
        <v>-13.379999999999999</v>
      </c>
    </row>
    <row r="621" spans="1:2" x14ac:dyDescent="0.35">
      <c r="A621" s="5" t="s">
        <v>1670</v>
      </c>
      <c r="B621" s="2">
        <v>-14.499999999999998</v>
      </c>
    </row>
    <row r="622" spans="1:2" x14ac:dyDescent="0.35">
      <c r="A622" s="5" t="s">
        <v>2284</v>
      </c>
      <c r="B622" s="2">
        <v>-14.75</v>
      </c>
    </row>
    <row r="623" spans="1:2" x14ac:dyDescent="0.35">
      <c r="A623" s="5" t="s">
        <v>2186</v>
      </c>
      <c r="B623" s="2">
        <v>-14.99</v>
      </c>
    </row>
    <row r="624" spans="1:2" x14ac:dyDescent="0.35">
      <c r="A624" s="5" t="s">
        <v>286</v>
      </c>
      <c r="B624" s="2">
        <v>-15.13</v>
      </c>
    </row>
    <row r="625" spans="1:2" x14ac:dyDescent="0.35">
      <c r="A625" s="5" t="s">
        <v>1448</v>
      </c>
      <c r="B625" s="2">
        <v>-17.29</v>
      </c>
    </row>
    <row r="626" spans="1:2" x14ac:dyDescent="0.35">
      <c r="A626" s="5" t="s">
        <v>2233</v>
      </c>
      <c r="B626" s="2">
        <v>-17.440000000000001</v>
      </c>
    </row>
    <row r="627" spans="1:2" x14ac:dyDescent="0.35">
      <c r="A627" s="5" t="s">
        <v>1040</v>
      </c>
      <c r="B627" s="2">
        <v>-19.580000000000002</v>
      </c>
    </row>
    <row r="628" spans="1:2" x14ac:dyDescent="0.35">
      <c r="A628" s="5" t="s">
        <v>1629</v>
      </c>
      <c r="B628" s="2">
        <v>-20.47</v>
      </c>
    </row>
    <row r="629" spans="1:2" x14ac:dyDescent="0.35">
      <c r="A629" s="5" t="s">
        <v>1920</v>
      </c>
      <c r="B629" s="2">
        <v>-22.33</v>
      </c>
    </row>
    <row r="630" spans="1:2" x14ac:dyDescent="0.35">
      <c r="A630" s="5" t="s">
        <v>1005</v>
      </c>
      <c r="B630" s="2">
        <v>-25.549999999999997</v>
      </c>
    </row>
    <row r="631" spans="1:2" x14ac:dyDescent="0.35">
      <c r="A631" s="5" t="s">
        <v>2106</v>
      </c>
      <c r="B631" s="2">
        <v>-26.910000000000004</v>
      </c>
    </row>
    <row r="632" spans="1:2" x14ac:dyDescent="0.35">
      <c r="A632" s="5" t="s">
        <v>1209</v>
      </c>
      <c r="B632" s="2">
        <v>-29.61</v>
      </c>
    </row>
    <row r="633" spans="1:2" x14ac:dyDescent="0.35">
      <c r="A633" s="5" t="s">
        <v>1503</v>
      </c>
      <c r="B633" s="2">
        <v>-32.550000000000004</v>
      </c>
    </row>
    <row r="634" spans="1:2" x14ac:dyDescent="0.35">
      <c r="A634" s="5" t="s">
        <v>1897</v>
      </c>
      <c r="B634" s="2">
        <v>-34.160000000000004</v>
      </c>
    </row>
    <row r="635" spans="1:2" x14ac:dyDescent="0.35">
      <c r="A635" s="5" t="s">
        <v>536</v>
      </c>
      <c r="B635" s="2">
        <v>-35.93</v>
      </c>
    </row>
    <row r="636" spans="1:2" x14ac:dyDescent="0.35">
      <c r="A636" s="5" t="s">
        <v>1432</v>
      </c>
      <c r="B636" s="2">
        <v>-36.830000000000005</v>
      </c>
    </row>
    <row r="637" spans="1:2" x14ac:dyDescent="0.35">
      <c r="A637" s="5" t="s">
        <v>1420</v>
      </c>
      <c r="B637" s="2">
        <v>-36.89</v>
      </c>
    </row>
    <row r="638" spans="1:2" x14ac:dyDescent="0.35">
      <c r="A638" s="5" t="s">
        <v>342</v>
      </c>
      <c r="B638" s="2">
        <v>-37.19</v>
      </c>
    </row>
    <row r="639" spans="1:2" x14ac:dyDescent="0.35">
      <c r="A639" s="5" t="s">
        <v>1262</v>
      </c>
      <c r="B639" s="2">
        <v>-38.200000000000003</v>
      </c>
    </row>
    <row r="640" spans="1:2" x14ac:dyDescent="0.35">
      <c r="A640" s="5" t="s">
        <v>1727</v>
      </c>
      <c r="B640" s="2">
        <v>-40.830000000000005</v>
      </c>
    </row>
    <row r="641" spans="1:2" x14ac:dyDescent="0.35">
      <c r="A641" s="5" t="s">
        <v>235</v>
      </c>
      <c r="B641" s="2">
        <v>-40.94</v>
      </c>
    </row>
    <row r="642" spans="1:2" x14ac:dyDescent="0.35">
      <c r="A642" s="5" t="s">
        <v>2151</v>
      </c>
      <c r="B642" s="2">
        <v>-42.63</v>
      </c>
    </row>
    <row r="643" spans="1:2" x14ac:dyDescent="0.35">
      <c r="A643" s="5" t="s">
        <v>729</v>
      </c>
      <c r="B643" s="2">
        <v>-45.51</v>
      </c>
    </row>
    <row r="644" spans="1:2" x14ac:dyDescent="0.35">
      <c r="A644" s="5" t="s">
        <v>630</v>
      </c>
      <c r="B644" s="2">
        <v>-45.589999999999996</v>
      </c>
    </row>
    <row r="645" spans="1:2" x14ac:dyDescent="0.35">
      <c r="A645" s="5" t="s">
        <v>1649</v>
      </c>
      <c r="B645" s="2">
        <v>-47.07</v>
      </c>
    </row>
    <row r="646" spans="1:2" x14ac:dyDescent="0.35">
      <c r="A646" s="5" t="s">
        <v>240</v>
      </c>
      <c r="B646" s="2">
        <v>-47.34</v>
      </c>
    </row>
    <row r="647" spans="1:2" x14ac:dyDescent="0.35">
      <c r="A647" s="5" t="s">
        <v>867</v>
      </c>
      <c r="B647" s="2">
        <v>-47.53</v>
      </c>
    </row>
    <row r="648" spans="1:2" x14ac:dyDescent="0.35">
      <c r="A648" s="5" t="s">
        <v>124</v>
      </c>
      <c r="B648" s="2">
        <v>-48.990000000000038</v>
      </c>
    </row>
    <row r="649" spans="1:2" x14ac:dyDescent="0.35">
      <c r="A649" s="5" t="s">
        <v>1144</v>
      </c>
      <c r="B649" s="2">
        <v>-49.72</v>
      </c>
    </row>
    <row r="650" spans="1:2" x14ac:dyDescent="0.35">
      <c r="A650" s="5" t="s">
        <v>1898</v>
      </c>
      <c r="B650" s="2">
        <v>-52.160000000000025</v>
      </c>
    </row>
    <row r="651" spans="1:2" x14ac:dyDescent="0.35">
      <c r="A651" s="5" t="s">
        <v>1518</v>
      </c>
      <c r="B651" s="2">
        <v>-53.34</v>
      </c>
    </row>
    <row r="652" spans="1:2" x14ac:dyDescent="0.35">
      <c r="A652" s="5" t="s">
        <v>1128</v>
      </c>
      <c r="B652" s="2">
        <v>-64.849999999999994</v>
      </c>
    </row>
    <row r="653" spans="1:2" x14ac:dyDescent="0.35">
      <c r="A653" s="5" t="s">
        <v>1575</v>
      </c>
      <c r="B653" s="2">
        <v>-65.02</v>
      </c>
    </row>
    <row r="654" spans="1:2" x14ac:dyDescent="0.35">
      <c r="A654" s="5" t="s">
        <v>2193</v>
      </c>
      <c r="B654" s="2">
        <v>-69.47</v>
      </c>
    </row>
    <row r="655" spans="1:2" x14ac:dyDescent="0.35">
      <c r="A655" s="5" t="s">
        <v>463</v>
      </c>
      <c r="B655" s="2">
        <v>-72.31</v>
      </c>
    </row>
    <row r="656" spans="1:2" x14ac:dyDescent="0.35">
      <c r="A656" s="5" t="s">
        <v>1563</v>
      </c>
      <c r="B656" s="2">
        <v>-72.339999999999975</v>
      </c>
    </row>
    <row r="657" spans="1:2" x14ac:dyDescent="0.35">
      <c r="A657" s="5" t="s">
        <v>460</v>
      </c>
      <c r="B657" s="2">
        <v>-73.72</v>
      </c>
    </row>
    <row r="658" spans="1:2" x14ac:dyDescent="0.35">
      <c r="A658" s="5" t="s">
        <v>1079</v>
      </c>
      <c r="B658" s="2">
        <v>-74.740000000000009</v>
      </c>
    </row>
    <row r="659" spans="1:2" x14ac:dyDescent="0.35">
      <c r="A659" s="5" t="s">
        <v>1400</v>
      </c>
      <c r="B659" s="2">
        <v>-76.379999999999981</v>
      </c>
    </row>
    <row r="660" spans="1:2" x14ac:dyDescent="0.35">
      <c r="A660" s="5" t="s">
        <v>2396</v>
      </c>
      <c r="B660" s="2">
        <v>-77.3</v>
      </c>
    </row>
    <row r="661" spans="1:2" x14ac:dyDescent="0.35">
      <c r="A661" s="5" t="s">
        <v>589</v>
      </c>
      <c r="B661" s="2">
        <v>-79.790000000000006</v>
      </c>
    </row>
    <row r="662" spans="1:2" x14ac:dyDescent="0.35">
      <c r="A662" s="5" t="s">
        <v>1104</v>
      </c>
      <c r="B662" s="2">
        <v>-82.01</v>
      </c>
    </row>
    <row r="663" spans="1:2" x14ac:dyDescent="0.35">
      <c r="A663" s="5" t="s">
        <v>979</v>
      </c>
      <c r="B663" s="2">
        <v>-83.72</v>
      </c>
    </row>
    <row r="664" spans="1:2" x14ac:dyDescent="0.35">
      <c r="A664" s="5" t="s">
        <v>1171</v>
      </c>
      <c r="B664" s="2">
        <v>-85.58</v>
      </c>
    </row>
    <row r="665" spans="1:2" x14ac:dyDescent="0.35">
      <c r="A665" s="5" t="s">
        <v>1323</v>
      </c>
      <c r="B665" s="2">
        <v>-91.22</v>
      </c>
    </row>
    <row r="666" spans="1:2" x14ac:dyDescent="0.35">
      <c r="A666" s="5" t="s">
        <v>2419</v>
      </c>
      <c r="B666" s="2">
        <v>-92.7</v>
      </c>
    </row>
    <row r="667" spans="1:2" x14ac:dyDescent="0.35">
      <c r="A667" s="5" t="s">
        <v>640</v>
      </c>
      <c r="B667" s="2">
        <v>-94.390000000000015</v>
      </c>
    </row>
    <row r="668" spans="1:2" x14ac:dyDescent="0.35">
      <c r="A668" s="5" t="s">
        <v>1549</v>
      </c>
      <c r="B668" s="2">
        <v>-95.41</v>
      </c>
    </row>
    <row r="669" spans="1:2" x14ac:dyDescent="0.35">
      <c r="A669" s="5" t="s">
        <v>1440</v>
      </c>
      <c r="B669" s="2">
        <v>-95.45</v>
      </c>
    </row>
    <row r="670" spans="1:2" x14ac:dyDescent="0.35">
      <c r="A670" s="5" t="s">
        <v>169</v>
      </c>
      <c r="B670" s="2">
        <v>-96.670000000000073</v>
      </c>
    </row>
    <row r="671" spans="1:2" x14ac:dyDescent="0.35">
      <c r="A671" s="5" t="s">
        <v>1207</v>
      </c>
      <c r="B671" s="2">
        <v>-100.12999999999997</v>
      </c>
    </row>
    <row r="672" spans="1:2" x14ac:dyDescent="0.35">
      <c r="A672" s="5" t="s">
        <v>244</v>
      </c>
      <c r="B672" s="2">
        <v>-111.18</v>
      </c>
    </row>
    <row r="673" spans="1:2" x14ac:dyDescent="0.35">
      <c r="A673" s="5" t="s">
        <v>1647</v>
      </c>
      <c r="B673" s="2">
        <v>-112.39</v>
      </c>
    </row>
    <row r="674" spans="1:2" x14ac:dyDescent="0.35">
      <c r="A674" s="5" t="s">
        <v>289</v>
      </c>
      <c r="B674" s="2">
        <v>-114.77000000000001</v>
      </c>
    </row>
    <row r="675" spans="1:2" x14ac:dyDescent="0.35">
      <c r="A675" s="5" t="s">
        <v>1268</v>
      </c>
      <c r="B675" s="2">
        <v>-115.01</v>
      </c>
    </row>
    <row r="676" spans="1:2" x14ac:dyDescent="0.35">
      <c r="A676" s="5" t="s">
        <v>296</v>
      </c>
      <c r="B676" s="2">
        <v>-117.55999999999999</v>
      </c>
    </row>
    <row r="677" spans="1:2" x14ac:dyDescent="0.35">
      <c r="A677" s="5" t="s">
        <v>25</v>
      </c>
      <c r="B677" s="2">
        <v>-120.77000000000001</v>
      </c>
    </row>
    <row r="678" spans="1:2" x14ac:dyDescent="0.35">
      <c r="A678" s="5" t="s">
        <v>579</v>
      </c>
      <c r="B678" s="2">
        <v>-126.49000000000002</v>
      </c>
    </row>
    <row r="679" spans="1:2" x14ac:dyDescent="0.35">
      <c r="A679" s="5" t="s">
        <v>292</v>
      </c>
      <c r="B679" s="2">
        <v>-126.78999999999998</v>
      </c>
    </row>
    <row r="680" spans="1:2" x14ac:dyDescent="0.35">
      <c r="A680" s="5" t="s">
        <v>229</v>
      </c>
      <c r="B680" s="2">
        <v>-145.04000000000002</v>
      </c>
    </row>
    <row r="681" spans="1:2" x14ac:dyDescent="0.35">
      <c r="A681" s="5" t="s">
        <v>203</v>
      </c>
      <c r="B681" s="2">
        <v>-152.75</v>
      </c>
    </row>
    <row r="682" spans="1:2" x14ac:dyDescent="0.35">
      <c r="A682" s="5" t="s">
        <v>1274</v>
      </c>
      <c r="B682" s="2">
        <v>-160.94</v>
      </c>
    </row>
    <row r="683" spans="1:2" x14ac:dyDescent="0.35">
      <c r="A683" s="5" t="s">
        <v>1247</v>
      </c>
      <c r="B683" s="2">
        <v>-161.14000000000001</v>
      </c>
    </row>
    <row r="684" spans="1:2" x14ac:dyDescent="0.35">
      <c r="A684" s="5" t="s">
        <v>1384</v>
      </c>
      <c r="B684" s="2">
        <v>-167.95</v>
      </c>
    </row>
    <row r="685" spans="1:2" x14ac:dyDescent="0.35">
      <c r="A685" s="5" t="s">
        <v>913</v>
      </c>
      <c r="B685" s="2">
        <v>-169.02</v>
      </c>
    </row>
    <row r="686" spans="1:2" x14ac:dyDescent="0.35">
      <c r="A686" s="5" t="s">
        <v>1077</v>
      </c>
      <c r="B686" s="2">
        <v>-169.32999999999998</v>
      </c>
    </row>
    <row r="687" spans="1:2" x14ac:dyDescent="0.35">
      <c r="A687" s="5" t="s">
        <v>1957</v>
      </c>
      <c r="B687" s="2">
        <v>-175.14</v>
      </c>
    </row>
    <row r="688" spans="1:2" x14ac:dyDescent="0.35">
      <c r="A688" s="5" t="s">
        <v>671</v>
      </c>
      <c r="B688" s="2">
        <v>-184.34</v>
      </c>
    </row>
    <row r="689" spans="1:2" x14ac:dyDescent="0.35">
      <c r="A689" s="5" t="s">
        <v>929</v>
      </c>
      <c r="B689" s="2">
        <v>-188.55</v>
      </c>
    </row>
    <row r="690" spans="1:2" x14ac:dyDescent="0.35">
      <c r="A690" s="5" t="s">
        <v>2019</v>
      </c>
      <c r="B690" s="2">
        <v>-191.56</v>
      </c>
    </row>
    <row r="691" spans="1:2" x14ac:dyDescent="0.35">
      <c r="A691" s="5" t="s">
        <v>558</v>
      </c>
      <c r="B691" s="2">
        <v>-224.09</v>
      </c>
    </row>
    <row r="692" spans="1:2" x14ac:dyDescent="0.35">
      <c r="A692" s="5" t="s">
        <v>960</v>
      </c>
      <c r="B692" s="2">
        <v>-228.04</v>
      </c>
    </row>
    <row r="693" spans="1:2" x14ac:dyDescent="0.35">
      <c r="A693" s="5" t="s">
        <v>1310</v>
      </c>
      <c r="B693" s="2">
        <v>-236.41</v>
      </c>
    </row>
    <row r="694" spans="1:2" x14ac:dyDescent="0.35">
      <c r="A694" s="5" t="s">
        <v>1737</v>
      </c>
      <c r="B694" s="2">
        <v>-237.29</v>
      </c>
    </row>
    <row r="695" spans="1:2" x14ac:dyDescent="0.35">
      <c r="A695" s="5" t="s">
        <v>706</v>
      </c>
      <c r="B695" s="2">
        <v>-242.74999999999997</v>
      </c>
    </row>
    <row r="696" spans="1:2" x14ac:dyDescent="0.35">
      <c r="A696" s="5" t="s">
        <v>130</v>
      </c>
      <c r="B696" s="2">
        <v>-255.80999999999997</v>
      </c>
    </row>
    <row r="697" spans="1:2" x14ac:dyDescent="0.35">
      <c r="A697" s="5" t="s">
        <v>2376</v>
      </c>
      <c r="B697" s="2">
        <v>-256.57000000000005</v>
      </c>
    </row>
    <row r="698" spans="1:2" x14ac:dyDescent="0.35">
      <c r="A698" s="5" t="s">
        <v>267</v>
      </c>
      <c r="B698" s="2">
        <v>-258.49</v>
      </c>
    </row>
    <row r="699" spans="1:2" x14ac:dyDescent="0.35">
      <c r="A699" s="5" t="s">
        <v>2250</v>
      </c>
      <c r="B699" s="2">
        <v>-263.45000000000005</v>
      </c>
    </row>
    <row r="700" spans="1:2" x14ac:dyDescent="0.35">
      <c r="A700" s="5" t="s">
        <v>833</v>
      </c>
      <c r="B700" s="2">
        <v>-264.31</v>
      </c>
    </row>
    <row r="701" spans="1:2" x14ac:dyDescent="0.35">
      <c r="A701" s="5" t="s">
        <v>1925</v>
      </c>
      <c r="B701" s="2">
        <v>-269.35000000000002</v>
      </c>
    </row>
    <row r="702" spans="1:2" x14ac:dyDescent="0.35">
      <c r="A702" s="5" t="s">
        <v>620</v>
      </c>
      <c r="B702" s="2">
        <v>-271.72000000000008</v>
      </c>
    </row>
    <row r="703" spans="1:2" x14ac:dyDescent="0.35">
      <c r="A703" s="5" t="s">
        <v>1031</v>
      </c>
      <c r="B703" s="2">
        <v>-295.61</v>
      </c>
    </row>
    <row r="704" spans="1:2" x14ac:dyDescent="0.35">
      <c r="A704" s="5" t="s">
        <v>1811</v>
      </c>
      <c r="B704" s="2">
        <v>-300.31000000000006</v>
      </c>
    </row>
    <row r="705" spans="1:2" x14ac:dyDescent="0.35">
      <c r="A705" s="5" t="s">
        <v>1109</v>
      </c>
      <c r="B705" s="2">
        <v>-303.02999999999997</v>
      </c>
    </row>
    <row r="706" spans="1:2" x14ac:dyDescent="0.35">
      <c r="A706" s="5" t="s">
        <v>1601</v>
      </c>
      <c r="B706" s="2">
        <v>-306.74</v>
      </c>
    </row>
    <row r="707" spans="1:2" x14ac:dyDescent="0.35">
      <c r="A707" s="5" t="s">
        <v>562</v>
      </c>
      <c r="B707" s="2">
        <v>-321.2</v>
      </c>
    </row>
    <row r="708" spans="1:2" x14ac:dyDescent="0.35">
      <c r="A708" s="5" t="s">
        <v>302</v>
      </c>
      <c r="B708" s="2">
        <v>-326.13</v>
      </c>
    </row>
    <row r="709" spans="1:2" x14ac:dyDescent="0.35">
      <c r="A709" s="5" t="s">
        <v>497</v>
      </c>
      <c r="B709" s="2">
        <v>-336.9</v>
      </c>
    </row>
    <row r="710" spans="1:2" x14ac:dyDescent="0.35">
      <c r="A710" s="5" t="s">
        <v>1363</v>
      </c>
      <c r="B710" s="2">
        <v>-346.61999999999995</v>
      </c>
    </row>
    <row r="711" spans="1:2" x14ac:dyDescent="0.35">
      <c r="A711" s="5" t="s">
        <v>1155</v>
      </c>
      <c r="B711" s="2">
        <v>-347</v>
      </c>
    </row>
    <row r="712" spans="1:2" x14ac:dyDescent="0.35">
      <c r="A712" s="5" t="s">
        <v>2256</v>
      </c>
      <c r="B712" s="2">
        <v>-354.90000000000009</v>
      </c>
    </row>
    <row r="713" spans="1:2" x14ac:dyDescent="0.35">
      <c r="A713" s="5" t="s">
        <v>715</v>
      </c>
      <c r="B713" s="2">
        <v>-369.35999999999996</v>
      </c>
    </row>
    <row r="714" spans="1:2" x14ac:dyDescent="0.35">
      <c r="A714" s="5" t="s">
        <v>2110</v>
      </c>
      <c r="B714" s="2">
        <v>-377.96000000000004</v>
      </c>
    </row>
    <row r="715" spans="1:2" x14ac:dyDescent="0.35">
      <c r="A715" s="5" t="s">
        <v>1368</v>
      </c>
      <c r="B715" s="2">
        <v>-383.07000000000005</v>
      </c>
    </row>
    <row r="716" spans="1:2" x14ac:dyDescent="0.35">
      <c r="A716" s="5" t="s">
        <v>592</v>
      </c>
      <c r="B716" s="2">
        <v>-390.81999999999994</v>
      </c>
    </row>
    <row r="717" spans="1:2" x14ac:dyDescent="0.35">
      <c r="A717" s="5" t="s">
        <v>2099</v>
      </c>
      <c r="B717" s="2">
        <v>-390.95999999999992</v>
      </c>
    </row>
    <row r="718" spans="1:2" x14ac:dyDescent="0.35">
      <c r="A718" s="5" t="s">
        <v>1425</v>
      </c>
      <c r="B718" s="2">
        <v>-392.86</v>
      </c>
    </row>
    <row r="719" spans="1:2" x14ac:dyDescent="0.35">
      <c r="A719" s="5" t="s">
        <v>1131</v>
      </c>
      <c r="B719" s="2">
        <v>-399.32000000000005</v>
      </c>
    </row>
    <row r="720" spans="1:2" x14ac:dyDescent="0.35">
      <c r="A720" s="5" t="s">
        <v>623</v>
      </c>
      <c r="B720" s="2">
        <v>-403.33000000000004</v>
      </c>
    </row>
    <row r="721" spans="1:2" x14ac:dyDescent="0.35">
      <c r="A721" s="5" t="s">
        <v>900</v>
      </c>
      <c r="B721" s="2">
        <v>-418.91999999999996</v>
      </c>
    </row>
    <row r="722" spans="1:2" x14ac:dyDescent="0.35">
      <c r="A722" s="5" t="s">
        <v>1669</v>
      </c>
      <c r="B722" s="2">
        <v>-427.83999999999969</v>
      </c>
    </row>
    <row r="723" spans="1:2" x14ac:dyDescent="0.35">
      <c r="A723" s="5" t="s">
        <v>2338</v>
      </c>
      <c r="B723" s="2">
        <v>-436.26</v>
      </c>
    </row>
    <row r="724" spans="1:2" x14ac:dyDescent="0.35">
      <c r="A724" s="5" t="s">
        <v>2076</v>
      </c>
      <c r="B724" s="2">
        <v>-443.15999999999997</v>
      </c>
    </row>
    <row r="725" spans="1:2" x14ac:dyDescent="0.35">
      <c r="A725" s="5" t="s">
        <v>643</v>
      </c>
      <c r="B725" s="2">
        <v>-477.21999999999997</v>
      </c>
    </row>
    <row r="726" spans="1:2" x14ac:dyDescent="0.35">
      <c r="A726" s="5" t="s">
        <v>40</v>
      </c>
      <c r="B726" s="2">
        <v>-497.31</v>
      </c>
    </row>
    <row r="727" spans="1:2" x14ac:dyDescent="0.35">
      <c r="A727" s="5" t="s">
        <v>1241</v>
      </c>
      <c r="B727" s="2">
        <v>-740.08</v>
      </c>
    </row>
    <row r="728" spans="1:2" x14ac:dyDescent="0.35">
      <c r="A728" s="5" t="s">
        <v>2174</v>
      </c>
      <c r="B728" s="2">
        <v>-769.73</v>
      </c>
    </row>
    <row r="729" spans="1:2" x14ac:dyDescent="0.35">
      <c r="A729" s="5" t="s">
        <v>354</v>
      </c>
      <c r="B729" s="2">
        <v>-798.70999999999992</v>
      </c>
    </row>
    <row r="730" spans="1:2" x14ac:dyDescent="0.35">
      <c r="A730" s="5" t="s">
        <v>1583</v>
      </c>
      <c r="B730" s="2">
        <v>-966.55000000000007</v>
      </c>
    </row>
    <row r="731" spans="1:2" x14ac:dyDescent="0.35">
      <c r="A731" s="5" t="s">
        <v>1251</v>
      </c>
      <c r="B731" s="2">
        <v>-993.53999999999985</v>
      </c>
    </row>
    <row r="732" spans="1:2" x14ac:dyDescent="0.35">
      <c r="A732" s="5" t="s">
        <v>912</v>
      </c>
      <c r="B732" s="2">
        <v>-1039.1800000000003</v>
      </c>
    </row>
    <row r="733" spans="1:2" x14ac:dyDescent="0.35">
      <c r="A733" s="5" t="s">
        <v>1049</v>
      </c>
      <c r="B733" s="2">
        <v>-1044.0999999999999</v>
      </c>
    </row>
    <row r="734" spans="1:2" x14ac:dyDescent="0.35">
      <c r="A734" s="5" t="s">
        <v>1396</v>
      </c>
      <c r="B734" s="2">
        <v>-1046.24</v>
      </c>
    </row>
    <row r="735" spans="1:2" x14ac:dyDescent="0.35">
      <c r="A735" s="5" t="s">
        <v>446</v>
      </c>
      <c r="B735" s="2">
        <v>-1115.6099999999999</v>
      </c>
    </row>
    <row r="736" spans="1:2" x14ac:dyDescent="0.35">
      <c r="A736" s="5" t="s">
        <v>1938</v>
      </c>
      <c r="B736" s="2">
        <v>-1687.71</v>
      </c>
    </row>
    <row r="737" spans="1:2" x14ac:dyDescent="0.35">
      <c r="A737" s="5" t="s">
        <v>700</v>
      </c>
      <c r="B737" s="2">
        <v>-1759.87</v>
      </c>
    </row>
    <row r="738" spans="1:2" x14ac:dyDescent="0.35">
      <c r="A738" s="5" t="s">
        <v>1462</v>
      </c>
      <c r="B738" s="2">
        <v>-2974.3</v>
      </c>
    </row>
    <row r="739" spans="1:2" x14ac:dyDescent="0.35">
      <c r="A739" s="5" t="s">
        <v>552</v>
      </c>
      <c r="B739" s="2">
        <v>-4108.66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87D24-0E40-4F2C-9CD2-3A48487CE17B}">
  <dimension ref="A1:E50"/>
  <sheetViews>
    <sheetView workbookViewId="0">
      <selection activeCell="W12" sqref="W12"/>
    </sheetView>
  </sheetViews>
  <sheetFormatPr defaultRowHeight="14.5" x14ac:dyDescent="0.35"/>
  <cols>
    <col min="1" max="1" width="17.36328125" bestFit="1" customWidth="1"/>
    <col min="2" max="2" width="11.26953125" bestFit="1" customWidth="1"/>
    <col min="5" max="5" width="9.36328125" bestFit="1" customWidth="1"/>
  </cols>
  <sheetData>
    <row r="1" spans="1:5" x14ac:dyDescent="0.35">
      <c r="A1" s="4" t="s">
        <v>2425</v>
      </c>
      <c r="B1" t="s">
        <v>2427</v>
      </c>
    </row>
    <row r="2" spans="1:5" x14ac:dyDescent="0.35">
      <c r="A2" s="5" t="s">
        <v>607</v>
      </c>
      <c r="B2" s="2">
        <v>1743.2700000000002</v>
      </c>
      <c r="D2" t="str">
        <f t="shared" ref="D2:D49" si="0">A2</f>
        <v>Alabama</v>
      </c>
      <c r="E2" s="2">
        <f t="shared" ref="E2:E49" si="1">B2</f>
        <v>1743.2700000000002</v>
      </c>
    </row>
    <row r="3" spans="1:5" x14ac:dyDescent="0.35">
      <c r="A3" s="5" t="s">
        <v>211</v>
      </c>
      <c r="B3" s="2">
        <v>8775.65</v>
      </c>
      <c r="D3" t="str">
        <f t="shared" si="0"/>
        <v>Arizona</v>
      </c>
      <c r="E3" s="2">
        <f t="shared" si="1"/>
        <v>8775.65</v>
      </c>
    </row>
    <row r="4" spans="1:5" x14ac:dyDescent="0.35">
      <c r="A4" s="5" t="s">
        <v>67</v>
      </c>
      <c r="B4" s="2">
        <v>4502.26</v>
      </c>
      <c r="D4" t="str">
        <f t="shared" si="0"/>
        <v>Arkansas</v>
      </c>
      <c r="E4" s="2">
        <f t="shared" si="1"/>
        <v>4502.26</v>
      </c>
    </row>
    <row r="5" spans="1:5" x14ac:dyDescent="0.35">
      <c r="A5" s="5" t="s">
        <v>45</v>
      </c>
      <c r="B5" s="2">
        <v>181569.94000000015</v>
      </c>
      <c r="D5" t="str">
        <f t="shared" si="0"/>
        <v>California</v>
      </c>
      <c r="E5" s="2">
        <f t="shared" si="1"/>
        <v>181569.94000000015</v>
      </c>
    </row>
    <row r="6" spans="1:5" x14ac:dyDescent="0.35">
      <c r="A6" s="5" t="s">
        <v>103</v>
      </c>
      <c r="B6" s="2">
        <v>12481.9</v>
      </c>
      <c r="D6" t="str">
        <f t="shared" si="0"/>
        <v>Colorado</v>
      </c>
      <c r="E6" s="2">
        <f t="shared" si="1"/>
        <v>12481.9</v>
      </c>
    </row>
    <row r="7" spans="1:5" x14ac:dyDescent="0.35">
      <c r="A7" s="5" t="s">
        <v>323</v>
      </c>
      <c r="B7" s="2">
        <v>5826.4999999999991</v>
      </c>
      <c r="D7" t="str">
        <f t="shared" si="0"/>
        <v>Connecticut</v>
      </c>
      <c r="E7" s="2">
        <f t="shared" si="1"/>
        <v>5826.4999999999991</v>
      </c>
    </row>
    <row r="8" spans="1:5" x14ac:dyDescent="0.35">
      <c r="A8" s="5" t="s">
        <v>876</v>
      </c>
      <c r="B8" s="2">
        <v>7740.6499999999978</v>
      </c>
      <c r="D8" t="str">
        <f t="shared" si="0"/>
        <v>Delaware</v>
      </c>
      <c r="E8" s="2">
        <f t="shared" si="1"/>
        <v>7740.6499999999978</v>
      </c>
    </row>
    <row r="9" spans="1:5" x14ac:dyDescent="0.35">
      <c r="A9" s="5" t="s">
        <v>1872</v>
      </c>
      <c r="B9" s="2">
        <v>111.68</v>
      </c>
      <c r="D9" t="str">
        <f t="shared" si="0"/>
        <v>District of Columbia</v>
      </c>
      <c r="E9" s="2">
        <f t="shared" si="1"/>
        <v>111.68</v>
      </c>
    </row>
    <row r="10" spans="1:5" x14ac:dyDescent="0.35">
      <c r="A10" s="5" t="s">
        <v>77</v>
      </c>
      <c r="B10" s="2">
        <v>34505.539999999994</v>
      </c>
      <c r="D10" t="str">
        <f t="shared" si="0"/>
        <v>Florida</v>
      </c>
      <c r="E10" s="2">
        <f t="shared" si="1"/>
        <v>34505.539999999994</v>
      </c>
    </row>
    <row r="11" spans="1:5" x14ac:dyDescent="0.35">
      <c r="A11" s="5" t="s">
        <v>165</v>
      </c>
      <c r="B11" s="2">
        <v>14201.240000000002</v>
      </c>
      <c r="D11" t="str">
        <f t="shared" si="0"/>
        <v>Georgia</v>
      </c>
      <c r="E11" s="2">
        <f t="shared" si="1"/>
        <v>14201.240000000002</v>
      </c>
    </row>
    <row r="12" spans="1:5" x14ac:dyDescent="0.35">
      <c r="A12" s="5" t="s">
        <v>871</v>
      </c>
      <c r="B12" s="2">
        <v>1271.9900000000002</v>
      </c>
      <c r="D12" t="str">
        <f t="shared" si="0"/>
        <v>Idaho</v>
      </c>
      <c r="E12" s="2">
        <f t="shared" si="1"/>
        <v>1271.9900000000002</v>
      </c>
    </row>
    <row r="13" spans="1:5" x14ac:dyDescent="0.35">
      <c r="A13" s="5" t="s">
        <v>26</v>
      </c>
      <c r="B13" s="2">
        <v>25036.01</v>
      </c>
      <c r="D13" t="str">
        <f t="shared" si="0"/>
        <v>Illinois</v>
      </c>
      <c r="E13" s="2">
        <f t="shared" si="1"/>
        <v>25036.01</v>
      </c>
    </row>
    <row r="14" spans="1:5" x14ac:dyDescent="0.35">
      <c r="A14" s="5" t="s">
        <v>575</v>
      </c>
      <c r="B14" s="2">
        <v>35576.800000000003</v>
      </c>
      <c r="D14" t="str">
        <f t="shared" si="0"/>
        <v>Indiana</v>
      </c>
      <c r="E14" s="2">
        <f t="shared" si="1"/>
        <v>35576.800000000003</v>
      </c>
    </row>
    <row r="15" spans="1:5" x14ac:dyDescent="0.35">
      <c r="A15" s="5" t="s">
        <v>1451</v>
      </c>
      <c r="B15" s="2">
        <v>963.11999999999978</v>
      </c>
      <c r="D15" t="str">
        <f t="shared" si="0"/>
        <v>Iowa</v>
      </c>
      <c r="E15" s="2">
        <f t="shared" si="1"/>
        <v>963.11999999999978</v>
      </c>
    </row>
    <row r="16" spans="1:5" x14ac:dyDescent="0.35">
      <c r="A16" s="5" t="s">
        <v>1008</v>
      </c>
      <c r="B16" s="2">
        <v>1187.6699999999998</v>
      </c>
      <c r="D16" t="str">
        <f t="shared" si="0"/>
        <v>Kansas</v>
      </c>
      <c r="E16" s="2">
        <f t="shared" si="1"/>
        <v>1187.6699999999998</v>
      </c>
    </row>
    <row r="17" spans="1:5" x14ac:dyDescent="0.35">
      <c r="A17" s="5" t="s">
        <v>118</v>
      </c>
      <c r="B17" s="2">
        <v>18456.059999999994</v>
      </c>
      <c r="D17" t="str">
        <f t="shared" si="0"/>
        <v>Kentucky</v>
      </c>
      <c r="E17" s="2">
        <f t="shared" si="1"/>
        <v>18456.059999999994</v>
      </c>
    </row>
    <row r="18" spans="1:5" x14ac:dyDescent="0.35">
      <c r="A18" s="5" t="s">
        <v>362</v>
      </c>
      <c r="B18" s="2">
        <v>1397.62</v>
      </c>
      <c r="D18" t="str">
        <f t="shared" si="0"/>
        <v>Louisiana</v>
      </c>
      <c r="E18" s="2">
        <f t="shared" si="1"/>
        <v>1397.62</v>
      </c>
    </row>
    <row r="19" spans="1:5" x14ac:dyDescent="0.35">
      <c r="A19" s="5" t="s">
        <v>392</v>
      </c>
      <c r="B19" s="2">
        <v>617.12</v>
      </c>
      <c r="D19" t="str">
        <f t="shared" si="0"/>
        <v>Maine</v>
      </c>
      <c r="E19" s="2">
        <f t="shared" si="1"/>
        <v>617.12</v>
      </c>
    </row>
    <row r="20" spans="1:5" x14ac:dyDescent="0.35">
      <c r="A20" s="5" t="s">
        <v>249</v>
      </c>
      <c r="B20" s="2">
        <v>9990.9800000000014</v>
      </c>
      <c r="D20" t="str">
        <f t="shared" si="0"/>
        <v>Maryland</v>
      </c>
      <c r="E20" s="2">
        <f t="shared" si="1"/>
        <v>9990.9800000000014</v>
      </c>
    </row>
    <row r="21" spans="1:5" x14ac:dyDescent="0.35">
      <c r="A21" s="5" t="s">
        <v>51</v>
      </c>
      <c r="B21" s="2">
        <v>13358.169999999998</v>
      </c>
      <c r="D21" t="str">
        <f t="shared" si="0"/>
        <v>Massachusetts</v>
      </c>
      <c r="E21" s="2">
        <f t="shared" si="1"/>
        <v>13358.169999999998</v>
      </c>
    </row>
    <row r="22" spans="1:5" x14ac:dyDescent="0.35">
      <c r="A22" s="5" t="s">
        <v>71</v>
      </c>
      <c r="B22" s="2">
        <v>26912.33</v>
      </c>
      <c r="D22" t="str">
        <f t="shared" si="0"/>
        <v>Michigan</v>
      </c>
      <c r="E22" s="2">
        <f t="shared" si="1"/>
        <v>26912.33</v>
      </c>
    </row>
    <row r="23" spans="1:5" x14ac:dyDescent="0.35">
      <c r="A23" s="5" t="s">
        <v>55</v>
      </c>
      <c r="B23" s="2">
        <v>11065.399999999996</v>
      </c>
      <c r="D23" t="str">
        <f t="shared" si="0"/>
        <v>Minnesota</v>
      </c>
      <c r="E23" s="2">
        <f t="shared" si="1"/>
        <v>11065.399999999996</v>
      </c>
    </row>
    <row r="24" spans="1:5" x14ac:dyDescent="0.35">
      <c r="A24" s="5" t="s">
        <v>456</v>
      </c>
      <c r="B24" s="2">
        <v>2434.0400000000004</v>
      </c>
      <c r="D24" t="str">
        <f t="shared" si="0"/>
        <v>Mississippi</v>
      </c>
      <c r="E24" s="2">
        <f t="shared" si="1"/>
        <v>2434.0400000000004</v>
      </c>
    </row>
    <row r="25" spans="1:5" x14ac:dyDescent="0.35">
      <c r="A25" s="5" t="s">
        <v>190</v>
      </c>
      <c r="B25" s="2">
        <v>6194.6800000000012</v>
      </c>
      <c r="D25" t="str">
        <f t="shared" si="0"/>
        <v>Missouri</v>
      </c>
      <c r="E25" s="2">
        <f t="shared" si="1"/>
        <v>6194.6800000000012</v>
      </c>
    </row>
    <row r="26" spans="1:5" x14ac:dyDescent="0.35">
      <c r="A26" s="5" t="s">
        <v>901</v>
      </c>
      <c r="B26" s="2">
        <v>410.1</v>
      </c>
      <c r="D26" t="str">
        <f t="shared" si="0"/>
        <v>Montana</v>
      </c>
      <c r="E26" s="2">
        <f t="shared" si="1"/>
        <v>410.1</v>
      </c>
    </row>
    <row r="27" spans="1:5" x14ac:dyDescent="0.35">
      <c r="A27" s="5" t="s">
        <v>334</v>
      </c>
      <c r="B27" s="2">
        <v>3116.67</v>
      </c>
      <c r="D27" t="str">
        <f t="shared" si="0"/>
        <v>Nebraska</v>
      </c>
      <c r="E27" s="2">
        <f t="shared" si="1"/>
        <v>3116.67</v>
      </c>
    </row>
    <row r="28" spans="1:5" x14ac:dyDescent="0.35">
      <c r="A28" s="5" t="s">
        <v>100</v>
      </c>
      <c r="B28" s="2">
        <v>4992.63</v>
      </c>
      <c r="D28" t="str">
        <f t="shared" si="0"/>
        <v>Nevada</v>
      </c>
      <c r="E28" s="2">
        <f t="shared" si="1"/>
        <v>4992.63</v>
      </c>
    </row>
    <row r="29" spans="1:5" x14ac:dyDescent="0.35">
      <c r="A29" s="5" t="s">
        <v>1213</v>
      </c>
      <c r="B29" s="2">
        <v>1539.23</v>
      </c>
      <c r="D29" t="str">
        <f t="shared" si="0"/>
        <v>New Hampshire</v>
      </c>
      <c r="E29" s="2">
        <f t="shared" si="1"/>
        <v>1539.23</v>
      </c>
    </row>
    <row r="30" spans="1:5" x14ac:dyDescent="0.35">
      <c r="A30" s="5" t="s">
        <v>62</v>
      </c>
      <c r="B30" s="2">
        <v>10146.579999999996</v>
      </c>
      <c r="D30" t="str">
        <f t="shared" si="0"/>
        <v>New Jersey</v>
      </c>
      <c r="E30" s="2">
        <f t="shared" si="1"/>
        <v>10146.579999999996</v>
      </c>
    </row>
    <row r="31" spans="1:5" x14ac:dyDescent="0.35">
      <c r="A31" s="5" t="s">
        <v>857</v>
      </c>
      <c r="B31" s="2">
        <v>1677.9299999999998</v>
      </c>
      <c r="D31" t="str">
        <f t="shared" si="0"/>
        <v>New Mexico</v>
      </c>
      <c r="E31" s="2">
        <f t="shared" si="1"/>
        <v>1677.9299999999998</v>
      </c>
    </row>
    <row r="32" spans="1:5" x14ac:dyDescent="0.35">
      <c r="A32" s="5" t="s">
        <v>22</v>
      </c>
      <c r="B32" s="2">
        <v>124643.53999999992</v>
      </c>
      <c r="D32" t="str">
        <f t="shared" si="0"/>
        <v>New York</v>
      </c>
      <c r="E32" s="2">
        <f t="shared" si="1"/>
        <v>124643.53999999992</v>
      </c>
    </row>
    <row r="33" spans="1:5" x14ac:dyDescent="0.35">
      <c r="A33" s="5" t="s">
        <v>81</v>
      </c>
      <c r="B33" s="2">
        <v>28390.619999999992</v>
      </c>
      <c r="D33" t="str">
        <f t="shared" si="0"/>
        <v>North Carolina</v>
      </c>
      <c r="E33" s="2">
        <f t="shared" si="1"/>
        <v>28390.619999999992</v>
      </c>
    </row>
    <row r="34" spans="1:5" x14ac:dyDescent="0.35">
      <c r="A34" s="5" t="s">
        <v>131</v>
      </c>
      <c r="B34" s="2">
        <v>21340.76999999999</v>
      </c>
      <c r="D34" t="str">
        <f t="shared" si="0"/>
        <v>Ohio</v>
      </c>
      <c r="E34" s="2">
        <f t="shared" si="1"/>
        <v>21340.76999999999</v>
      </c>
    </row>
    <row r="35" spans="1:5" x14ac:dyDescent="0.35">
      <c r="A35" s="5" t="s">
        <v>339</v>
      </c>
      <c r="B35" s="2">
        <v>4895.68</v>
      </c>
      <c r="D35" t="str">
        <f t="shared" si="0"/>
        <v>Oklahoma</v>
      </c>
      <c r="E35" s="2">
        <f t="shared" si="1"/>
        <v>4895.68</v>
      </c>
    </row>
    <row r="36" spans="1:5" x14ac:dyDescent="0.35">
      <c r="A36" s="5" t="s">
        <v>107</v>
      </c>
      <c r="B36" s="2">
        <v>7738.9900000000016</v>
      </c>
      <c r="D36" t="str">
        <f t="shared" si="0"/>
        <v>Oregon</v>
      </c>
      <c r="E36" s="2">
        <f t="shared" si="1"/>
        <v>7738.9900000000016</v>
      </c>
    </row>
    <row r="37" spans="1:5" x14ac:dyDescent="0.35">
      <c r="A37" s="5" t="s">
        <v>89</v>
      </c>
      <c r="B37" s="2">
        <v>36617.150000000009</v>
      </c>
      <c r="D37" t="str">
        <f t="shared" si="0"/>
        <v>Pennsylvania</v>
      </c>
      <c r="E37" s="2">
        <f t="shared" si="1"/>
        <v>36617.150000000009</v>
      </c>
    </row>
    <row r="38" spans="1:5" x14ac:dyDescent="0.35">
      <c r="A38" s="5" t="s">
        <v>1125</v>
      </c>
      <c r="B38" s="2">
        <v>9897.51</v>
      </c>
      <c r="D38" t="str">
        <f t="shared" si="0"/>
        <v>Rhode Island</v>
      </c>
      <c r="E38" s="2">
        <f t="shared" si="1"/>
        <v>9897.51</v>
      </c>
    </row>
    <row r="39" spans="1:5" x14ac:dyDescent="0.35">
      <c r="A39" s="5" t="s">
        <v>351</v>
      </c>
      <c r="B39" s="2">
        <v>2084.2000000000003</v>
      </c>
      <c r="D39" t="str">
        <f t="shared" si="0"/>
        <v>South Carolina</v>
      </c>
      <c r="E39" s="2">
        <f t="shared" si="1"/>
        <v>2084.2000000000003</v>
      </c>
    </row>
    <row r="40" spans="1:5" x14ac:dyDescent="0.35">
      <c r="A40" s="5" t="s">
        <v>2394</v>
      </c>
      <c r="B40" s="2">
        <v>25.5</v>
      </c>
      <c r="D40" t="str">
        <f t="shared" si="0"/>
        <v>South Dakota</v>
      </c>
      <c r="E40" s="2">
        <f t="shared" si="1"/>
        <v>25.5</v>
      </c>
    </row>
    <row r="41" spans="1:5" x14ac:dyDescent="0.35">
      <c r="A41" s="5" t="s">
        <v>326</v>
      </c>
      <c r="B41" s="2">
        <v>7596.5399999999981</v>
      </c>
      <c r="D41" t="str">
        <f t="shared" si="0"/>
        <v>Tennessee</v>
      </c>
      <c r="E41" s="2">
        <f t="shared" si="1"/>
        <v>7596.5399999999981</v>
      </c>
    </row>
    <row r="42" spans="1:5" x14ac:dyDescent="0.35">
      <c r="A42" s="5" t="s">
        <v>32</v>
      </c>
      <c r="B42" s="2">
        <v>81791.079999999973</v>
      </c>
      <c r="D42" t="str">
        <f t="shared" si="0"/>
        <v>Texas</v>
      </c>
      <c r="E42" s="2">
        <f t="shared" si="1"/>
        <v>81791.079999999973</v>
      </c>
    </row>
    <row r="43" spans="1:5" x14ac:dyDescent="0.35">
      <c r="A43" s="5" t="s">
        <v>180</v>
      </c>
      <c r="B43" s="2">
        <v>4257.7</v>
      </c>
      <c r="D43" t="str">
        <f t="shared" si="0"/>
        <v>Utah</v>
      </c>
      <c r="E43" s="2">
        <f t="shared" si="1"/>
        <v>4257.7</v>
      </c>
    </row>
    <row r="44" spans="1:5" x14ac:dyDescent="0.35">
      <c r="A44" s="5" t="s">
        <v>1395</v>
      </c>
      <c r="B44" s="2">
        <v>6619.8799999999992</v>
      </c>
      <c r="D44" t="str">
        <f t="shared" si="0"/>
        <v>Vermont</v>
      </c>
      <c r="E44" s="2">
        <f t="shared" si="1"/>
        <v>6619.8799999999992</v>
      </c>
    </row>
    <row r="45" spans="1:5" x14ac:dyDescent="0.35">
      <c r="A45" s="5" t="s">
        <v>173</v>
      </c>
      <c r="B45" s="2">
        <v>32331.640000000018</v>
      </c>
      <c r="D45" t="str">
        <f t="shared" si="0"/>
        <v>Virginia</v>
      </c>
      <c r="E45" s="2">
        <f t="shared" si="1"/>
        <v>32331.640000000018</v>
      </c>
    </row>
    <row r="46" spans="1:5" x14ac:dyDescent="0.35">
      <c r="A46" s="5" t="s">
        <v>17</v>
      </c>
      <c r="B46" s="2">
        <v>52099.02</v>
      </c>
      <c r="D46" t="str">
        <f t="shared" si="0"/>
        <v>Washington</v>
      </c>
      <c r="E46" s="2">
        <f t="shared" si="1"/>
        <v>52099.02</v>
      </c>
    </row>
    <row r="47" spans="1:5" x14ac:dyDescent="0.35">
      <c r="A47" s="5" t="s">
        <v>2418</v>
      </c>
      <c r="B47" s="2">
        <v>673.34</v>
      </c>
      <c r="D47" t="str">
        <f t="shared" si="0"/>
        <v>West Virginia</v>
      </c>
      <c r="E47" s="2">
        <f t="shared" si="1"/>
        <v>673.34</v>
      </c>
    </row>
    <row r="48" spans="1:5" x14ac:dyDescent="0.35">
      <c r="A48" s="5" t="s">
        <v>12</v>
      </c>
      <c r="B48" s="2">
        <v>17507.140000000003</v>
      </c>
      <c r="D48" t="str">
        <f t="shared" si="0"/>
        <v>Wisconsin</v>
      </c>
      <c r="E48" s="2">
        <f t="shared" si="1"/>
        <v>17507.140000000003</v>
      </c>
    </row>
    <row r="49" spans="1:5" x14ac:dyDescent="0.35">
      <c r="A49" s="5" t="s">
        <v>1930</v>
      </c>
      <c r="B49" s="2">
        <v>1603.14</v>
      </c>
      <c r="D49" t="str">
        <f t="shared" si="0"/>
        <v>Wyoming</v>
      </c>
      <c r="E49" s="2">
        <f t="shared" si="1"/>
        <v>1603.14</v>
      </c>
    </row>
    <row r="50" spans="1:5" x14ac:dyDescent="0.35">
      <c r="A50" s="5" t="s">
        <v>2426</v>
      </c>
      <c r="B50" s="2">
        <v>887917.2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0F190-5555-479B-B4DD-1C7A5CB2BE23}">
  <dimension ref="A1:E4043"/>
  <sheetViews>
    <sheetView workbookViewId="0">
      <selection activeCell="F11" sqref="F11"/>
    </sheetView>
  </sheetViews>
  <sheetFormatPr defaultRowHeight="14.5" x14ac:dyDescent="0.35"/>
  <cols>
    <col min="1" max="1" width="12.1796875" style="3" customWidth="1"/>
    <col min="2" max="2" width="16.36328125" customWidth="1"/>
    <col min="4" max="4" width="12.36328125" bestFit="1" customWidth="1"/>
    <col min="5" max="6" width="22.36328125" bestFit="1" customWidth="1"/>
  </cols>
  <sheetData>
    <row r="1" spans="1:5" x14ac:dyDescent="0.35">
      <c r="A1" s="3" t="s">
        <v>1</v>
      </c>
      <c r="B1" t="s">
        <v>3</v>
      </c>
      <c r="D1" s="4" t="s">
        <v>2425</v>
      </c>
      <c r="E1" t="s">
        <v>2430</v>
      </c>
    </row>
    <row r="2" spans="1:5" x14ac:dyDescent="0.35">
      <c r="A2" s="3">
        <v>2014</v>
      </c>
      <c r="B2" t="s">
        <v>11</v>
      </c>
      <c r="D2" s="6">
        <v>2014</v>
      </c>
      <c r="E2">
        <v>318</v>
      </c>
    </row>
    <row r="3" spans="1:5" x14ac:dyDescent="0.35">
      <c r="A3" s="3">
        <v>2014</v>
      </c>
      <c r="B3" t="s">
        <v>16</v>
      </c>
      <c r="D3" s="6">
        <v>2015</v>
      </c>
      <c r="E3">
        <v>318</v>
      </c>
    </row>
    <row r="4" spans="1:5" x14ac:dyDescent="0.35">
      <c r="A4" s="3">
        <v>2014</v>
      </c>
      <c r="B4" t="s">
        <v>21</v>
      </c>
      <c r="D4" s="6">
        <v>2016</v>
      </c>
      <c r="E4">
        <v>372</v>
      </c>
    </row>
    <row r="5" spans="1:5" x14ac:dyDescent="0.35">
      <c r="A5" s="3">
        <v>2014</v>
      </c>
      <c r="B5" t="s">
        <v>25</v>
      </c>
      <c r="D5" s="6">
        <v>2017</v>
      </c>
      <c r="E5">
        <v>465</v>
      </c>
    </row>
    <row r="6" spans="1:5" x14ac:dyDescent="0.35">
      <c r="A6" s="3">
        <v>2014</v>
      </c>
      <c r="B6" t="s">
        <v>31</v>
      </c>
    </row>
    <row r="7" spans="1:5" x14ac:dyDescent="0.35">
      <c r="A7" s="3">
        <v>2014</v>
      </c>
      <c r="B7" t="s">
        <v>40</v>
      </c>
    </row>
    <row r="8" spans="1:5" x14ac:dyDescent="0.35">
      <c r="A8" s="3">
        <v>2014</v>
      </c>
      <c r="B8" t="s">
        <v>44</v>
      </c>
    </row>
    <row r="9" spans="1:5" x14ac:dyDescent="0.35">
      <c r="A9" s="3">
        <v>2014</v>
      </c>
      <c r="B9" t="s">
        <v>50</v>
      </c>
    </row>
    <row r="10" spans="1:5" x14ac:dyDescent="0.35">
      <c r="A10" s="3">
        <v>2014</v>
      </c>
      <c r="B10" t="s">
        <v>54</v>
      </c>
    </row>
    <row r="11" spans="1:5" x14ac:dyDescent="0.35">
      <c r="A11" s="3">
        <v>2014</v>
      </c>
      <c r="B11" t="s">
        <v>61</v>
      </c>
    </row>
    <row r="12" spans="1:5" x14ac:dyDescent="0.35">
      <c r="A12" s="3">
        <v>2014</v>
      </c>
      <c r="B12" t="s">
        <v>66</v>
      </c>
    </row>
    <row r="13" spans="1:5" x14ac:dyDescent="0.35">
      <c r="A13" s="3">
        <v>2014</v>
      </c>
      <c r="B13" t="s">
        <v>70</v>
      </c>
    </row>
    <row r="14" spans="1:5" x14ac:dyDescent="0.35">
      <c r="A14" s="3">
        <v>2014</v>
      </c>
      <c r="B14" t="s">
        <v>74</v>
      </c>
    </row>
    <row r="15" spans="1:5" x14ac:dyDescent="0.35">
      <c r="A15" s="3">
        <v>2014</v>
      </c>
      <c r="B15" t="s">
        <v>76</v>
      </c>
    </row>
    <row r="16" spans="1:5" x14ac:dyDescent="0.35">
      <c r="A16" s="3">
        <v>2014</v>
      </c>
      <c r="B16" t="s">
        <v>80</v>
      </c>
    </row>
    <row r="17" spans="1:2" x14ac:dyDescent="0.35">
      <c r="A17" s="3">
        <v>2014</v>
      </c>
      <c r="B17" t="s">
        <v>86</v>
      </c>
    </row>
    <row r="18" spans="1:2" x14ac:dyDescent="0.35">
      <c r="A18" s="3">
        <v>2014</v>
      </c>
      <c r="B18" t="s">
        <v>88</v>
      </c>
    </row>
    <row r="19" spans="1:2" x14ac:dyDescent="0.35">
      <c r="A19" s="3">
        <v>2014</v>
      </c>
      <c r="B19" t="s">
        <v>91</v>
      </c>
    </row>
    <row r="20" spans="1:2" x14ac:dyDescent="0.35">
      <c r="A20" s="3">
        <v>2014</v>
      </c>
      <c r="B20" t="s">
        <v>93</v>
      </c>
    </row>
    <row r="21" spans="1:2" x14ac:dyDescent="0.35">
      <c r="A21" s="3">
        <v>2014</v>
      </c>
      <c r="B21" t="s">
        <v>96</v>
      </c>
    </row>
    <row r="22" spans="1:2" x14ac:dyDescent="0.35">
      <c r="A22" s="3">
        <v>2014</v>
      </c>
      <c r="B22" t="s">
        <v>99</v>
      </c>
    </row>
    <row r="23" spans="1:2" x14ac:dyDescent="0.35">
      <c r="A23" s="3">
        <v>2014</v>
      </c>
      <c r="B23" t="s">
        <v>102</v>
      </c>
    </row>
    <row r="24" spans="1:2" x14ac:dyDescent="0.35">
      <c r="A24" s="3">
        <v>2014</v>
      </c>
      <c r="B24" t="s">
        <v>106</v>
      </c>
    </row>
    <row r="25" spans="1:2" x14ac:dyDescent="0.35">
      <c r="A25" s="3">
        <v>2014</v>
      </c>
      <c r="B25" t="s">
        <v>110</v>
      </c>
    </row>
    <row r="26" spans="1:2" x14ac:dyDescent="0.35">
      <c r="A26" s="3">
        <v>2014</v>
      </c>
      <c r="B26" t="s">
        <v>115</v>
      </c>
    </row>
    <row r="27" spans="1:2" x14ac:dyDescent="0.35">
      <c r="A27" s="3">
        <v>2014</v>
      </c>
      <c r="B27" t="s">
        <v>117</v>
      </c>
    </row>
    <row r="28" spans="1:2" x14ac:dyDescent="0.35">
      <c r="A28" s="3">
        <v>2014</v>
      </c>
      <c r="B28" t="s">
        <v>121</v>
      </c>
    </row>
    <row r="29" spans="1:2" x14ac:dyDescent="0.35">
      <c r="A29" s="3">
        <v>2014</v>
      </c>
      <c r="B29" t="s">
        <v>124</v>
      </c>
    </row>
    <row r="30" spans="1:2" x14ac:dyDescent="0.35">
      <c r="A30" s="3">
        <v>2014</v>
      </c>
      <c r="B30" t="s">
        <v>128</v>
      </c>
    </row>
    <row r="31" spans="1:2" x14ac:dyDescent="0.35">
      <c r="A31" s="3">
        <v>2014</v>
      </c>
      <c r="B31" t="s">
        <v>130</v>
      </c>
    </row>
    <row r="32" spans="1:2" x14ac:dyDescent="0.35">
      <c r="A32" s="3">
        <v>2014</v>
      </c>
      <c r="B32" t="s">
        <v>135</v>
      </c>
    </row>
    <row r="33" spans="1:2" x14ac:dyDescent="0.35">
      <c r="A33" s="3">
        <v>2014</v>
      </c>
      <c r="B33" t="s">
        <v>138</v>
      </c>
    </row>
    <row r="34" spans="1:2" x14ac:dyDescent="0.35">
      <c r="A34" s="3">
        <v>2014</v>
      </c>
      <c r="B34" t="s">
        <v>140</v>
      </c>
    </row>
    <row r="35" spans="1:2" x14ac:dyDescent="0.35">
      <c r="A35" s="3">
        <v>2014</v>
      </c>
      <c r="B35" t="s">
        <v>142</v>
      </c>
    </row>
    <row r="36" spans="1:2" x14ac:dyDescent="0.35">
      <c r="A36" s="3">
        <v>2014</v>
      </c>
      <c r="B36" t="s">
        <v>148</v>
      </c>
    </row>
    <row r="37" spans="1:2" x14ac:dyDescent="0.35">
      <c r="A37" s="3">
        <v>2014</v>
      </c>
      <c r="B37" t="s">
        <v>150</v>
      </c>
    </row>
    <row r="38" spans="1:2" x14ac:dyDescent="0.35">
      <c r="A38" s="3">
        <v>2014</v>
      </c>
      <c r="B38" t="s">
        <v>153</v>
      </c>
    </row>
    <row r="39" spans="1:2" x14ac:dyDescent="0.35">
      <c r="A39" s="3">
        <v>2014</v>
      </c>
      <c r="B39" t="s">
        <v>154</v>
      </c>
    </row>
    <row r="40" spans="1:2" x14ac:dyDescent="0.35">
      <c r="A40" s="3">
        <v>2014</v>
      </c>
      <c r="B40" t="s">
        <v>157</v>
      </c>
    </row>
    <row r="41" spans="1:2" x14ac:dyDescent="0.35">
      <c r="A41" s="3">
        <v>2014</v>
      </c>
      <c r="B41" t="s">
        <v>161</v>
      </c>
    </row>
    <row r="42" spans="1:2" x14ac:dyDescent="0.35">
      <c r="A42" s="3">
        <v>2014</v>
      </c>
      <c r="B42" t="s">
        <v>164</v>
      </c>
    </row>
    <row r="43" spans="1:2" x14ac:dyDescent="0.35">
      <c r="A43" s="3">
        <v>2014</v>
      </c>
      <c r="B43" t="s">
        <v>169</v>
      </c>
    </row>
    <row r="44" spans="1:2" x14ac:dyDescent="0.35">
      <c r="A44" s="3">
        <v>2014</v>
      </c>
      <c r="B44" t="s">
        <v>172</v>
      </c>
    </row>
    <row r="45" spans="1:2" x14ac:dyDescent="0.35">
      <c r="A45" s="3">
        <v>2014</v>
      </c>
      <c r="B45" t="s">
        <v>175</v>
      </c>
    </row>
    <row r="46" spans="1:2" x14ac:dyDescent="0.35">
      <c r="A46" s="3">
        <v>2014</v>
      </c>
      <c r="B46" t="s">
        <v>177</v>
      </c>
    </row>
    <row r="47" spans="1:2" x14ac:dyDescent="0.35">
      <c r="A47" s="3">
        <v>2014</v>
      </c>
      <c r="B47" t="s">
        <v>179</v>
      </c>
    </row>
    <row r="48" spans="1:2" x14ac:dyDescent="0.35">
      <c r="A48" s="3">
        <v>2014</v>
      </c>
      <c r="B48" t="s">
        <v>182</v>
      </c>
    </row>
    <row r="49" spans="1:2" x14ac:dyDescent="0.35">
      <c r="A49" s="3">
        <v>2014</v>
      </c>
      <c r="B49" t="s">
        <v>186</v>
      </c>
    </row>
    <row r="50" spans="1:2" x14ac:dyDescent="0.35">
      <c r="A50" s="3">
        <v>2014</v>
      </c>
      <c r="B50" t="s">
        <v>189</v>
      </c>
    </row>
    <row r="51" spans="1:2" x14ac:dyDescent="0.35">
      <c r="A51" s="3">
        <v>2014</v>
      </c>
      <c r="B51" t="s">
        <v>194</v>
      </c>
    </row>
    <row r="52" spans="1:2" x14ac:dyDescent="0.35">
      <c r="A52" s="3">
        <v>2014</v>
      </c>
      <c r="B52" t="s">
        <v>197</v>
      </c>
    </row>
    <row r="53" spans="1:2" x14ac:dyDescent="0.35">
      <c r="A53" s="3">
        <v>2014</v>
      </c>
      <c r="B53" t="s">
        <v>199</v>
      </c>
    </row>
    <row r="54" spans="1:2" x14ac:dyDescent="0.35">
      <c r="A54" s="3">
        <v>2014</v>
      </c>
      <c r="B54" t="s">
        <v>201</v>
      </c>
    </row>
    <row r="55" spans="1:2" x14ac:dyDescent="0.35">
      <c r="A55" s="3">
        <v>2014</v>
      </c>
      <c r="B55" t="s">
        <v>203</v>
      </c>
    </row>
    <row r="56" spans="1:2" x14ac:dyDescent="0.35">
      <c r="A56" s="3">
        <v>2014</v>
      </c>
      <c r="B56" t="s">
        <v>206</v>
      </c>
    </row>
    <row r="57" spans="1:2" x14ac:dyDescent="0.35">
      <c r="A57" s="3">
        <v>2014</v>
      </c>
      <c r="B57" t="s">
        <v>208</v>
      </c>
    </row>
    <row r="58" spans="1:2" x14ac:dyDescent="0.35">
      <c r="A58" s="3">
        <v>2014</v>
      </c>
      <c r="B58" t="s">
        <v>210</v>
      </c>
    </row>
    <row r="59" spans="1:2" x14ac:dyDescent="0.35">
      <c r="A59" s="3">
        <v>2014</v>
      </c>
      <c r="B59" t="s">
        <v>219</v>
      </c>
    </row>
    <row r="60" spans="1:2" x14ac:dyDescent="0.35">
      <c r="A60" s="3">
        <v>2014</v>
      </c>
      <c r="B60" t="s">
        <v>222</v>
      </c>
    </row>
    <row r="61" spans="1:2" x14ac:dyDescent="0.35">
      <c r="A61" s="3">
        <v>2014</v>
      </c>
      <c r="B61" t="s">
        <v>223</v>
      </c>
    </row>
    <row r="62" spans="1:2" x14ac:dyDescent="0.35">
      <c r="A62" s="3">
        <v>2014</v>
      </c>
      <c r="B62" t="s">
        <v>227</v>
      </c>
    </row>
    <row r="63" spans="1:2" x14ac:dyDescent="0.35">
      <c r="A63" s="3">
        <v>2014</v>
      </c>
      <c r="B63" t="s">
        <v>229</v>
      </c>
    </row>
    <row r="64" spans="1:2" x14ac:dyDescent="0.35">
      <c r="A64" s="3">
        <v>2014</v>
      </c>
      <c r="B64" t="s">
        <v>232</v>
      </c>
    </row>
    <row r="65" spans="1:2" x14ac:dyDescent="0.35">
      <c r="A65" s="3">
        <v>2014</v>
      </c>
      <c r="B65" t="s">
        <v>235</v>
      </c>
    </row>
    <row r="66" spans="1:2" x14ac:dyDescent="0.35">
      <c r="A66" s="3">
        <v>2014</v>
      </c>
      <c r="B66" t="s">
        <v>240</v>
      </c>
    </row>
    <row r="67" spans="1:2" x14ac:dyDescent="0.35">
      <c r="A67" s="3">
        <v>2014</v>
      </c>
      <c r="B67" t="s">
        <v>244</v>
      </c>
    </row>
    <row r="68" spans="1:2" x14ac:dyDescent="0.35">
      <c r="A68" s="3">
        <v>2014</v>
      </c>
      <c r="B68" t="s">
        <v>246</v>
      </c>
    </row>
    <row r="69" spans="1:2" x14ac:dyDescent="0.35">
      <c r="A69" s="3">
        <v>2014</v>
      </c>
      <c r="B69" t="s">
        <v>248</v>
      </c>
    </row>
    <row r="70" spans="1:2" x14ac:dyDescent="0.35">
      <c r="A70" s="3">
        <v>2014</v>
      </c>
      <c r="B70" t="s">
        <v>254</v>
      </c>
    </row>
    <row r="71" spans="1:2" x14ac:dyDescent="0.35">
      <c r="A71" s="3">
        <v>2014</v>
      </c>
      <c r="B71" t="s">
        <v>257</v>
      </c>
    </row>
    <row r="72" spans="1:2" x14ac:dyDescent="0.35">
      <c r="A72" s="3">
        <v>2014</v>
      </c>
      <c r="B72" t="s">
        <v>259</v>
      </c>
    </row>
    <row r="73" spans="1:2" x14ac:dyDescent="0.35">
      <c r="A73" s="3">
        <v>2014</v>
      </c>
      <c r="B73" t="s">
        <v>262</v>
      </c>
    </row>
    <row r="74" spans="1:2" x14ac:dyDescent="0.35">
      <c r="A74" s="3">
        <v>2014</v>
      </c>
      <c r="B74" t="s">
        <v>264</v>
      </c>
    </row>
    <row r="75" spans="1:2" x14ac:dyDescent="0.35">
      <c r="A75" s="3">
        <v>2014</v>
      </c>
      <c r="B75" t="s">
        <v>267</v>
      </c>
    </row>
    <row r="76" spans="1:2" x14ac:dyDescent="0.35">
      <c r="A76" s="3">
        <v>2014</v>
      </c>
      <c r="B76" t="s">
        <v>272</v>
      </c>
    </row>
    <row r="77" spans="1:2" x14ac:dyDescent="0.35">
      <c r="A77" s="3">
        <v>2014</v>
      </c>
      <c r="B77" t="s">
        <v>274</v>
      </c>
    </row>
    <row r="78" spans="1:2" x14ac:dyDescent="0.35">
      <c r="A78" s="3">
        <v>2014</v>
      </c>
      <c r="B78" t="s">
        <v>277</v>
      </c>
    </row>
    <row r="79" spans="1:2" x14ac:dyDescent="0.35">
      <c r="A79" s="3">
        <v>2014</v>
      </c>
      <c r="B79" t="s">
        <v>279</v>
      </c>
    </row>
    <row r="80" spans="1:2" x14ac:dyDescent="0.35">
      <c r="A80" s="3">
        <v>2014</v>
      </c>
      <c r="B80" t="s">
        <v>282</v>
      </c>
    </row>
    <row r="81" spans="1:2" x14ac:dyDescent="0.35">
      <c r="A81" s="3">
        <v>2014</v>
      </c>
      <c r="B81" t="s">
        <v>284</v>
      </c>
    </row>
    <row r="82" spans="1:2" x14ac:dyDescent="0.35">
      <c r="A82" s="3">
        <v>2014</v>
      </c>
      <c r="B82" t="s">
        <v>286</v>
      </c>
    </row>
    <row r="83" spans="1:2" x14ac:dyDescent="0.35">
      <c r="A83" s="3">
        <v>2014</v>
      </c>
      <c r="B83" t="s">
        <v>289</v>
      </c>
    </row>
    <row r="84" spans="1:2" x14ac:dyDescent="0.35">
      <c r="A84" s="3">
        <v>2014</v>
      </c>
      <c r="B84" t="s">
        <v>292</v>
      </c>
    </row>
    <row r="85" spans="1:2" x14ac:dyDescent="0.35">
      <c r="A85" s="3">
        <v>2014</v>
      </c>
      <c r="B85" t="s">
        <v>296</v>
      </c>
    </row>
    <row r="86" spans="1:2" x14ac:dyDescent="0.35">
      <c r="A86" s="3">
        <v>2014</v>
      </c>
      <c r="B86" t="s">
        <v>298</v>
      </c>
    </row>
    <row r="87" spans="1:2" x14ac:dyDescent="0.35">
      <c r="A87" s="3">
        <v>2014</v>
      </c>
      <c r="B87" t="s">
        <v>300</v>
      </c>
    </row>
    <row r="88" spans="1:2" x14ac:dyDescent="0.35">
      <c r="A88" s="3">
        <v>2014</v>
      </c>
      <c r="B88" t="s">
        <v>302</v>
      </c>
    </row>
    <row r="89" spans="1:2" x14ac:dyDescent="0.35">
      <c r="A89" s="3">
        <v>2014</v>
      </c>
      <c r="B89" t="s">
        <v>304</v>
      </c>
    </row>
    <row r="90" spans="1:2" x14ac:dyDescent="0.35">
      <c r="A90" s="3">
        <v>2014</v>
      </c>
      <c r="B90" t="s">
        <v>306</v>
      </c>
    </row>
    <row r="91" spans="1:2" x14ac:dyDescent="0.35">
      <c r="A91" s="3">
        <v>2014</v>
      </c>
      <c r="B91" t="s">
        <v>309</v>
      </c>
    </row>
    <row r="92" spans="1:2" x14ac:dyDescent="0.35">
      <c r="A92" s="3">
        <v>2014</v>
      </c>
      <c r="B92" t="s">
        <v>313</v>
      </c>
    </row>
    <row r="93" spans="1:2" x14ac:dyDescent="0.35">
      <c r="A93" s="3">
        <v>2014</v>
      </c>
      <c r="B93" t="s">
        <v>318</v>
      </c>
    </row>
    <row r="94" spans="1:2" x14ac:dyDescent="0.35">
      <c r="A94" s="3">
        <v>2014</v>
      </c>
      <c r="B94" t="s">
        <v>320</v>
      </c>
    </row>
    <row r="95" spans="1:2" x14ac:dyDescent="0.35">
      <c r="A95" s="3">
        <v>2014</v>
      </c>
      <c r="B95" t="s">
        <v>325</v>
      </c>
    </row>
    <row r="96" spans="1:2" x14ac:dyDescent="0.35">
      <c r="A96" s="3">
        <v>2014</v>
      </c>
      <c r="B96" t="s">
        <v>332</v>
      </c>
    </row>
    <row r="97" spans="1:2" x14ac:dyDescent="0.35">
      <c r="A97" s="3">
        <v>2014</v>
      </c>
      <c r="B97" t="s">
        <v>333</v>
      </c>
    </row>
    <row r="98" spans="1:2" x14ac:dyDescent="0.35">
      <c r="A98" s="3">
        <v>2014</v>
      </c>
      <c r="B98" t="s">
        <v>336</v>
      </c>
    </row>
    <row r="99" spans="1:2" x14ac:dyDescent="0.35">
      <c r="A99" s="3">
        <v>2014</v>
      </c>
      <c r="B99" t="s">
        <v>338</v>
      </c>
    </row>
    <row r="100" spans="1:2" x14ac:dyDescent="0.35">
      <c r="A100" s="3">
        <v>2014</v>
      </c>
      <c r="B100" t="s">
        <v>341</v>
      </c>
    </row>
    <row r="101" spans="1:2" x14ac:dyDescent="0.35">
      <c r="A101" s="3">
        <v>2014</v>
      </c>
      <c r="B101" t="s">
        <v>342</v>
      </c>
    </row>
    <row r="102" spans="1:2" x14ac:dyDescent="0.35">
      <c r="A102" s="3">
        <v>2014</v>
      </c>
      <c r="B102" t="s">
        <v>346</v>
      </c>
    </row>
    <row r="103" spans="1:2" x14ac:dyDescent="0.35">
      <c r="A103" s="3">
        <v>2014</v>
      </c>
      <c r="B103" t="s">
        <v>349</v>
      </c>
    </row>
    <row r="104" spans="1:2" x14ac:dyDescent="0.35">
      <c r="A104" s="3">
        <v>2014</v>
      </c>
      <c r="B104" t="s">
        <v>354</v>
      </c>
    </row>
    <row r="105" spans="1:2" x14ac:dyDescent="0.35">
      <c r="A105" s="3">
        <v>2014</v>
      </c>
      <c r="B105" t="s">
        <v>356</v>
      </c>
    </row>
    <row r="106" spans="1:2" x14ac:dyDescent="0.35">
      <c r="A106" s="3">
        <v>2014</v>
      </c>
      <c r="B106" t="s">
        <v>359</v>
      </c>
    </row>
    <row r="107" spans="1:2" x14ac:dyDescent="0.35">
      <c r="A107" s="3">
        <v>2014</v>
      </c>
      <c r="B107" t="s">
        <v>361</v>
      </c>
    </row>
    <row r="108" spans="1:2" x14ac:dyDescent="0.35">
      <c r="A108" s="3">
        <v>2014</v>
      </c>
      <c r="B108" t="s">
        <v>367</v>
      </c>
    </row>
    <row r="109" spans="1:2" x14ac:dyDescent="0.35">
      <c r="A109" s="3">
        <v>2014</v>
      </c>
      <c r="B109" t="s">
        <v>369</v>
      </c>
    </row>
    <row r="110" spans="1:2" x14ac:dyDescent="0.35">
      <c r="A110" s="3">
        <v>2014</v>
      </c>
      <c r="B110" t="s">
        <v>371</v>
      </c>
    </row>
    <row r="111" spans="1:2" x14ac:dyDescent="0.35">
      <c r="A111" s="3">
        <v>2014</v>
      </c>
      <c r="B111" t="s">
        <v>374</v>
      </c>
    </row>
    <row r="112" spans="1:2" x14ac:dyDescent="0.35">
      <c r="A112" s="3">
        <v>2014</v>
      </c>
      <c r="B112" t="s">
        <v>377</v>
      </c>
    </row>
    <row r="113" spans="1:2" x14ac:dyDescent="0.35">
      <c r="A113" s="3">
        <v>2014</v>
      </c>
      <c r="B113" t="s">
        <v>378</v>
      </c>
    </row>
    <row r="114" spans="1:2" x14ac:dyDescent="0.35">
      <c r="A114" s="3">
        <v>2014</v>
      </c>
      <c r="B114" t="s">
        <v>385</v>
      </c>
    </row>
    <row r="115" spans="1:2" x14ac:dyDescent="0.35">
      <c r="A115" s="3">
        <v>2014</v>
      </c>
      <c r="B115" t="s">
        <v>391</v>
      </c>
    </row>
    <row r="116" spans="1:2" x14ac:dyDescent="0.35">
      <c r="A116" s="3">
        <v>2014</v>
      </c>
      <c r="B116" t="s">
        <v>396</v>
      </c>
    </row>
    <row r="117" spans="1:2" x14ac:dyDescent="0.35">
      <c r="A117" s="3">
        <v>2014</v>
      </c>
      <c r="B117" t="s">
        <v>399</v>
      </c>
    </row>
    <row r="118" spans="1:2" x14ac:dyDescent="0.35">
      <c r="A118" s="3">
        <v>2014</v>
      </c>
      <c r="B118" t="s">
        <v>401</v>
      </c>
    </row>
    <row r="119" spans="1:2" x14ac:dyDescent="0.35">
      <c r="A119" s="3">
        <v>2014</v>
      </c>
      <c r="B119" t="s">
        <v>403</v>
      </c>
    </row>
    <row r="120" spans="1:2" x14ac:dyDescent="0.35">
      <c r="A120" s="3">
        <v>2014</v>
      </c>
      <c r="B120" t="s">
        <v>410</v>
      </c>
    </row>
    <row r="121" spans="1:2" x14ac:dyDescent="0.35">
      <c r="A121" s="3">
        <v>2014</v>
      </c>
      <c r="B121" t="s">
        <v>412</v>
      </c>
    </row>
    <row r="122" spans="1:2" x14ac:dyDescent="0.35">
      <c r="A122" s="3">
        <v>2014</v>
      </c>
      <c r="B122" t="s">
        <v>418</v>
      </c>
    </row>
    <row r="123" spans="1:2" x14ac:dyDescent="0.35">
      <c r="A123" s="3">
        <v>2014</v>
      </c>
      <c r="B123" t="s">
        <v>420</v>
      </c>
    </row>
    <row r="124" spans="1:2" x14ac:dyDescent="0.35">
      <c r="A124" s="3">
        <v>2014</v>
      </c>
      <c r="B124" t="s">
        <v>421</v>
      </c>
    </row>
    <row r="125" spans="1:2" x14ac:dyDescent="0.35">
      <c r="A125" s="3">
        <v>2014</v>
      </c>
      <c r="B125" t="s">
        <v>422</v>
      </c>
    </row>
    <row r="126" spans="1:2" x14ac:dyDescent="0.35">
      <c r="A126" s="3">
        <v>2014</v>
      </c>
      <c r="B126" t="s">
        <v>424</v>
      </c>
    </row>
    <row r="127" spans="1:2" x14ac:dyDescent="0.35">
      <c r="A127" s="3">
        <v>2014</v>
      </c>
      <c r="B127" t="s">
        <v>430</v>
      </c>
    </row>
    <row r="128" spans="1:2" x14ac:dyDescent="0.35">
      <c r="A128" s="3">
        <v>2014</v>
      </c>
      <c r="B128" t="s">
        <v>432</v>
      </c>
    </row>
    <row r="129" spans="1:2" x14ac:dyDescent="0.35">
      <c r="A129" s="3">
        <v>2014</v>
      </c>
      <c r="B129" t="s">
        <v>437</v>
      </c>
    </row>
    <row r="130" spans="1:2" x14ac:dyDescent="0.35">
      <c r="A130" s="3">
        <v>2014</v>
      </c>
      <c r="B130" t="s">
        <v>440</v>
      </c>
    </row>
    <row r="131" spans="1:2" x14ac:dyDescent="0.35">
      <c r="A131" s="3">
        <v>2014</v>
      </c>
      <c r="B131" t="s">
        <v>445</v>
      </c>
    </row>
    <row r="132" spans="1:2" x14ac:dyDescent="0.35">
      <c r="A132" s="3">
        <v>2014</v>
      </c>
      <c r="B132" t="s">
        <v>446</v>
      </c>
    </row>
    <row r="133" spans="1:2" x14ac:dyDescent="0.35">
      <c r="A133" s="3">
        <v>2014</v>
      </c>
      <c r="B133" t="s">
        <v>450</v>
      </c>
    </row>
    <row r="134" spans="1:2" x14ac:dyDescent="0.35">
      <c r="A134" s="3">
        <v>2014</v>
      </c>
      <c r="B134" t="s">
        <v>453</v>
      </c>
    </row>
    <row r="135" spans="1:2" x14ac:dyDescent="0.35">
      <c r="A135" s="3">
        <v>2014</v>
      </c>
      <c r="B135" t="s">
        <v>455</v>
      </c>
    </row>
    <row r="136" spans="1:2" x14ac:dyDescent="0.35">
      <c r="A136" s="3">
        <v>2014</v>
      </c>
      <c r="B136" t="s">
        <v>460</v>
      </c>
    </row>
    <row r="137" spans="1:2" x14ac:dyDescent="0.35">
      <c r="A137" s="3">
        <v>2014</v>
      </c>
      <c r="B137" t="s">
        <v>463</v>
      </c>
    </row>
    <row r="138" spans="1:2" x14ac:dyDescent="0.35">
      <c r="A138" s="3">
        <v>2014</v>
      </c>
      <c r="B138" t="s">
        <v>465</v>
      </c>
    </row>
    <row r="139" spans="1:2" x14ac:dyDescent="0.35">
      <c r="A139" s="3">
        <v>2014</v>
      </c>
      <c r="B139" t="s">
        <v>467</v>
      </c>
    </row>
    <row r="140" spans="1:2" x14ac:dyDescent="0.35">
      <c r="A140" s="3">
        <v>2014</v>
      </c>
      <c r="B140" t="s">
        <v>470</v>
      </c>
    </row>
    <row r="141" spans="1:2" x14ac:dyDescent="0.35">
      <c r="A141" s="3">
        <v>2014</v>
      </c>
      <c r="B141" t="s">
        <v>474</v>
      </c>
    </row>
    <row r="142" spans="1:2" x14ac:dyDescent="0.35">
      <c r="A142" s="3">
        <v>2014</v>
      </c>
      <c r="B142" t="s">
        <v>478</v>
      </c>
    </row>
    <row r="143" spans="1:2" x14ac:dyDescent="0.35">
      <c r="A143" s="3">
        <v>2014</v>
      </c>
      <c r="B143" t="s">
        <v>483</v>
      </c>
    </row>
    <row r="144" spans="1:2" x14ac:dyDescent="0.35">
      <c r="A144" s="3">
        <v>2014</v>
      </c>
      <c r="B144" t="s">
        <v>485</v>
      </c>
    </row>
    <row r="145" spans="1:2" x14ac:dyDescent="0.35">
      <c r="A145" s="3">
        <v>2014</v>
      </c>
      <c r="B145" t="s">
        <v>487</v>
      </c>
    </row>
    <row r="146" spans="1:2" x14ac:dyDescent="0.35">
      <c r="A146" s="3">
        <v>2014</v>
      </c>
      <c r="B146" t="s">
        <v>489</v>
      </c>
    </row>
    <row r="147" spans="1:2" x14ac:dyDescent="0.35">
      <c r="A147" s="3">
        <v>2014</v>
      </c>
      <c r="B147" t="s">
        <v>491</v>
      </c>
    </row>
    <row r="148" spans="1:2" x14ac:dyDescent="0.35">
      <c r="A148" s="3">
        <v>2014</v>
      </c>
      <c r="B148" t="s">
        <v>493</v>
      </c>
    </row>
    <row r="149" spans="1:2" x14ac:dyDescent="0.35">
      <c r="A149" s="3">
        <v>2014</v>
      </c>
      <c r="B149" t="s">
        <v>495</v>
      </c>
    </row>
    <row r="150" spans="1:2" x14ac:dyDescent="0.35">
      <c r="A150" s="3">
        <v>2014</v>
      </c>
      <c r="B150" t="s">
        <v>497</v>
      </c>
    </row>
    <row r="151" spans="1:2" x14ac:dyDescent="0.35">
      <c r="A151" s="3">
        <v>2014</v>
      </c>
      <c r="B151" t="s">
        <v>502</v>
      </c>
    </row>
    <row r="152" spans="1:2" x14ac:dyDescent="0.35">
      <c r="A152" s="3">
        <v>2014</v>
      </c>
      <c r="B152" t="s">
        <v>503</v>
      </c>
    </row>
    <row r="153" spans="1:2" x14ac:dyDescent="0.35">
      <c r="A153" s="3">
        <v>2014</v>
      </c>
      <c r="B153" t="s">
        <v>506</v>
      </c>
    </row>
    <row r="154" spans="1:2" x14ac:dyDescent="0.35">
      <c r="A154" s="3">
        <v>2014</v>
      </c>
      <c r="B154" t="s">
        <v>508</v>
      </c>
    </row>
    <row r="155" spans="1:2" x14ac:dyDescent="0.35">
      <c r="A155" s="3">
        <v>2014</v>
      </c>
      <c r="B155" t="s">
        <v>510</v>
      </c>
    </row>
    <row r="156" spans="1:2" x14ac:dyDescent="0.35">
      <c r="A156" s="3">
        <v>2014</v>
      </c>
      <c r="B156" t="s">
        <v>516</v>
      </c>
    </row>
    <row r="157" spans="1:2" x14ac:dyDescent="0.35">
      <c r="A157" s="3">
        <v>2014</v>
      </c>
      <c r="B157" t="s">
        <v>519</v>
      </c>
    </row>
    <row r="158" spans="1:2" x14ac:dyDescent="0.35">
      <c r="A158" s="3">
        <v>2014</v>
      </c>
      <c r="B158" t="s">
        <v>521</v>
      </c>
    </row>
    <row r="159" spans="1:2" x14ac:dyDescent="0.35">
      <c r="A159" s="3">
        <v>2014</v>
      </c>
      <c r="B159" t="s">
        <v>524</v>
      </c>
    </row>
    <row r="160" spans="1:2" x14ac:dyDescent="0.35">
      <c r="A160" s="3">
        <v>2014</v>
      </c>
      <c r="B160" t="s">
        <v>531</v>
      </c>
    </row>
    <row r="161" spans="1:2" x14ac:dyDescent="0.35">
      <c r="A161" s="3">
        <v>2014</v>
      </c>
      <c r="B161" t="s">
        <v>534</v>
      </c>
    </row>
    <row r="162" spans="1:2" x14ac:dyDescent="0.35">
      <c r="A162" s="3">
        <v>2014</v>
      </c>
      <c r="B162" t="s">
        <v>536</v>
      </c>
    </row>
    <row r="163" spans="1:2" x14ac:dyDescent="0.35">
      <c r="A163" s="3">
        <v>2014</v>
      </c>
      <c r="B163" t="s">
        <v>537</v>
      </c>
    </row>
    <row r="164" spans="1:2" x14ac:dyDescent="0.35">
      <c r="A164" s="3">
        <v>2014</v>
      </c>
      <c r="B164" t="s">
        <v>539</v>
      </c>
    </row>
    <row r="165" spans="1:2" x14ac:dyDescent="0.35">
      <c r="A165" s="3">
        <v>2014</v>
      </c>
      <c r="B165" t="s">
        <v>542</v>
      </c>
    </row>
    <row r="166" spans="1:2" x14ac:dyDescent="0.35">
      <c r="A166" s="3">
        <v>2014</v>
      </c>
      <c r="B166" t="s">
        <v>546</v>
      </c>
    </row>
    <row r="167" spans="1:2" x14ac:dyDescent="0.35">
      <c r="A167" s="3">
        <v>2014</v>
      </c>
      <c r="B167" t="s">
        <v>548</v>
      </c>
    </row>
    <row r="168" spans="1:2" x14ac:dyDescent="0.35">
      <c r="A168" s="3">
        <v>2014</v>
      </c>
      <c r="B168" t="s">
        <v>549</v>
      </c>
    </row>
    <row r="169" spans="1:2" x14ac:dyDescent="0.35">
      <c r="A169" s="3">
        <v>2014</v>
      </c>
      <c r="B169" t="s">
        <v>552</v>
      </c>
    </row>
    <row r="170" spans="1:2" x14ac:dyDescent="0.35">
      <c r="A170" s="3">
        <v>2014</v>
      </c>
      <c r="B170" t="s">
        <v>556</v>
      </c>
    </row>
    <row r="171" spans="1:2" x14ac:dyDescent="0.35">
      <c r="A171" s="3">
        <v>2014</v>
      </c>
      <c r="B171" t="s">
        <v>558</v>
      </c>
    </row>
    <row r="172" spans="1:2" x14ac:dyDescent="0.35">
      <c r="A172" s="3">
        <v>2014</v>
      </c>
      <c r="B172" t="s">
        <v>562</v>
      </c>
    </row>
    <row r="173" spans="1:2" x14ac:dyDescent="0.35">
      <c r="A173" s="3">
        <v>2014</v>
      </c>
      <c r="B173" t="s">
        <v>564</v>
      </c>
    </row>
    <row r="174" spans="1:2" x14ac:dyDescent="0.35">
      <c r="A174" s="3">
        <v>2014</v>
      </c>
      <c r="B174" t="s">
        <v>566</v>
      </c>
    </row>
    <row r="175" spans="1:2" x14ac:dyDescent="0.35">
      <c r="A175" s="3">
        <v>2014</v>
      </c>
      <c r="B175" t="s">
        <v>567</v>
      </c>
    </row>
    <row r="176" spans="1:2" x14ac:dyDescent="0.35">
      <c r="A176" s="3">
        <v>2014</v>
      </c>
      <c r="B176" t="s">
        <v>569</v>
      </c>
    </row>
    <row r="177" spans="1:2" x14ac:dyDescent="0.35">
      <c r="A177" s="3">
        <v>2014</v>
      </c>
      <c r="B177" t="s">
        <v>571</v>
      </c>
    </row>
    <row r="178" spans="1:2" x14ac:dyDescent="0.35">
      <c r="A178" s="3">
        <v>2014</v>
      </c>
      <c r="B178" t="s">
        <v>573</v>
      </c>
    </row>
    <row r="179" spans="1:2" x14ac:dyDescent="0.35">
      <c r="A179" s="3">
        <v>2014</v>
      </c>
      <c r="B179" t="s">
        <v>577</v>
      </c>
    </row>
    <row r="180" spans="1:2" x14ac:dyDescent="0.35">
      <c r="A180" s="3">
        <v>2014</v>
      </c>
      <c r="B180" t="s">
        <v>578</v>
      </c>
    </row>
    <row r="181" spans="1:2" x14ac:dyDescent="0.35">
      <c r="A181" s="3">
        <v>2014</v>
      </c>
      <c r="B181" t="s">
        <v>579</v>
      </c>
    </row>
    <row r="182" spans="1:2" x14ac:dyDescent="0.35">
      <c r="A182" s="3">
        <v>2014</v>
      </c>
      <c r="B182" t="s">
        <v>586</v>
      </c>
    </row>
    <row r="183" spans="1:2" x14ac:dyDescent="0.35">
      <c r="A183" s="3">
        <v>2014</v>
      </c>
      <c r="B183" t="s">
        <v>589</v>
      </c>
    </row>
    <row r="184" spans="1:2" x14ac:dyDescent="0.35">
      <c r="A184" s="3">
        <v>2014</v>
      </c>
      <c r="B184" t="s">
        <v>592</v>
      </c>
    </row>
    <row r="185" spans="1:2" x14ac:dyDescent="0.35">
      <c r="A185" s="3">
        <v>2014</v>
      </c>
      <c r="B185" t="s">
        <v>594</v>
      </c>
    </row>
    <row r="186" spans="1:2" x14ac:dyDescent="0.35">
      <c r="A186" s="3">
        <v>2014</v>
      </c>
      <c r="B186" t="s">
        <v>595</v>
      </c>
    </row>
    <row r="187" spans="1:2" x14ac:dyDescent="0.35">
      <c r="A187" s="3">
        <v>2014</v>
      </c>
      <c r="B187" t="s">
        <v>599</v>
      </c>
    </row>
    <row r="188" spans="1:2" x14ac:dyDescent="0.35">
      <c r="A188" s="3">
        <v>2014</v>
      </c>
      <c r="B188" t="s">
        <v>601</v>
      </c>
    </row>
    <row r="189" spans="1:2" x14ac:dyDescent="0.35">
      <c r="A189" s="3">
        <v>2014</v>
      </c>
      <c r="B189" t="s">
        <v>606</v>
      </c>
    </row>
    <row r="190" spans="1:2" x14ac:dyDescent="0.35">
      <c r="A190" s="3">
        <v>2014</v>
      </c>
      <c r="B190" t="s">
        <v>611</v>
      </c>
    </row>
    <row r="191" spans="1:2" x14ac:dyDescent="0.35">
      <c r="A191" s="3">
        <v>2014</v>
      </c>
      <c r="B191" t="s">
        <v>614</v>
      </c>
    </row>
    <row r="192" spans="1:2" x14ac:dyDescent="0.35">
      <c r="A192" s="3">
        <v>2014</v>
      </c>
      <c r="B192" t="s">
        <v>619</v>
      </c>
    </row>
    <row r="193" spans="1:2" x14ac:dyDescent="0.35">
      <c r="A193" s="3">
        <v>2014</v>
      </c>
      <c r="B193" t="s">
        <v>620</v>
      </c>
    </row>
    <row r="194" spans="1:2" x14ac:dyDescent="0.35">
      <c r="A194" s="3">
        <v>2014</v>
      </c>
      <c r="B194" t="s">
        <v>621</v>
      </c>
    </row>
    <row r="195" spans="1:2" x14ac:dyDescent="0.35">
      <c r="A195" s="3">
        <v>2014</v>
      </c>
      <c r="B195" t="s">
        <v>623</v>
      </c>
    </row>
    <row r="196" spans="1:2" x14ac:dyDescent="0.35">
      <c r="A196" s="3">
        <v>2014</v>
      </c>
      <c r="B196" t="s">
        <v>630</v>
      </c>
    </row>
    <row r="197" spans="1:2" x14ac:dyDescent="0.35">
      <c r="A197" s="3">
        <v>2014</v>
      </c>
      <c r="B197" t="s">
        <v>636</v>
      </c>
    </row>
    <row r="198" spans="1:2" x14ac:dyDescent="0.35">
      <c r="A198" s="3">
        <v>2014</v>
      </c>
      <c r="B198" t="s">
        <v>640</v>
      </c>
    </row>
    <row r="199" spans="1:2" x14ac:dyDescent="0.35">
      <c r="A199" s="3">
        <v>2014</v>
      </c>
      <c r="B199" t="s">
        <v>643</v>
      </c>
    </row>
    <row r="200" spans="1:2" x14ac:dyDescent="0.35">
      <c r="A200" s="3">
        <v>2014</v>
      </c>
      <c r="B200" t="s">
        <v>648</v>
      </c>
    </row>
    <row r="201" spans="1:2" x14ac:dyDescent="0.35">
      <c r="A201" s="3">
        <v>2014</v>
      </c>
      <c r="B201" t="s">
        <v>653</v>
      </c>
    </row>
    <row r="202" spans="1:2" x14ac:dyDescent="0.35">
      <c r="A202" s="3">
        <v>2014</v>
      </c>
      <c r="B202" t="s">
        <v>660</v>
      </c>
    </row>
    <row r="203" spans="1:2" x14ac:dyDescent="0.35">
      <c r="A203" s="3">
        <v>2014</v>
      </c>
      <c r="B203" t="s">
        <v>662</v>
      </c>
    </row>
    <row r="204" spans="1:2" x14ac:dyDescent="0.35">
      <c r="A204" s="3">
        <v>2014</v>
      </c>
      <c r="B204" t="s">
        <v>664</v>
      </c>
    </row>
    <row r="205" spans="1:2" x14ac:dyDescent="0.35">
      <c r="A205" s="3">
        <v>2014</v>
      </c>
      <c r="B205" t="s">
        <v>667</v>
      </c>
    </row>
    <row r="206" spans="1:2" x14ac:dyDescent="0.35">
      <c r="A206" s="3">
        <v>2014</v>
      </c>
      <c r="B206" t="s">
        <v>669</v>
      </c>
    </row>
    <row r="207" spans="1:2" x14ac:dyDescent="0.35">
      <c r="A207" s="3">
        <v>2014</v>
      </c>
      <c r="B207" t="s">
        <v>671</v>
      </c>
    </row>
    <row r="208" spans="1:2" x14ac:dyDescent="0.35">
      <c r="A208" s="3">
        <v>2014</v>
      </c>
      <c r="B208" t="s">
        <v>674</v>
      </c>
    </row>
    <row r="209" spans="1:2" x14ac:dyDescent="0.35">
      <c r="A209" s="3">
        <v>2014</v>
      </c>
      <c r="B209" t="s">
        <v>676</v>
      </c>
    </row>
    <row r="210" spans="1:2" x14ac:dyDescent="0.35">
      <c r="A210" s="3">
        <v>2014</v>
      </c>
      <c r="B210" t="s">
        <v>678</v>
      </c>
    </row>
    <row r="211" spans="1:2" x14ac:dyDescent="0.35">
      <c r="A211" s="3">
        <v>2014</v>
      </c>
      <c r="B211" t="s">
        <v>680</v>
      </c>
    </row>
    <row r="212" spans="1:2" x14ac:dyDescent="0.35">
      <c r="A212" s="3">
        <v>2014</v>
      </c>
      <c r="B212" t="s">
        <v>683</v>
      </c>
    </row>
    <row r="213" spans="1:2" x14ac:dyDescent="0.35">
      <c r="A213" s="3">
        <v>2014</v>
      </c>
      <c r="B213" t="s">
        <v>684</v>
      </c>
    </row>
    <row r="214" spans="1:2" x14ac:dyDescent="0.35">
      <c r="A214" s="3">
        <v>2014</v>
      </c>
      <c r="B214" t="s">
        <v>687</v>
      </c>
    </row>
    <row r="215" spans="1:2" x14ac:dyDescent="0.35">
      <c r="A215" s="3">
        <v>2014</v>
      </c>
      <c r="B215" t="s">
        <v>691</v>
      </c>
    </row>
    <row r="216" spans="1:2" x14ac:dyDescent="0.35">
      <c r="A216" s="3">
        <v>2014</v>
      </c>
      <c r="B216" t="s">
        <v>694</v>
      </c>
    </row>
    <row r="217" spans="1:2" x14ac:dyDescent="0.35">
      <c r="A217" s="3">
        <v>2014</v>
      </c>
      <c r="B217" t="s">
        <v>695</v>
      </c>
    </row>
    <row r="218" spans="1:2" x14ac:dyDescent="0.35">
      <c r="A218" s="3">
        <v>2014</v>
      </c>
      <c r="B218" t="s">
        <v>698</v>
      </c>
    </row>
    <row r="219" spans="1:2" x14ac:dyDescent="0.35">
      <c r="A219" s="3">
        <v>2014</v>
      </c>
      <c r="B219" t="s">
        <v>700</v>
      </c>
    </row>
    <row r="220" spans="1:2" x14ac:dyDescent="0.35">
      <c r="A220" s="3">
        <v>2014</v>
      </c>
      <c r="B220" t="s">
        <v>706</v>
      </c>
    </row>
    <row r="221" spans="1:2" x14ac:dyDescent="0.35">
      <c r="A221" s="3">
        <v>2014</v>
      </c>
      <c r="B221" t="s">
        <v>708</v>
      </c>
    </row>
    <row r="222" spans="1:2" x14ac:dyDescent="0.35">
      <c r="A222" s="3">
        <v>2014</v>
      </c>
      <c r="B222" t="s">
        <v>713</v>
      </c>
    </row>
    <row r="223" spans="1:2" x14ac:dyDescent="0.35">
      <c r="A223" s="3">
        <v>2014</v>
      </c>
      <c r="B223" t="s">
        <v>715</v>
      </c>
    </row>
    <row r="224" spans="1:2" x14ac:dyDescent="0.35">
      <c r="A224" s="3">
        <v>2014</v>
      </c>
      <c r="B224" t="s">
        <v>717</v>
      </c>
    </row>
    <row r="225" spans="1:2" x14ac:dyDescent="0.35">
      <c r="A225" s="3">
        <v>2014</v>
      </c>
      <c r="B225" t="s">
        <v>721</v>
      </c>
    </row>
    <row r="226" spans="1:2" x14ac:dyDescent="0.35">
      <c r="A226" s="3">
        <v>2014</v>
      </c>
      <c r="B226" t="s">
        <v>724</v>
      </c>
    </row>
    <row r="227" spans="1:2" x14ac:dyDescent="0.35">
      <c r="A227" s="3">
        <v>2014</v>
      </c>
      <c r="B227" t="s">
        <v>727</v>
      </c>
    </row>
    <row r="228" spans="1:2" x14ac:dyDescent="0.35">
      <c r="A228" s="3">
        <v>2014</v>
      </c>
      <c r="B228" t="s">
        <v>729</v>
      </c>
    </row>
    <row r="229" spans="1:2" x14ac:dyDescent="0.35">
      <c r="A229" s="3">
        <v>2014</v>
      </c>
      <c r="B229" t="s">
        <v>731</v>
      </c>
    </row>
    <row r="230" spans="1:2" x14ac:dyDescent="0.35">
      <c r="A230" s="3">
        <v>2014</v>
      </c>
      <c r="B230" t="s">
        <v>734</v>
      </c>
    </row>
    <row r="231" spans="1:2" x14ac:dyDescent="0.35">
      <c r="A231" s="3">
        <v>2014</v>
      </c>
      <c r="B231" t="s">
        <v>736</v>
      </c>
    </row>
    <row r="232" spans="1:2" x14ac:dyDescent="0.35">
      <c r="A232" s="3">
        <v>2014</v>
      </c>
      <c r="B232" t="s">
        <v>743</v>
      </c>
    </row>
    <row r="233" spans="1:2" x14ac:dyDescent="0.35">
      <c r="A233" s="3">
        <v>2014</v>
      </c>
      <c r="B233" t="s">
        <v>745</v>
      </c>
    </row>
    <row r="234" spans="1:2" x14ac:dyDescent="0.35">
      <c r="A234" s="3">
        <v>2014</v>
      </c>
      <c r="B234" t="s">
        <v>747</v>
      </c>
    </row>
    <row r="235" spans="1:2" x14ac:dyDescent="0.35">
      <c r="A235" s="3">
        <v>2014</v>
      </c>
      <c r="B235" t="s">
        <v>750</v>
      </c>
    </row>
    <row r="236" spans="1:2" x14ac:dyDescent="0.35">
      <c r="A236" s="3">
        <v>2014</v>
      </c>
      <c r="B236" t="s">
        <v>755</v>
      </c>
    </row>
    <row r="237" spans="1:2" x14ac:dyDescent="0.35">
      <c r="A237" s="3">
        <v>2014</v>
      </c>
      <c r="B237" t="s">
        <v>760</v>
      </c>
    </row>
    <row r="238" spans="1:2" x14ac:dyDescent="0.35">
      <c r="A238" s="3">
        <v>2014</v>
      </c>
      <c r="B238" t="s">
        <v>764</v>
      </c>
    </row>
    <row r="239" spans="1:2" x14ac:dyDescent="0.35">
      <c r="A239" s="3">
        <v>2014</v>
      </c>
      <c r="B239" t="s">
        <v>767</v>
      </c>
    </row>
    <row r="240" spans="1:2" x14ac:dyDescent="0.35">
      <c r="A240" s="3">
        <v>2014</v>
      </c>
      <c r="B240" t="s">
        <v>769</v>
      </c>
    </row>
    <row r="241" spans="1:2" x14ac:dyDescent="0.35">
      <c r="A241" s="3">
        <v>2014</v>
      </c>
      <c r="B241" t="s">
        <v>771</v>
      </c>
    </row>
    <row r="242" spans="1:2" x14ac:dyDescent="0.35">
      <c r="A242" s="3">
        <v>2014</v>
      </c>
      <c r="B242" t="s">
        <v>777</v>
      </c>
    </row>
    <row r="243" spans="1:2" x14ac:dyDescent="0.35">
      <c r="A243" s="3">
        <v>2014</v>
      </c>
      <c r="B243" t="s">
        <v>782</v>
      </c>
    </row>
    <row r="244" spans="1:2" x14ac:dyDescent="0.35">
      <c r="A244" s="3">
        <v>2014</v>
      </c>
      <c r="B244" t="s">
        <v>784</v>
      </c>
    </row>
    <row r="245" spans="1:2" x14ac:dyDescent="0.35">
      <c r="A245" s="3">
        <v>2014</v>
      </c>
      <c r="B245" t="s">
        <v>787</v>
      </c>
    </row>
    <row r="246" spans="1:2" x14ac:dyDescent="0.35">
      <c r="A246" s="3">
        <v>2014</v>
      </c>
      <c r="B246" t="s">
        <v>789</v>
      </c>
    </row>
    <row r="247" spans="1:2" x14ac:dyDescent="0.35">
      <c r="A247" s="3">
        <v>2014</v>
      </c>
      <c r="B247" t="s">
        <v>794</v>
      </c>
    </row>
    <row r="248" spans="1:2" x14ac:dyDescent="0.35">
      <c r="A248" s="3">
        <v>2014</v>
      </c>
      <c r="B248" t="s">
        <v>798</v>
      </c>
    </row>
    <row r="249" spans="1:2" x14ac:dyDescent="0.35">
      <c r="A249" s="3">
        <v>2014</v>
      </c>
      <c r="B249" t="s">
        <v>804</v>
      </c>
    </row>
    <row r="250" spans="1:2" x14ac:dyDescent="0.35">
      <c r="A250" s="3">
        <v>2014</v>
      </c>
      <c r="B250" t="s">
        <v>807</v>
      </c>
    </row>
    <row r="251" spans="1:2" x14ac:dyDescent="0.35">
      <c r="A251" s="3">
        <v>2014</v>
      </c>
      <c r="B251" t="s">
        <v>809</v>
      </c>
    </row>
    <row r="252" spans="1:2" x14ac:dyDescent="0.35">
      <c r="A252" s="3">
        <v>2014</v>
      </c>
      <c r="B252" t="s">
        <v>815</v>
      </c>
    </row>
    <row r="253" spans="1:2" x14ac:dyDescent="0.35">
      <c r="A253" s="3">
        <v>2014</v>
      </c>
      <c r="B253" t="s">
        <v>818</v>
      </c>
    </row>
    <row r="254" spans="1:2" x14ac:dyDescent="0.35">
      <c r="A254" s="3">
        <v>2014</v>
      </c>
      <c r="B254" t="s">
        <v>825</v>
      </c>
    </row>
    <row r="255" spans="1:2" x14ac:dyDescent="0.35">
      <c r="A255" s="3">
        <v>2014</v>
      </c>
      <c r="B255" t="s">
        <v>828</v>
      </c>
    </row>
    <row r="256" spans="1:2" x14ac:dyDescent="0.35">
      <c r="A256" s="3">
        <v>2014</v>
      </c>
      <c r="B256" t="s">
        <v>830</v>
      </c>
    </row>
    <row r="257" spans="1:2" x14ac:dyDescent="0.35">
      <c r="A257" s="3">
        <v>2014</v>
      </c>
      <c r="B257" t="s">
        <v>833</v>
      </c>
    </row>
    <row r="258" spans="1:2" x14ac:dyDescent="0.35">
      <c r="A258" s="3">
        <v>2014</v>
      </c>
      <c r="B258" t="s">
        <v>835</v>
      </c>
    </row>
    <row r="259" spans="1:2" x14ac:dyDescent="0.35">
      <c r="A259" s="3">
        <v>2014</v>
      </c>
      <c r="B259" t="s">
        <v>839</v>
      </c>
    </row>
    <row r="260" spans="1:2" x14ac:dyDescent="0.35">
      <c r="A260" s="3">
        <v>2014</v>
      </c>
      <c r="B260" t="s">
        <v>841</v>
      </c>
    </row>
    <row r="261" spans="1:2" x14ac:dyDescent="0.35">
      <c r="A261" s="3">
        <v>2014</v>
      </c>
      <c r="B261" t="s">
        <v>845</v>
      </c>
    </row>
    <row r="262" spans="1:2" x14ac:dyDescent="0.35">
      <c r="A262" s="3">
        <v>2014</v>
      </c>
      <c r="B262" t="s">
        <v>848</v>
      </c>
    </row>
    <row r="263" spans="1:2" x14ac:dyDescent="0.35">
      <c r="A263" s="3">
        <v>2014</v>
      </c>
      <c r="B263" t="s">
        <v>853</v>
      </c>
    </row>
    <row r="264" spans="1:2" x14ac:dyDescent="0.35">
      <c r="A264" s="3">
        <v>2014</v>
      </c>
      <c r="B264" t="s">
        <v>856</v>
      </c>
    </row>
    <row r="265" spans="1:2" x14ac:dyDescent="0.35">
      <c r="A265" s="3">
        <v>2014</v>
      </c>
      <c r="B265" t="s">
        <v>867</v>
      </c>
    </row>
    <row r="266" spans="1:2" x14ac:dyDescent="0.35">
      <c r="A266" s="3">
        <v>2014</v>
      </c>
      <c r="B266" t="s">
        <v>870</v>
      </c>
    </row>
    <row r="267" spans="1:2" x14ac:dyDescent="0.35">
      <c r="A267" s="3">
        <v>2014</v>
      </c>
      <c r="B267" t="s">
        <v>875</v>
      </c>
    </row>
    <row r="268" spans="1:2" x14ac:dyDescent="0.35">
      <c r="A268" s="3">
        <v>2014</v>
      </c>
      <c r="B268" t="s">
        <v>878</v>
      </c>
    </row>
    <row r="269" spans="1:2" x14ac:dyDescent="0.35">
      <c r="A269" s="3">
        <v>2014</v>
      </c>
      <c r="B269" t="s">
        <v>879</v>
      </c>
    </row>
    <row r="270" spans="1:2" x14ac:dyDescent="0.35">
      <c r="A270" s="3">
        <v>2014</v>
      </c>
      <c r="B270" t="s">
        <v>885</v>
      </c>
    </row>
    <row r="271" spans="1:2" x14ac:dyDescent="0.35">
      <c r="A271" s="3">
        <v>2014</v>
      </c>
      <c r="B271" t="s">
        <v>888</v>
      </c>
    </row>
    <row r="272" spans="1:2" x14ac:dyDescent="0.35">
      <c r="A272" s="3">
        <v>2014</v>
      </c>
      <c r="B272" t="s">
        <v>889</v>
      </c>
    </row>
    <row r="273" spans="1:2" x14ac:dyDescent="0.35">
      <c r="A273" s="3">
        <v>2014</v>
      </c>
      <c r="B273" t="s">
        <v>893</v>
      </c>
    </row>
    <row r="274" spans="1:2" x14ac:dyDescent="0.35">
      <c r="A274" s="3">
        <v>2014</v>
      </c>
      <c r="B274" t="s">
        <v>897</v>
      </c>
    </row>
    <row r="275" spans="1:2" x14ac:dyDescent="0.35">
      <c r="A275" s="3">
        <v>2014</v>
      </c>
      <c r="B275" t="s">
        <v>898</v>
      </c>
    </row>
    <row r="276" spans="1:2" x14ac:dyDescent="0.35">
      <c r="A276" s="3">
        <v>2014</v>
      </c>
      <c r="B276" t="s">
        <v>900</v>
      </c>
    </row>
    <row r="277" spans="1:2" x14ac:dyDescent="0.35">
      <c r="A277" s="3">
        <v>2014</v>
      </c>
      <c r="B277" t="s">
        <v>905</v>
      </c>
    </row>
    <row r="278" spans="1:2" x14ac:dyDescent="0.35">
      <c r="A278" s="3">
        <v>2014</v>
      </c>
      <c r="B278" t="s">
        <v>909</v>
      </c>
    </row>
    <row r="279" spans="1:2" x14ac:dyDescent="0.35">
      <c r="A279" s="3">
        <v>2014</v>
      </c>
      <c r="B279" t="s">
        <v>911</v>
      </c>
    </row>
    <row r="280" spans="1:2" x14ac:dyDescent="0.35">
      <c r="A280" s="3">
        <v>2014</v>
      </c>
      <c r="B280" t="s">
        <v>912</v>
      </c>
    </row>
    <row r="281" spans="1:2" x14ac:dyDescent="0.35">
      <c r="A281" s="3">
        <v>2014</v>
      </c>
      <c r="B281" t="s">
        <v>913</v>
      </c>
    </row>
    <row r="282" spans="1:2" x14ac:dyDescent="0.35">
      <c r="A282" s="3">
        <v>2014</v>
      </c>
      <c r="B282" t="s">
        <v>915</v>
      </c>
    </row>
    <row r="283" spans="1:2" x14ac:dyDescent="0.35">
      <c r="A283" s="3">
        <v>2014</v>
      </c>
      <c r="B283" t="s">
        <v>918</v>
      </c>
    </row>
    <row r="284" spans="1:2" x14ac:dyDescent="0.35">
      <c r="A284" s="3">
        <v>2014</v>
      </c>
      <c r="B284" t="s">
        <v>921</v>
      </c>
    </row>
    <row r="285" spans="1:2" x14ac:dyDescent="0.35">
      <c r="A285" s="3">
        <v>2014</v>
      </c>
      <c r="B285" t="s">
        <v>924</v>
      </c>
    </row>
    <row r="286" spans="1:2" x14ac:dyDescent="0.35">
      <c r="A286" s="3">
        <v>2014</v>
      </c>
      <c r="B286" t="s">
        <v>929</v>
      </c>
    </row>
    <row r="287" spans="1:2" x14ac:dyDescent="0.35">
      <c r="A287" s="3">
        <v>2014</v>
      </c>
      <c r="B287" t="s">
        <v>931</v>
      </c>
    </row>
    <row r="288" spans="1:2" x14ac:dyDescent="0.35">
      <c r="A288" s="3">
        <v>2014</v>
      </c>
      <c r="B288" t="s">
        <v>933</v>
      </c>
    </row>
    <row r="289" spans="1:2" x14ac:dyDescent="0.35">
      <c r="A289" s="3">
        <v>2014</v>
      </c>
      <c r="B289" t="s">
        <v>936</v>
      </c>
    </row>
    <row r="290" spans="1:2" x14ac:dyDescent="0.35">
      <c r="A290" s="3">
        <v>2014</v>
      </c>
      <c r="B290" t="s">
        <v>939</v>
      </c>
    </row>
    <row r="291" spans="1:2" x14ac:dyDescent="0.35">
      <c r="A291" s="3">
        <v>2014</v>
      </c>
      <c r="B291" t="s">
        <v>942</v>
      </c>
    </row>
    <row r="292" spans="1:2" x14ac:dyDescent="0.35">
      <c r="A292" s="3">
        <v>2014</v>
      </c>
      <c r="B292" t="s">
        <v>944</v>
      </c>
    </row>
    <row r="293" spans="1:2" x14ac:dyDescent="0.35">
      <c r="A293" s="3">
        <v>2014</v>
      </c>
      <c r="B293" t="s">
        <v>945</v>
      </c>
    </row>
    <row r="294" spans="1:2" x14ac:dyDescent="0.35">
      <c r="A294" s="3">
        <v>2014</v>
      </c>
      <c r="B294" t="s">
        <v>947</v>
      </c>
    </row>
    <row r="295" spans="1:2" x14ac:dyDescent="0.35">
      <c r="A295" s="3">
        <v>2014</v>
      </c>
      <c r="B295" t="s">
        <v>951</v>
      </c>
    </row>
    <row r="296" spans="1:2" x14ac:dyDescent="0.35">
      <c r="A296" s="3">
        <v>2014</v>
      </c>
      <c r="B296" t="s">
        <v>957</v>
      </c>
    </row>
    <row r="297" spans="1:2" x14ac:dyDescent="0.35">
      <c r="A297" s="3">
        <v>2014</v>
      </c>
      <c r="B297" t="s">
        <v>960</v>
      </c>
    </row>
    <row r="298" spans="1:2" x14ac:dyDescent="0.35">
      <c r="A298" s="3">
        <v>2014</v>
      </c>
      <c r="B298" t="s">
        <v>970</v>
      </c>
    </row>
    <row r="299" spans="1:2" x14ac:dyDescent="0.35">
      <c r="A299" s="3">
        <v>2014</v>
      </c>
      <c r="B299" t="s">
        <v>975</v>
      </c>
    </row>
    <row r="300" spans="1:2" x14ac:dyDescent="0.35">
      <c r="A300" s="3">
        <v>2014</v>
      </c>
      <c r="B300" t="s">
        <v>977</v>
      </c>
    </row>
    <row r="301" spans="1:2" x14ac:dyDescent="0.35">
      <c r="A301" s="3">
        <v>2014</v>
      </c>
      <c r="B301" t="s">
        <v>979</v>
      </c>
    </row>
    <row r="302" spans="1:2" x14ac:dyDescent="0.35">
      <c r="A302" s="3">
        <v>2014</v>
      </c>
      <c r="B302" t="s">
        <v>981</v>
      </c>
    </row>
    <row r="303" spans="1:2" x14ac:dyDescent="0.35">
      <c r="A303" s="3">
        <v>2014</v>
      </c>
      <c r="B303" t="s">
        <v>985</v>
      </c>
    </row>
    <row r="304" spans="1:2" x14ac:dyDescent="0.35">
      <c r="A304" s="3">
        <v>2014</v>
      </c>
      <c r="B304" t="s">
        <v>988</v>
      </c>
    </row>
    <row r="305" spans="1:2" x14ac:dyDescent="0.35">
      <c r="A305" s="3">
        <v>2014</v>
      </c>
      <c r="B305" t="s">
        <v>991</v>
      </c>
    </row>
    <row r="306" spans="1:2" x14ac:dyDescent="0.35">
      <c r="A306" s="3">
        <v>2014</v>
      </c>
      <c r="B306" t="s">
        <v>993</v>
      </c>
    </row>
    <row r="307" spans="1:2" x14ac:dyDescent="0.35">
      <c r="A307" s="3">
        <v>2014</v>
      </c>
      <c r="B307" t="s">
        <v>995</v>
      </c>
    </row>
    <row r="308" spans="1:2" x14ac:dyDescent="0.35">
      <c r="A308" s="3">
        <v>2014</v>
      </c>
      <c r="B308" t="s">
        <v>1000</v>
      </c>
    </row>
    <row r="309" spans="1:2" x14ac:dyDescent="0.35">
      <c r="A309" s="3">
        <v>2014</v>
      </c>
      <c r="B309" t="s">
        <v>1002</v>
      </c>
    </row>
    <row r="310" spans="1:2" x14ac:dyDescent="0.35">
      <c r="A310" s="3">
        <v>2014</v>
      </c>
      <c r="B310" t="s">
        <v>1005</v>
      </c>
    </row>
    <row r="311" spans="1:2" x14ac:dyDescent="0.35">
      <c r="A311" s="3">
        <v>2014</v>
      </c>
      <c r="B311" t="s">
        <v>1007</v>
      </c>
    </row>
    <row r="312" spans="1:2" x14ac:dyDescent="0.35">
      <c r="A312" s="3">
        <v>2014</v>
      </c>
      <c r="B312" t="s">
        <v>1012</v>
      </c>
    </row>
    <row r="313" spans="1:2" x14ac:dyDescent="0.35">
      <c r="A313" s="3">
        <v>2014</v>
      </c>
      <c r="B313" t="s">
        <v>1016</v>
      </c>
    </row>
    <row r="314" spans="1:2" x14ac:dyDescent="0.35">
      <c r="A314" s="3">
        <v>2014</v>
      </c>
      <c r="B314" t="s">
        <v>1018</v>
      </c>
    </row>
    <row r="315" spans="1:2" x14ac:dyDescent="0.35">
      <c r="A315" s="3">
        <v>2014</v>
      </c>
      <c r="B315" t="s">
        <v>1020</v>
      </c>
    </row>
    <row r="316" spans="1:2" x14ac:dyDescent="0.35">
      <c r="A316" s="3">
        <v>2014</v>
      </c>
      <c r="B316" t="s">
        <v>1023</v>
      </c>
    </row>
    <row r="317" spans="1:2" x14ac:dyDescent="0.35">
      <c r="A317" s="3">
        <v>2014</v>
      </c>
      <c r="B317" t="s">
        <v>1031</v>
      </c>
    </row>
    <row r="318" spans="1:2" x14ac:dyDescent="0.35">
      <c r="A318" s="3">
        <v>2014</v>
      </c>
      <c r="B318" t="s">
        <v>1033</v>
      </c>
    </row>
    <row r="319" spans="1:2" x14ac:dyDescent="0.35">
      <c r="A319" s="3">
        <v>2014</v>
      </c>
      <c r="B319" t="s">
        <v>1037</v>
      </c>
    </row>
    <row r="320" spans="1:2" x14ac:dyDescent="0.35">
      <c r="A320" s="3">
        <v>2015</v>
      </c>
      <c r="B320" t="s">
        <v>1038</v>
      </c>
    </row>
    <row r="321" spans="1:2" x14ac:dyDescent="0.35">
      <c r="A321" s="3">
        <v>2015</v>
      </c>
      <c r="B321" t="s">
        <v>1040</v>
      </c>
    </row>
    <row r="322" spans="1:2" x14ac:dyDescent="0.35">
      <c r="A322" s="3">
        <v>2015</v>
      </c>
      <c r="B322" t="s">
        <v>135</v>
      </c>
    </row>
    <row r="323" spans="1:2" x14ac:dyDescent="0.35">
      <c r="A323" s="3">
        <v>2015</v>
      </c>
      <c r="B323" t="s">
        <v>601</v>
      </c>
    </row>
    <row r="324" spans="1:2" x14ac:dyDescent="0.35">
      <c r="A324" s="3">
        <v>2015</v>
      </c>
      <c r="B324" t="s">
        <v>1045</v>
      </c>
    </row>
    <row r="325" spans="1:2" x14ac:dyDescent="0.35">
      <c r="A325" s="3">
        <v>2015</v>
      </c>
      <c r="B325" t="s">
        <v>1047</v>
      </c>
    </row>
    <row r="326" spans="1:2" x14ac:dyDescent="0.35">
      <c r="A326" s="3">
        <v>2015</v>
      </c>
      <c r="B326" t="s">
        <v>1049</v>
      </c>
    </row>
    <row r="327" spans="1:2" x14ac:dyDescent="0.35">
      <c r="A327" s="3">
        <v>2015</v>
      </c>
      <c r="B327" t="s">
        <v>222</v>
      </c>
    </row>
    <row r="328" spans="1:2" x14ac:dyDescent="0.35">
      <c r="A328" s="3">
        <v>2015</v>
      </c>
      <c r="B328" t="s">
        <v>274</v>
      </c>
    </row>
    <row r="329" spans="1:2" x14ac:dyDescent="0.35">
      <c r="A329" s="3">
        <v>2015</v>
      </c>
      <c r="B329" t="s">
        <v>262</v>
      </c>
    </row>
    <row r="330" spans="1:2" x14ac:dyDescent="0.35">
      <c r="A330" s="3">
        <v>2015</v>
      </c>
      <c r="B330" t="s">
        <v>1058</v>
      </c>
    </row>
    <row r="331" spans="1:2" x14ac:dyDescent="0.35">
      <c r="A331" s="3">
        <v>2015</v>
      </c>
      <c r="B331" t="s">
        <v>671</v>
      </c>
    </row>
    <row r="332" spans="1:2" x14ac:dyDescent="0.35">
      <c r="A332" s="3">
        <v>2015</v>
      </c>
      <c r="B332" t="s">
        <v>1059</v>
      </c>
    </row>
    <row r="333" spans="1:2" x14ac:dyDescent="0.35">
      <c r="A333" s="3">
        <v>2015</v>
      </c>
      <c r="B333" t="s">
        <v>1060</v>
      </c>
    </row>
    <row r="334" spans="1:2" x14ac:dyDescent="0.35">
      <c r="A334" s="3">
        <v>2015</v>
      </c>
      <c r="B334" t="s">
        <v>1063</v>
      </c>
    </row>
    <row r="335" spans="1:2" x14ac:dyDescent="0.35">
      <c r="A335" s="3">
        <v>2015</v>
      </c>
      <c r="B335" t="s">
        <v>1064</v>
      </c>
    </row>
    <row r="336" spans="1:2" x14ac:dyDescent="0.35">
      <c r="A336" s="3">
        <v>2015</v>
      </c>
      <c r="B336" t="s">
        <v>1066</v>
      </c>
    </row>
    <row r="337" spans="1:2" x14ac:dyDescent="0.35">
      <c r="A337" s="3">
        <v>2015</v>
      </c>
      <c r="B337" t="s">
        <v>611</v>
      </c>
    </row>
    <row r="338" spans="1:2" x14ac:dyDescent="0.35">
      <c r="A338" s="3">
        <v>2015</v>
      </c>
      <c r="B338" t="s">
        <v>70</v>
      </c>
    </row>
    <row r="339" spans="1:2" x14ac:dyDescent="0.35">
      <c r="A339" s="3">
        <v>2015</v>
      </c>
      <c r="B339" t="s">
        <v>385</v>
      </c>
    </row>
    <row r="340" spans="1:2" x14ac:dyDescent="0.35">
      <c r="A340" s="3">
        <v>2015</v>
      </c>
      <c r="B340" t="s">
        <v>879</v>
      </c>
    </row>
    <row r="341" spans="1:2" x14ac:dyDescent="0.35">
      <c r="A341" s="3">
        <v>2015</v>
      </c>
      <c r="B341" t="s">
        <v>410</v>
      </c>
    </row>
    <row r="342" spans="1:2" x14ac:dyDescent="0.35">
      <c r="A342" s="3">
        <v>2015</v>
      </c>
      <c r="B342" t="s">
        <v>1077</v>
      </c>
    </row>
    <row r="343" spans="1:2" x14ac:dyDescent="0.35">
      <c r="A343" s="3">
        <v>2015</v>
      </c>
      <c r="B343" t="s">
        <v>1079</v>
      </c>
    </row>
    <row r="344" spans="1:2" x14ac:dyDescent="0.35">
      <c r="A344" s="3">
        <v>2015</v>
      </c>
      <c r="B344" t="s">
        <v>798</v>
      </c>
    </row>
    <row r="345" spans="1:2" x14ac:dyDescent="0.35">
      <c r="A345" s="3">
        <v>2015</v>
      </c>
      <c r="B345" t="s">
        <v>1081</v>
      </c>
    </row>
    <row r="346" spans="1:2" x14ac:dyDescent="0.35">
      <c r="A346" s="3">
        <v>2015</v>
      </c>
      <c r="B346" t="s">
        <v>1082</v>
      </c>
    </row>
    <row r="347" spans="1:2" x14ac:dyDescent="0.35">
      <c r="A347" s="3">
        <v>2015</v>
      </c>
      <c r="B347" t="s">
        <v>1083</v>
      </c>
    </row>
    <row r="348" spans="1:2" x14ac:dyDescent="0.35">
      <c r="A348" s="3">
        <v>2015</v>
      </c>
      <c r="B348" t="s">
        <v>1085</v>
      </c>
    </row>
    <row r="349" spans="1:2" x14ac:dyDescent="0.35">
      <c r="A349" s="3">
        <v>2015</v>
      </c>
      <c r="B349" t="s">
        <v>1090</v>
      </c>
    </row>
    <row r="350" spans="1:2" x14ac:dyDescent="0.35">
      <c r="A350" s="3">
        <v>2015</v>
      </c>
      <c r="B350" t="s">
        <v>695</v>
      </c>
    </row>
    <row r="351" spans="1:2" x14ac:dyDescent="0.35">
      <c r="A351" s="3">
        <v>2015</v>
      </c>
      <c r="B351" t="s">
        <v>912</v>
      </c>
    </row>
    <row r="352" spans="1:2" x14ac:dyDescent="0.35">
      <c r="A352" s="3">
        <v>2015</v>
      </c>
      <c r="B352" t="s">
        <v>1097</v>
      </c>
    </row>
    <row r="353" spans="1:2" x14ac:dyDescent="0.35">
      <c r="A353" s="3">
        <v>2015</v>
      </c>
      <c r="B353" t="s">
        <v>1101</v>
      </c>
    </row>
    <row r="354" spans="1:2" x14ac:dyDescent="0.35">
      <c r="A354" s="3">
        <v>2015</v>
      </c>
      <c r="B354" t="s">
        <v>1102</v>
      </c>
    </row>
    <row r="355" spans="1:2" x14ac:dyDescent="0.35">
      <c r="A355" s="3">
        <v>2015</v>
      </c>
      <c r="B355" t="s">
        <v>1104</v>
      </c>
    </row>
    <row r="356" spans="1:2" x14ac:dyDescent="0.35">
      <c r="A356" s="3">
        <v>2015</v>
      </c>
      <c r="B356" t="s">
        <v>1107</v>
      </c>
    </row>
    <row r="357" spans="1:2" x14ac:dyDescent="0.35">
      <c r="A357" s="3">
        <v>2015</v>
      </c>
      <c r="B357" t="s">
        <v>1109</v>
      </c>
    </row>
    <row r="358" spans="1:2" x14ac:dyDescent="0.35">
      <c r="A358" s="3">
        <v>2015</v>
      </c>
      <c r="B358" t="s">
        <v>1111</v>
      </c>
    </row>
    <row r="359" spans="1:2" x14ac:dyDescent="0.35">
      <c r="A359" s="3">
        <v>2015</v>
      </c>
      <c r="B359" t="s">
        <v>1112</v>
      </c>
    </row>
    <row r="360" spans="1:2" x14ac:dyDescent="0.35">
      <c r="A360" s="3">
        <v>2015</v>
      </c>
      <c r="B360" t="s">
        <v>853</v>
      </c>
    </row>
    <row r="361" spans="1:2" x14ac:dyDescent="0.35">
      <c r="A361" s="3">
        <v>2015</v>
      </c>
      <c r="B361" t="s">
        <v>1113</v>
      </c>
    </row>
    <row r="362" spans="1:2" x14ac:dyDescent="0.35">
      <c r="A362" s="3">
        <v>2015</v>
      </c>
      <c r="B362" t="s">
        <v>1117</v>
      </c>
    </row>
    <row r="363" spans="1:2" x14ac:dyDescent="0.35">
      <c r="A363" s="3">
        <v>2015</v>
      </c>
      <c r="B363" t="s">
        <v>495</v>
      </c>
    </row>
    <row r="364" spans="1:2" x14ac:dyDescent="0.35">
      <c r="A364" s="3">
        <v>2015</v>
      </c>
      <c r="B364" t="s">
        <v>1118</v>
      </c>
    </row>
    <row r="365" spans="1:2" x14ac:dyDescent="0.35">
      <c r="A365" s="3">
        <v>2015</v>
      </c>
      <c r="B365" t="s">
        <v>1121</v>
      </c>
    </row>
    <row r="366" spans="1:2" x14ac:dyDescent="0.35">
      <c r="A366" s="3">
        <v>2015</v>
      </c>
      <c r="B366" t="s">
        <v>1124</v>
      </c>
    </row>
    <row r="367" spans="1:2" x14ac:dyDescent="0.35">
      <c r="A367" s="3">
        <v>2015</v>
      </c>
      <c r="B367" t="s">
        <v>1128</v>
      </c>
    </row>
    <row r="368" spans="1:2" x14ac:dyDescent="0.35">
      <c r="A368" s="3">
        <v>2015</v>
      </c>
      <c r="B368" t="s">
        <v>684</v>
      </c>
    </row>
    <row r="369" spans="1:2" x14ac:dyDescent="0.35">
      <c r="A369" s="3">
        <v>2015</v>
      </c>
      <c r="B369" t="s">
        <v>1129</v>
      </c>
    </row>
    <row r="370" spans="1:2" x14ac:dyDescent="0.35">
      <c r="A370" s="3">
        <v>2015</v>
      </c>
      <c r="B370" t="s">
        <v>1131</v>
      </c>
    </row>
    <row r="371" spans="1:2" x14ac:dyDescent="0.35">
      <c r="A371" s="3">
        <v>2015</v>
      </c>
      <c r="B371" t="s">
        <v>599</v>
      </c>
    </row>
    <row r="372" spans="1:2" x14ac:dyDescent="0.35">
      <c r="A372" s="3">
        <v>2015</v>
      </c>
      <c r="B372" t="s">
        <v>1134</v>
      </c>
    </row>
    <row r="373" spans="1:2" x14ac:dyDescent="0.35">
      <c r="A373" s="3">
        <v>2015</v>
      </c>
      <c r="B373" t="s">
        <v>1136</v>
      </c>
    </row>
    <row r="374" spans="1:2" x14ac:dyDescent="0.35">
      <c r="A374" s="3">
        <v>2015</v>
      </c>
      <c r="B374" t="s">
        <v>1137</v>
      </c>
    </row>
    <row r="375" spans="1:2" x14ac:dyDescent="0.35">
      <c r="A375" s="3">
        <v>2015</v>
      </c>
      <c r="B375" t="s">
        <v>885</v>
      </c>
    </row>
    <row r="376" spans="1:2" x14ac:dyDescent="0.35">
      <c r="A376" s="3">
        <v>2015</v>
      </c>
      <c r="B376" t="s">
        <v>1140</v>
      </c>
    </row>
    <row r="377" spans="1:2" x14ac:dyDescent="0.35">
      <c r="A377" s="3">
        <v>2015</v>
      </c>
      <c r="B377" t="s">
        <v>1142</v>
      </c>
    </row>
    <row r="378" spans="1:2" x14ac:dyDescent="0.35">
      <c r="A378" s="3">
        <v>2015</v>
      </c>
      <c r="B378" t="s">
        <v>1144</v>
      </c>
    </row>
    <row r="379" spans="1:2" x14ac:dyDescent="0.35">
      <c r="A379" s="3">
        <v>2015</v>
      </c>
      <c r="B379" t="s">
        <v>66</v>
      </c>
    </row>
    <row r="380" spans="1:2" x14ac:dyDescent="0.35">
      <c r="A380" s="3">
        <v>2015</v>
      </c>
      <c r="B380" t="s">
        <v>782</v>
      </c>
    </row>
    <row r="381" spans="1:2" x14ac:dyDescent="0.35">
      <c r="A381" s="3">
        <v>2015</v>
      </c>
      <c r="B381" t="s">
        <v>1150</v>
      </c>
    </row>
    <row r="382" spans="1:2" x14ac:dyDescent="0.35">
      <c r="A382" s="3">
        <v>2015</v>
      </c>
      <c r="B382" t="s">
        <v>1152</v>
      </c>
    </row>
    <row r="383" spans="1:2" x14ac:dyDescent="0.35">
      <c r="A383" s="3">
        <v>2015</v>
      </c>
      <c r="B383" t="s">
        <v>1154</v>
      </c>
    </row>
    <row r="384" spans="1:2" x14ac:dyDescent="0.35">
      <c r="A384" s="3">
        <v>2015</v>
      </c>
      <c r="B384" t="s">
        <v>1155</v>
      </c>
    </row>
    <row r="385" spans="1:2" x14ac:dyDescent="0.35">
      <c r="A385" s="3">
        <v>2015</v>
      </c>
      <c r="B385" t="s">
        <v>1158</v>
      </c>
    </row>
    <row r="386" spans="1:2" x14ac:dyDescent="0.35">
      <c r="A386" s="3">
        <v>2015</v>
      </c>
      <c r="B386" t="s">
        <v>1161</v>
      </c>
    </row>
    <row r="387" spans="1:2" x14ac:dyDescent="0.35">
      <c r="A387" s="3">
        <v>2015</v>
      </c>
      <c r="B387" t="s">
        <v>110</v>
      </c>
    </row>
    <row r="388" spans="1:2" x14ac:dyDescent="0.35">
      <c r="A388" s="3">
        <v>2015</v>
      </c>
      <c r="B388" t="s">
        <v>767</v>
      </c>
    </row>
    <row r="389" spans="1:2" x14ac:dyDescent="0.35">
      <c r="A389" s="3">
        <v>2015</v>
      </c>
      <c r="B389" t="s">
        <v>1164</v>
      </c>
    </row>
    <row r="390" spans="1:2" x14ac:dyDescent="0.35">
      <c r="A390" s="3">
        <v>2015</v>
      </c>
      <c r="B390" t="s">
        <v>1166</v>
      </c>
    </row>
    <row r="391" spans="1:2" x14ac:dyDescent="0.35">
      <c r="A391" s="3">
        <v>2015</v>
      </c>
      <c r="B391" t="s">
        <v>182</v>
      </c>
    </row>
    <row r="392" spans="1:2" x14ac:dyDescent="0.35">
      <c r="A392" s="3">
        <v>2015</v>
      </c>
      <c r="B392" t="s">
        <v>1171</v>
      </c>
    </row>
    <row r="393" spans="1:2" x14ac:dyDescent="0.35">
      <c r="A393" s="3">
        <v>2015</v>
      </c>
      <c r="B393" t="s">
        <v>804</v>
      </c>
    </row>
    <row r="394" spans="1:2" x14ac:dyDescent="0.35">
      <c r="A394" s="3">
        <v>2015</v>
      </c>
      <c r="B394" t="s">
        <v>1175</v>
      </c>
    </row>
    <row r="395" spans="1:2" x14ac:dyDescent="0.35">
      <c r="A395" s="3">
        <v>2015</v>
      </c>
      <c r="B395" t="s">
        <v>128</v>
      </c>
    </row>
    <row r="396" spans="1:2" x14ac:dyDescent="0.35">
      <c r="A396" s="3">
        <v>2015</v>
      </c>
      <c r="B396" t="s">
        <v>1179</v>
      </c>
    </row>
    <row r="397" spans="1:2" x14ac:dyDescent="0.35">
      <c r="A397" s="3">
        <v>2015</v>
      </c>
      <c r="B397" t="s">
        <v>1181</v>
      </c>
    </row>
    <row r="398" spans="1:2" x14ac:dyDescent="0.35">
      <c r="A398" s="3">
        <v>2015</v>
      </c>
      <c r="B398" t="s">
        <v>88</v>
      </c>
    </row>
    <row r="399" spans="1:2" x14ac:dyDescent="0.35">
      <c r="A399" s="3">
        <v>2015</v>
      </c>
      <c r="B399" t="s">
        <v>421</v>
      </c>
    </row>
    <row r="400" spans="1:2" x14ac:dyDescent="0.35">
      <c r="A400" s="3">
        <v>2015</v>
      </c>
      <c r="B400" t="s">
        <v>1191</v>
      </c>
    </row>
    <row r="401" spans="1:2" x14ac:dyDescent="0.35">
      <c r="A401" s="3">
        <v>2015</v>
      </c>
      <c r="B401" t="s">
        <v>208</v>
      </c>
    </row>
    <row r="402" spans="1:2" x14ac:dyDescent="0.35">
      <c r="A402" s="3">
        <v>2015</v>
      </c>
      <c r="B402" t="s">
        <v>359</v>
      </c>
    </row>
    <row r="403" spans="1:2" x14ac:dyDescent="0.35">
      <c r="A403" s="3">
        <v>2015</v>
      </c>
      <c r="B403" t="s">
        <v>289</v>
      </c>
    </row>
    <row r="404" spans="1:2" x14ac:dyDescent="0.35">
      <c r="A404" s="3">
        <v>2015</v>
      </c>
      <c r="B404" t="s">
        <v>1196</v>
      </c>
    </row>
    <row r="405" spans="1:2" x14ac:dyDescent="0.35">
      <c r="A405" s="3">
        <v>2015</v>
      </c>
      <c r="B405" t="s">
        <v>594</v>
      </c>
    </row>
    <row r="406" spans="1:2" x14ac:dyDescent="0.35">
      <c r="A406" s="3">
        <v>2015</v>
      </c>
      <c r="B406" t="s">
        <v>1200</v>
      </c>
    </row>
    <row r="407" spans="1:2" x14ac:dyDescent="0.35">
      <c r="A407" s="3">
        <v>2015</v>
      </c>
      <c r="B407" t="s">
        <v>1202</v>
      </c>
    </row>
    <row r="408" spans="1:2" x14ac:dyDescent="0.35">
      <c r="A408" s="3">
        <v>2015</v>
      </c>
      <c r="B408" t="s">
        <v>377</v>
      </c>
    </row>
    <row r="409" spans="1:2" x14ac:dyDescent="0.35">
      <c r="A409" s="3">
        <v>2015</v>
      </c>
      <c r="B409" t="s">
        <v>1205</v>
      </c>
    </row>
    <row r="410" spans="1:2" x14ac:dyDescent="0.35">
      <c r="A410" s="3">
        <v>2015</v>
      </c>
      <c r="B410" t="s">
        <v>1207</v>
      </c>
    </row>
    <row r="411" spans="1:2" x14ac:dyDescent="0.35">
      <c r="A411" s="3">
        <v>2015</v>
      </c>
      <c r="B411" t="s">
        <v>1209</v>
      </c>
    </row>
    <row r="412" spans="1:2" x14ac:dyDescent="0.35">
      <c r="A412" s="3">
        <v>2015</v>
      </c>
      <c r="B412" t="s">
        <v>729</v>
      </c>
    </row>
    <row r="413" spans="1:2" x14ac:dyDescent="0.35">
      <c r="A413" s="3">
        <v>2015</v>
      </c>
      <c r="B413" t="s">
        <v>548</v>
      </c>
    </row>
    <row r="414" spans="1:2" x14ac:dyDescent="0.35">
      <c r="A414" s="3">
        <v>2015</v>
      </c>
      <c r="B414" t="s">
        <v>1215</v>
      </c>
    </row>
    <row r="415" spans="1:2" x14ac:dyDescent="0.35">
      <c r="A415" s="3">
        <v>2015</v>
      </c>
      <c r="B415" t="s">
        <v>371</v>
      </c>
    </row>
    <row r="416" spans="1:2" x14ac:dyDescent="0.35">
      <c r="A416" s="3">
        <v>2015</v>
      </c>
      <c r="B416" t="s">
        <v>1221</v>
      </c>
    </row>
    <row r="417" spans="1:2" x14ac:dyDescent="0.35">
      <c r="A417" s="3">
        <v>2015</v>
      </c>
      <c r="B417" t="s">
        <v>915</v>
      </c>
    </row>
    <row r="418" spans="1:2" x14ac:dyDescent="0.35">
      <c r="A418" s="3">
        <v>2015</v>
      </c>
      <c r="B418" t="s">
        <v>172</v>
      </c>
    </row>
    <row r="419" spans="1:2" x14ac:dyDescent="0.35">
      <c r="A419" s="3">
        <v>2015</v>
      </c>
      <c r="B419" t="s">
        <v>1225</v>
      </c>
    </row>
    <row r="420" spans="1:2" x14ac:dyDescent="0.35">
      <c r="A420" s="3">
        <v>2015</v>
      </c>
      <c r="B420" t="s">
        <v>1000</v>
      </c>
    </row>
    <row r="421" spans="1:2" x14ac:dyDescent="0.35">
      <c r="A421" s="3">
        <v>2015</v>
      </c>
      <c r="B421" t="s">
        <v>336</v>
      </c>
    </row>
    <row r="422" spans="1:2" x14ac:dyDescent="0.35">
      <c r="A422" s="3">
        <v>2015</v>
      </c>
      <c r="B422" t="s">
        <v>1228</v>
      </c>
    </row>
    <row r="423" spans="1:2" x14ac:dyDescent="0.35">
      <c r="A423" s="3">
        <v>2015</v>
      </c>
      <c r="B423" t="s">
        <v>1230</v>
      </c>
    </row>
    <row r="424" spans="1:2" x14ac:dyDescent="0.35">
      <c r="A424" s="3">
        <v>2015</v>
      </c>
      <c r="B424" t="s">
        <v>1232</v>
      </c>
    </row>
    <row r="425" spans="1:2" x14ac:dyDescent="0.35">
      <c r="A425" s="3">
        <v>2015</v>
      </c>
      <c r="B425" t="s">
        <v>1234</v>
      </c>
    </row>
    <row r="426" spans="1:2" x14ac:dyDescent="0.35">
      <c r="A426" s="3">
        <v>2015</v>
      </c>
      <c r="B426" t="s">
        <v>1236</v>
      </c>
    </row>
    <row r="427" spans="1:2" x14ac:dyDescent="0.35">
      <c r="A427" s="3">
        <v>2015</v>
      </c>
      <c r="B427" t="s">
        <v>361</v>
      </c>
    </row>
    <row r="428" spans="1:2" x14ac:dyDescent="0.35">
      <c r="A428" s="3">
        <v>2015</v>
      </c>
      <c r="B428" t="s">
        <v>1239</v>
      </c>
    </row>
    <row r="429" spans="1:2" x14ac:dyDescent="0.35">
      <c r="A429" s="3">
        <v>2015</v>
      </c>
      <c r="B429" t="s">
        <v>745</v>
      </c>
    </row>
    <row r="430" spans="1:2" x14ac:dyDescent="0.35">
      <c r="A430" s="3">
        <v>2015</v>
      </c>
      <c r="B430" t="s">
        <v>1241</v>
      </c>
    </row>
    <row r="431" spans="1:2" x14ac:dyDescent="0.35">
      <c r="A431" s="3">
        <v>2015</v>
      </c>
      <c r="B431" t="s">
        <v>227</v>
      </c>
    </row>
    <row r="432" spans="1:2" x14ac:dyDescent="0.35">
      <c r="A432" s="3">
        <v>2015</v>
      </c>
      <c r="B432" t="s">
        <v>1245</v>
      </c>
    </row>
    <row r="433" spans="1:2" x14ac:dyDescent="0.35">
      <c r="A433" s="3">
        <v>2015</v>
      </c>
      <c r="B433" t="s">
        <v>1247</v>
      </c>
    </row>
    <row r="434" spans="1:2" x14ac:dyDescent="0.35">
      <c r="A434" s="3">
        <v>2015</v>
      </c>
      <c r="B434" t="s">
        <v>653</v>
      </c>
    </row>
    <row r="435" spans="1:2" x14ac:dyDescent="0.35">
      <c r="A435" s="3">
        <v>2015</v>
      </c>
      <c r="B435" t="s">
        <v>1250</v>
      </c>
    </row>
    <row r="436" spans="1:2" x14ac:dyDescent="0.35">
      <c r="A436" s="3">
        <v>2015</v>
      </c>
      <c r="B436" t="s">
        <v>1251</v>
      </c>
    </row>
    <row r="437" spans="1:2" x14ac:dyDescent="0.35">
      <c r="A437" s="3">
        <v>2015</v>
      </c>
      <c r="B437" t="s">
        <v>1253</v>
      </c>
    </row>
    <row r="438" spans="1:2" x14ac:dyDescent="0.35">
      <c r="A438" s="3">
        <v>2015</v>
      </c>
      <c r="B438" t="s">
        <v>947</v>
      </c>
    </row>
    <row r="439" spans="1:2" x14ac:dyDescent="0.35">
      <c r="A439" s="3">
        <v>2015</v>
      </c>
      <c r="B439" t="s">
        <v>911</v>
      </c>
    </row>
    <row r="440" spans="1:2" x14ac:dyDescent="0.35">
      <c r="A440" s="3">
        <v>2015</v>
      </c>
      <c r="B440" t="s">
        <v>1258</v>
      </c>
    </row>
    <row r="441" spans="1:2" x14ac:dyDescent="0.35">
      <c r="A441" s="3">
        <v>2015</v>
      </c>
      <c r="B441" t="s">
        <v>578</v>
      </c>
    </row>
    <row r="442" spans="1:2" x14ac:dyDescent="0.35">
      <c r="A442" s="3">
        <v>2015</v>
      </c>
      <c r="B442" t="s">
        <v>1260</v>
      </c>
    </row>
    <row r="443" spans="1:2" x14ac:dyDescent="0.35">
      <c r="A443" s="3">
        <v>2015</v>
      </c>
      <c r="B443" t="s">
        <v>244</v>
      </c>
    </row>
    <row r="444" spans="1:2" x14ac:dyDescent="0.35">
      <c r="A444" s="3">
        <v>2015</v>
      </c>
      <c r="B444" t="s">
        <v>1262</v>
      </c>
    </row>
    <row r="445" spans="1:2" x14ac:dyDescent="0.35">
      <c r="A445" s="3">
        <v>2015</v>
      </c>
      <c r="B445" t="s">
        <v>1264</v>
      </c>
    </row>
    <row r="446" spans="1:2" x14ac:dyDescent="0.35">
      <c r="A446" s="3">
        <v>2015</v>
      </c>
      <c r="B446" t="s">
        <v>1266</v>
      </c>
    </row>
    <row r="447" spans="1:2" x14ac:dyDescent="0.35">
      <c r="A447" s="3">
        <v>2015</v>
      </c>
      <c r="B447" t="s">
        <v>1268</v>
      </c>
    </row>
    <row r="448" spans="1:2" x14ac:dyDescent="0.35">
      <c r="A448" s="3">
        <v>2015</v>
      </c>
      <c r="B448" t="s">
        <v>558</v>
      </c>
    </row>
    <row r="449" spans="1:2" x14ac:dyDescent="0.35">
      <c r="A449" s="3">
        <v>2015</v>
      </c>
      <c r="B449" t="s">
        <v>713</v>
      </c>
    </row>
    <row r="450" spans="1:2" x14ac:dyDescent="0.35">
      <c r="A450" s="3">
        <v>2015</v>
      </c>
      <c r="B450" t="s">
        <v>1271</v>
      </c>
    </row>
    <row r="451" spans="1:2" x14ac:dyDescent="0.35">
      <c r="A451" s="3">
        <v>2015</v>
      </c>
      <c r="B451" t="s">
        <v>1272</v>
      </c>
    </row>
    <row r="452" spans="1:2" x14ac:dyDescent="0.35">
      <c r="A452" s="3">
        <v>2015</v>
      </c>
      <c r="B452" t="s">
        <v>1274</v>
      </c>
    </row>
    <row r="453" spans="1:2" x14ac:dyDescent="0.35">
      <c r="A453" s="3">
        <v>2015</v>
      </c>
      <c r="B453" t="s">
        <v>1275</v>
      </c>
    </row>
    <row r="454" spans="1:2" x14ac:dyDescent="0.35">
      <c r="A454" s="3">
        <v>2015</v>
      </c>
      <c r="B454" t="s">
        <v>80</v>
      </c>
    </row>
    <row r="455" spans="1:2" x14ac:dyDescent="0.35">
      <c r="A455" s="3">
        <v>2015</v>
      </c>
      <c r="B455" t="s">
        <v>1278</v>
      </c>
    </row>
    <row r="456" spans="1:2" x14ac:dyDescent="0.35">
      <c r="A456" s="3">
        <v>2015</v>
      </c>
      <c r="B456" t="s">
        <v>1280</v>
      </c>
    </row>
    <row r="457" spans="1:2" x14ac:dyDescent="0.35">
      <c r="A457" s="3">
        <v>2015</v>
      </c>
      <c r="B457" t="s">
        <v>586</v>
      </c>
    </row>
    <row r="458" spans="1:2" x14ac:dyDescent="0.35">
      <c r="A458" s="3">
        <v>2015</v>
      </c>
      <c r="B458" t="s">
        <v>1283</v>
      </c>
    </row>
    <row r="459" spans="1:2" x14ac:dyDescent="0.35">
      <c r="A459" s="3">
        <v>2015</v>
      </c>
      <c r="B459" t="s">
        <v>1287</v>
      </c>
    </row>
    <row r="460" spans="1:2" x14ac:dyDescent="0.35">
      <c r="A460" s="3">
        <v>2015</v>
      </c>
      <c r="B460" t="s">
        <v>1288</v>
      </c>
    </row>
    <row r="461" spans="1:2" x14ac:dyDescent="0.35">
      <c r="A461" s="3">
        <v>2015</v>
      </c>
      <c r="B461" t="s">
        <v>1290</v>
      </c>
    </row>
    <row r="462" spans="1:2" x14ac:dyDescent="0.35">
      <c r="A462" s="3">
        <v>2015</v>
      </c>
      <c r="B462" t="s">
        <v>691</v>
      </c>
    </row>
    <row r="463" spans="1:2" x14ac:dyDescent="0.35">
      <c r="A463" s="3">
        <v>2015</v>
      </c>
      <c r="B463" t="s">
        <v>86</v>
      </c>
    </row>
    <row r="464" spans="1:2" x14ac:dyDescent="0.35">
      <c r="A464" s="3">
        <v>2015</v>
      </c>
      <c r="B464" t="s">
        <v>1292</v>
      </c>
    </row>
    <row r="465" spans="1:2" x14ac:dyDescent="0.35">
      <c r="A465" s="3">
        <v>2015</v>
      </c>
      <c r="B465" t="s">
        <v>552</v>
      </c>
    </row>
    <row r="466" spans="1:2" x14ac:dyDescent="0.35">
      <c r="A466" s="3">
        <v>2015</v>
      </c>
      <c r="B466" t="s">
        <v>338</v>
      </c>
    </row>
    <row r="467" spans="1:2" x14ac:dyDescent="0.35">
      <c r="A467" s="3">
        <v>2015</v>
      </c>
      <c r="B467" t="s">
        <v>194</v>
      </c>
    </row>
    <row r="468" spans="1:2" x14ac:dyDescent="0.35">
      <c r="A468" s="3">
        <v>2015</v>
      </c>
      <c r="B468" t="s">
        <v>929</v>
      </c>
    </row>
    <row r="469" spans="1:2" x14ac:dyDescent="0.35">
      <c r="A469" s="3">
        <v>2015</v>
      </c>
      <c r="B469" t="s">
        <v>1297</v>
      </c>
    </row>
    <row r="470" spans="1:2" x14ac:dyDescent="0.35">
      <c r="A470" s="3">
        <v>2015</v>
      </c>
      <c r="B470" t="s">
        <v>1300</v>
      </c>
    </row>
    <row r="471" spans="1:2" x14ac:dyDescent="0.35">
      <c r="A471" s="3">
        <v>2015</v>
      </c>
      <c r="B471" t="s">
        <v>1303</v>
      </c>
    </row>
    <row r="472" spans="1:2" x14ac:dyDescent="0.35">
      <c r="A472" s="3">
        <v>2015</v>
      </c>
      <c r="B472" t="s">
        <v>845</v>
      </c>
    </row>
    <row r="473" spans="1:2" x14ac:dyDescent="0.35">
      <c r="A473" s="3">
        <v>2015</v>
      </c>
      <c r="B473" t="s">
        <v>489</v>
      </c>
    </row>
    <row r="474" spans="1:2" x14ac:dyDescent="0.35">
      <c r="A474" s="3">
        <v>2015</v>
      </c>
      <c r="B474" t="s">
        <v>794</v>
      </c>
    </row>
    <row r="475" spans="1:2" x14ac:dyDescent="0.35">
      <c r="A475" s="3">
        <v>2015</v>
      </c>
      <c r="B475" t="s">
        <v>736</v>
      </c>
    </row>
    <row r="476" spans="1:2" x14ac:dyDescent="0.35">
      <c r="A476" s="3">
        <v>2015</v>
      </c>
      <c r="B476" t="s">
        <v>715</v>
      </c>
    </row>
    <row r="477" spans="1:2" x14ac:dyDescent="0.35">
      <c r="A477" s="3">
        <v>2015</v>
      </c>
      <c r="B477" t="s">
        <v>1310</v>
      </c>
    </row>
    <row r="478" spans="1:2" x14ac:dyDescent="0.35">
      <c r="A478" s="3">
        <v>2015</v>
      </c>
      <c r="B478" t="s">
        <v>1313</v>
      </c>
    </row>
    <row r="479" spans="1:2" x14ac:dyDescent="0.35">
      <c r="A479" s="3">
        <v>2015</v>
      </c>
      <c r="B479" t="s">
        <v>1316</v>
      </c>
    </row>
    <row r="480" spans="1:2" x14ac:dyDescent="0.35">
      <c r="A480" s="3">
        <v>2015</v>
      </c>
      <c r="B480" t="s">
        <v>921</v>
      </c>
    </row>
    <row r="481" spans="1:2" x14ac:dyDescent="0.35">
      <c r="A481" s="3">
        <v>2015</v>
      </c>
      <c r="B481" t="s">
        <v>1317</v>
      </c>
    </row>
    <row r="482" spans="1:2" x14ac:dyDescent="0.35">
      <c r="A482" s="3">
        <v>2015</v>
      </c>
      <c r="B482" t="s">
        <v>724</v>
      </c>
    </row>
    <row r="483" spans="1:2" x14ac:dyDescent="0.35">
      <c r="A483" s="3">
        <v>2015</v>
      </c>
      <c r="B483" t="s">
        <v>1320</v>
      </c>
    </row>
    <row r="484" spans="1:2" x14ac:dyDescent="0.35">
      <c r="A484" s="3">
        <v>2015</v>
      </c>
      <c r="B484" t="s">
        <v>1323</v>
      </c>
    </row>
    <row r="485" spans="1:2" x14ac:dyDescent="0.35">
      <c r="A485" s="3">
        <v>2015</v>
      </c>
      <c r="B485" t="s">
        <v>1328</v>
      </c>
    </row>
    <row r="486" spans="1:2" x14ac:dyDescent="0.35">
      <c r="A486" s="3">
        <v>2015</v>
      </c>
      <c r="B486" t="s">
        <v>592</v>
      </c>
    </row>
    <row r="487" spans="1:2" x14ac:dyDescent="0.35">
      <c r="A487" s="3">
        <v>2015</v>
      </c>
      <c r="B487" t="s">
        <v>1330</v>
      </c>
    </row>
    <row r="488" spans="1:2" x14ac:dyDescent="0.35">
      <c r="A488" s="3">
        <v>2015</v>
      </c>
      <c r="B488" t="s">
        <v>503</v>
      </c>
    </row>
    <row r="489" spans="1:2" x14ac:dyDescent="0.35">
      <c r="A489" s="3">
        <v>2015</v>
      </c>
      <c r="B489" t="s">
        <v>203</v>
      </c>
    </row>
    <row r="490" spans="1:2" x14ac:dyDescent="0.35">
      <c r="A490" s="3">
        <v>2015</v>
      </c>
      <c r="B490" t="s">
        <v>1333</v>
      </c>
    </row>
    <row r="491" spans="1:2" x14ac:dyDescent="0.35">
      <c r="A491" s="3">
        <v>2015</v>
      </c>
      <c r="B491" t="s">
        <v>1334</v>
      </c>
    </row>
    <row r="492" spans="1:2" x14ac:dyDescent="0.35">
      <c r="A492" s="3">
        <v>2015</v>
      </c>
      <c r="B492" t="s">
        <v>1336</v>
      </c>
    </row>
    <row r="493" spans="1:2" x14ac:dyDescent="0.35">
      <c r="A493" s="3">
        <v>2015</v>
      </c>
      <c r="B493" t="s">
        <v>1337</v>
      </c>
    </row>
    <row r="494" spans="1:2" x14ac:dyDescent="0.35">
      <c r="A494" s="3">
        <v>2015</v>
      </c>
      <c r="B494" t="s">
        <v>1339</v>
      </c>
    </row>
    <row r="495" spans="1:2" x14ac:dyDescent="0.35">
      <c r="A495" s="3">
        <v>2015</v>
      </c>
      <c r="B495" t="s">
        <v>630</v>
      </c>
    </row>
    <row r="496" spans="1:2" x14ac:dyDescent="0.35">
      <c r="A496" s="3">
        <v>2015</v>
      </c>
      <c r="B496" t="s">
        <v>1345</v>
      </c>
    </row>
    <row r="497" spans="1:2" x14ac:dyDescent="0.35">
      <c r="A497" s="3">
        <v>2015</v>
      </c>
      <c r="B497" t="s">
        <v>320</v>
      </c>
    </row>
    <row r="498" spans="1:2" x14ac:dyDescent="0.35">
      <c r="A498" s="3">
        <v>2015</v>
      </c>
      <c r="B498" t="s">
        <v>1351</v>
      </c>
    </row>
    <row r="499" spans="1:2" x14ac:dyDescent="0.35">
      <c r="A499" s="3">
        <v>2015</v>
      </c>
      <c r="B499" t="s">
        <v>1352</v>
      </c>
    </row>
    <row r="500" spans="1:2" x14ac:dyDescent="0.35">
      <c r="A500" s="3">
        <v>2015</v>
      </c>
      <c r="B500" t="s">
        <v>1354</v>
      </c>
    </row>
    <row r="501" spans="1:2" x14ac:dyDescent="0.35">
      <c r="A501" s="3">
        <v>2015</v>
      </c>
      <c r="B501" t="s">
        <v>1355</v>
      </c>
    </row>
    <row r="502" spans="1:2" x14ac:dyDescent="0.35">
      <c r="A502" s="3">
        <v>2015</v>
      </c>
      <c r="B502" t="s">
        <v>446</v>
      </c>
    </row>
    <row r="503" spans="1:2" x14ac:dyDescent="0.35">
      <c r="A503" s="3">
        <v>2015</v>
      </c>
      <c r="B503" t="s">
        <v>1360</v>
      </c>
    </row>
    <row r="504" spans="1:2" x14ac:dyDescent="0.35">
      <c r="A504" s="3">
        <v>2015</v>
      </c>
      <c r="B504" t="s">
        <v>1363</v>
      </c>
    </row>
    <row r="505" spans="1:2" x14ac:dyDescent="0.35">
      <c r="A505" s="3">
        <v>2015</v>
      </c>
      <c r="B505" t="s">
        <v>401</v>
      </c>
    </row>
    <row r="506" spans="1:2" x14ac:dyDescent="0.35">
      <c r="A506" s="3">
        <v>2015</v>
      </c>
      <c r="B506" t="s">
        <v>1366</v>
      </c>
    </row>
    <row r="507" spans="1:2" x14ac:dyDescent="0.35">
      <c r="A507" s="3">
        <v>2015</v>
      </c>
      <c r="B507" t="s">
        <v>913</v>
      </c>
    </row>
    <row r="508" spans="1:2" x14ac:dyDescent="0.35">
      <c r="A508" s="3">
        <v>2015</v>
      </c>
      <c r="B508" t="s">
        <v>1368</v>
      </c>
    </row>
    <row r="509" spans="1:2" x14ac:dyDescent="0.35">
      <c r="A509" s="3">
        <v>2015</v>
      </c>
      <c r="B509" t="s">
        <v>1369</v>
      </c>
    </row>
    <row r="510" spans="1:2" x14ac:dyDescent="0.35">
      <c r="A510" s="3">
        <v>2015</v>
      </c>
      <c r="B510" t="s">
        <v>1371</v>
      </c>
    </row>
    <row r="511" spans="1:2" x14ac:dyDescent="0.35">
      <c r="A511" s="3">
        <v>2015</v>
      </c>
      <c r="B511" t="s">
        <v>743</v>
      </c>
    </row>
    <row r="512" spans="1:2" x14ac:dyDescent="0.35">
      <c r="A512" s="3">
        <v>2015</v>
      </c>
      <c r="B512" t="s">
        <v>1375</v>
      </c>
    </row>
    <row r="513" spans="1:2" x14ac:dyDescent="0.35">
      <c r="A513" s="3">
        <v>2015</v>
      </c>
      <c r="B513" t="s">
        <v>939</v>
      </c>
    </row>
    <row r="514" spans="1:2" x14ac:dyDescent="0.35">
      <c r="A514" s="3">
        <v>2015</v>
      </c>
      <c r="B514" t="s">
        <v>1379</v>
      </c>
    </row>
    <row r="515" spans="1:2" x14ac:dyDescent="0.35">
      <c r="A515" s="3">
        <v>2015</v>
      </c>
      <c r="B515" t="s">
        <v>717</v>
      </c>
    </row>
    <row r="516" spans="1:2" x14ac:dyDescent="0.35">
      <c r="A516" s="3">
        <v>2015</v>
      </c>
      <c r="B516" t="s">
        <v>640</v>
      </c>
    </row>
    <row r="517" spans="1:2" x14ac:dyDescent="0.35">
      <c r="A517" s="3">
        <v>2015</v>
      </c>
      <c r="B517" t="s">
        <v>1384</v>
      </c>
    </row>
    <row r="518" spans="1:2" x14ac:dyDescent="0.35">
      <c r="A518" s="3">
        <v>2015</v>
      </c>
      <c r="B518" t="s">
        <v>848</v>
      </c>
    </row>
    <row r="519" spans="1:2" x14ac:dyDescent="0.35">
      <c r="A519" s="3">
        <v>2015</v>
      </c>
      <c r="B519" t="s">
        <v>1389</v>
      </c>
    </row>
    <row r="520" spans="1:2" x14ac:dyDescent="0.35">
      <c r="A520" s="3">
        <v>2015</v>
      </c>
      <c r="B520" t="s">
        <v>1391</v>
      </c>
    </row>
    <row r="521" spans="1:2" x14ac:dyDescent="0.35">
      <c r="A521" s="3">
        <v>2015</v>
      </c>
      <c r="B521" t="s">
        <v>1396</v>
      </c>
    </row>
    <row r="522" spans="1:2" x14ac:dyDescent="0.35">
      <c r="A522" s="3">
        <v>2015</v>
      </c>
      <c r="B522" t="s">
        <v>1398</v>
      </c>
    </row>
    <row r="523" spans="1:2" x14ac:dyDescent="0.35">
      <c r="A523" s="3">
        <v>2015</v>
      </c>
      <c r="B523" t="s">
        <v>1400</v>
      </c>
    </row>
    <row r="524" spans="1:2" x14ac:dyDescent="0.35">
      <c r="A524" s="3">
        <v>2015</v>
      </c>
      <c r="B524" t="s">
        <v>747</v>
      </c>
    </row>
    <row r="525" spans="1:2" x14ac:dyDescent="0.35">
      <c r="A525" s="3">
        <v>2015</v>
      </c>
      <c r="B525" t="s">
        <v>1406</v>
      </c>
    </row>
    <row r="526" spans="1:2" x14ac:dyDescent="0.35">
      <c r="A526" s="3">
        <v>2015</v>
      </c>
      <c r="B526" t="s">
        <v>1410</v>
      </c>
    </row>
    <row r="527" spans="1:2" x14ac:dyDescent="0.35">
      <c r="A527" s="3">
        <v>2015</v>
      </c>
      <c r="B527" t="s">
        <v>706</v>
      </c>
    </row>
    <row r="528" spans="1:2" x14ac:dyDescent="0.35">
      <c r="A528" s="3">
        <v>2015</v>
      </c>
      <c r="B528" t="s">
        <v>755</v>
      </c>
    </row>
    <row r="529" spans="1:2" x14ac:dyDescent="0.35">
      <c r="A529" s="3">
        <v>2015</v>
      </c>
      <c r="B529" t="s">
        <v>1415</v>
      </c>
    </row>
    <row r="530" spans="1:2" x14ac:dyDescent="0.35">
      <c r="A530" s="3">
        <v>2015</v>
      </c>
      <c r="B530" t="s">
        <v>1420</v>
      </c>
    </row>
    <row r="531" spans="1:2" x14ac:dyDescent="0.35">
      <c r="A531" s="3">
        <v>2015</v>
      </c>
      <c r="B531" t="s">
        <v>856</v>
      </c>
    </row>
    <row r="532" spans="1:2" x14ac:dyDescent="0.35">
      <c r="A532" s="3">
        <v>2015</v>
      </c>
      <c r="B532" t="s">
        <v>124</v>
      </c>
    </row>
    <row r="533" spans="1:2" x14ac:dyDescent="0.35">
      <c r="A533" s="3">
        <v>2015</v>
      </c>
      <c r="B533" t="s">
        <v>1423</v>
      </c>
    </row>
    <row r="534" spans="1:2" x14ac:dyDescent="0.35">
      <c r="A534" s="3">
        <v>2015</v>
      </c>
      <c r="B534" t="s">
        <v>1425</v>
      </c>
    </row>
    <row r="535" spans="1:2" x14ac:dyDescent="0.35">
      <c r="A535" s="3">
        <v>2015</v>
      </c>
      <c r="B535" t="s">
        <v>1432</v>
      </c>
    </row>
    <row r="536" spans="1:2" x14ac:dyDescent="0.35">
      <c r="A536" s="3">
        <v>2015</v>
      </c>
      <c r="B536" t="s">
        <v>1434</v>
      </c>
    </row>
    <row r="537" spans="1:2" x14ac:dyDescent="0.35">
      <c r="A537" s="3">
        <v>2015</v>
      </c>
      <c r="B537" t="s">
        <v>164</v>
      </c>
    </row>
    <row r="538" spans="1:2" x14ac:dyDescent="0.35">
      <c r="A538" s="3">
        <v>2015</v>
      </c>
      <c r="B538" t="s">
        <v>1438</v>
      </c>
    </row>
    <row r="539" spans="1:2" x14ac:dyDescent="0.35">
      <c r="A539" s="3">
        <v>2015</v>
      </c>
      <c r="B539" t="s">
        <v>1440</v>
      </c>
    </row>
    <row r="540" spans="1:2" x14ac:dyDescent="0.35">
      <c r="A540" s="3">
        <v>2015</v>
      </c>
      <c r="B540" t="s">
        <v>1442</v>
      </c>
    </row>
    <row r="541" spans="1:2" x14ac:dyDescent="0.35">
      <c r="A541" s="3">
        <v>2015</v>
      </c>
      <c r="B541" t="s">
        <v>1444</v>
      </c>
    </row>
    <row r="542" spans="1:2" x14ac:dyDescent="0.35">
      <c r="A542" s="3">
        <v>2015</v>
      </c>
      <c r="B542" t="s">
        <v>206</v>
      </c>
    </row>
    <row r="543" spans="1:2" x14ac:dyDescent="0.35">
      <c r="A543" s="3">
        <v>2015</v>
      </c>
      <c r="B543" t="s">
        <v>1447</v>
      </c>
    </row>
    <row r="544" spans="1:2" x14ac:dyDescent="0.35">
      <c r="A544" s="3">
        <v>2015</v>
      </c>
      <c r="B544" t="s">
        <v>1448</v>
      </c>
    </row>
    <row r="545" spans="1:2" x14ac:dyDescent="0.35">
      <c r="A545" s="3">
        <v>2015</v>
      </c>
      <c r="B545" t="s">
        <v>1458</v>
      </c>
    </row>
    <row r="546" spans="1:2" x14ac:dyDescent="0.35">
      <c r="A546" s="3">
        <v>2015</v>
      </c>
      <c r="B546" t="s">
        <v>1460</v>
      </c>
    </row>
    <row r="547" spans="1:2" x14ac:dyDescent="0.35">
      <c r="A547" s="3">
        <v>2015</v>
      </c>
      <c r="B547" t="s">
        <v>1462</v>
      </c>
    </row>
    <row r="548" spans="1:2" x14ac:dyDescent="0.35">
      <c r="A548" s="3">
        <v>2015</v>
      </c>
      <c r="B548" t="s">
        <v>1463</v>
      </c>
    </row>
    <row r="549" spans="1:2" x14ac:dyDescent="0.35">
      <c r="A549" s="3">
        <v>2015</v>
      </c>
      <c r="B549" t="s">
        <v>933</v>
      </c>
    </row>
    <row r="550" spans="1:2" x14ac:dyDescent="0.35">
      <c r="A550" s="3">
        <v>2015</v>
      </c>
      <c r="B550" t="s">
        <v>1467</v>
      </c>
    </row>
    <row r="551" spans="1:2" x14ac:dyDescent="0.35">
      <c r="A551" s="3">
        <v>2015</v>
      </c>
      <c r="B551" t="s">
        <v>893</v>
      </c>
    </row>
    <row r="552" spans="1:2" x14ac:dyDescent="0.35">
      <c r="A552" s="3">
        <v>2015</v>
      </c>
      <c r="B552" t="s">
        <v>1469</v>
      </c>
    </row>
    <row r="553" spans="1:2" x14ac:dyDescent="0.35">
      <c r="A553" s="3">
        <v>2015</v>
      </c>
      <c r="B553" t="s">
        <v>1470</v>
      </c>
    </row>
    <row r="554" spans="1:2" x14ac:dyDescent="0.35">
      <c r="A554" s="3">
        <v>2015</v>
      </c>
      <c r="B554" t="s">
        <v>985</v>
      </c>
    </row>
    <row r="555" spans="1:2" x14ac:dyDescent="0.35">
      <c r="A555" s="3">
        <v>2015</v>
      </c>
      <c r="B555" t="s">
        <v>1472</v>
      </c>
    </row>
    <row r="556" spans="1:2" x14ac:dyDescent="0.35">
      <c r="A556" s="3">
        <v>2015</v>
      </c>
      <c r="B556" t="s">
        <v>279</v>
      </c>
    </row>
    <row r="557" spans="1:2" x14ac:dyDescent="0.35">
      <c r="A557" s="3">
        <v>2015</v>
      </c>
      <c r="B557" t="s">
        <v>1473</v>
      </c>
    </row>
    <row r="558" spans="1:2" x14ac:dyDescent="0.35">
      <c r="A558" s="3">
        <v>2015</v>
      </c>
      <c r="B558" t="s">
        <v>1475</v>
      </c>
    </row>
    <row r="559" spans="1:2" x14ac:dyDescent="0.35">
      <c r="A559" s="3">
        <v>2015</v>
      </c>
      <c r="B559" t="s">
        <v>450</v>
      </c>
    </row>
    <row r="560" spans="1:2" x14ac:dyDescent="0.35">
      <c r="A560" s="3">
        <v>2015</v>
      </c>
      <c r="B560" t="s">
        <v>246</v>
      </c>
    </row>
    <row r="561" spans="1:2" x14ac:dyDescent="0.35">
      <c r="A561" s="3">
        <v>2015</v>
      </c>
      <c r="B561" t="s">
        <v>970</v>
      </c>
    </row>
    <row r="562" spans="1:2" x14ac:dyDescent="0.35">
      <c r="A562" s="3">
        <v>2015</v>
      </c>
      <c r="B562" t="s">
        <v>669</v>
      </c>
    </row>
    <row r="563" spans="1:2" x14ac:dyDescent="0.35">
      <c r="A563" s="3">
        <v>2015</v>
      </c>
      <c r="B563" t="s">
        <v>21</v>
      </c>
    </row>
    <row r="564" spans="1:2" x14ac:dyDescent="0.35">
      <c r="A564" s="3">
        <v>2015</v>
      </c>
      <c r="B564" t="s">
        <v>1494</v>
      </c>
    </row>
    <row r="565" spans="1:2" x14ac:dyDescent="0.35">
      <c r="A565" s="3">
        <v>2015</v>
      </c>
      <c r="B565" t="s">
        <v>771</v>
      </c>
    </row>
    <row r="566" spans="1:2" x14ac:dyDescent="0.35">
      <c r="A566" s="3">
        <v>2015</v>
      </c>
      <c r="B566" t="s">
        <v>1497</v>
      </c>
    </row>
    <row r="567" spans="1:2" x14ac:dyDescent="0.35">
      <c r="A567" s="3">
        <v>2015</v>
      </c>
      <c r="B567" t="s">
        <v>1500</v>
      </c>
    </row>
    <row r="568" spans="1:2" x14ac:dyDescent="0.35">
      <c r="A568" s="3">
        <v>2015</v>
      </c>
      <c r="B568" t="s">
        <v>1503</v>
      </c>
    </row>
    <row r="569" spans="1:2" x14ac:dyDescent="0.35">
      <c r="A569" s="3">
        <v>2015</v>
      </c>
      <c r="B569" t="s">
        <v>1505</v>
      </c>
    </row>
    <row r="570" spans="1:2" x14ac:dyDescent="0.35">
      <c r="A570" s="3">
        <v>2015</v>
      </c>
      <c r="B570" t="s">
        <v>936</v>
      </c>
    </row>
    <row r="571" spans="1:2" x14ac:dyDescent="0.35">
      <c r="A571" s="3">
        <v>2015</v>
      </c>
      <c r="B571" t="s">
        <v>1509</v>
      </c>
    </row>
    <row r="572" spans="1:2" x14ac:dyDescent="0.35">
      <c r="A572" s="3">
        <v>2015</v>
      </c>
      <c r="B572" t="s">
        <v>1512</v>
      </c>
    </row>
    <row r="573" spans="1:2" x14ac:dyDescent="0.35">
      <c r="A573" s="3">
        <v>2015</v>
      </c>
      <c r="B573" t="s">
        <v>1514</v>
      </c>
    </row>
    <row r="574" spans="1:2" x14ac:dyDescent="0.35">
      <c r="A574" s="3">
        <v>2015</v>
      </c>
      <c r="B574" t="s">
        <v>1515</v>
      </c>
    </row>
    <row r="575" spans="1:2" x14ac:dyDescent="0.35">
      <c r="A575" s="3">
        <v>2015</v>
      </c>
      <c r="B575" t="s">
        <v>510</v>
      </c>
    </row>
    <row r="576" spans="1:2" x14ac:dyDescent="0.35">
      <c r="A576" s="3">
        <v>2015</v>
      </c>
      <c r="B576" t="s">
        <v>727</v>
      </c>
    </row>
    <row r="577" spans="1:2" x14ac:dyDescent="0.35">
      <c r="A577" s="3">
        <v>2015</v>
      </c>
      <c r="B577" t="s">
        <v>818</v>
      </c>
    </row>
    <row r="578" spans="1:2" x14ac:dyDescent="0.35">
      <c r="A578" s="3">
        <v>2015</v>
      </c>
      <c r="B578" t="s">
        <v>1518</v>
      </c>
    </row>
    <row r="579" spans="1:2" x14ac:dyDescent="0.35">
      <c r="A579" s="3">
        <v>2015</v>
      </c>
      <c r="B579" t="s">
        <v>463</v>
      </c>
    </row>
    <row r="580" spans="1:2" x14ac:dyDescent="0.35">
      <c r="A580" s="3">
        <v>2015</v>
      </c>
      <c r="B580" t="s">
        <v>1522</v>
      </c>
    </row>
    <row r="581" spans="1:2" x14ac:dyDescent="0.35">
      <c r="A581" s="3">
        <v>2015</v>
      </c>
      <c r="B581" t="s">
        <v>186</v>
      </c>
    </row>
    <row r="582" spans="1:2" x14ac:dyDescent="0.35">
      <c r="A582" s="3">
        <v>2015</v>
      </c>
      <c r="B582" t="s">
        <v>412</v>
      </c>
    </row>
    <row r="583" spans="1:2" x14ac:dyDescent="0.35">
      <c r="A583" s="3">
        <v>2015</v>
      </c>
      <c r="B583" t="s">
        <v>1525</v>
      </c>
    </row>
    <row r="584" spans="1:2" x14ac:dyDescent="0.35">
      <c r="A584" s="3">
        <v>2015</v>
      </c>
      <c r="B584" t="s">
        <v>424</v>
      </c>
    </row>
    <row r="585" spans="1:2" x14ac:dyDescent="0.35">
      <c r="A585" s="3">
        <v>2015</v>
      </c>
      <c r="B585" t="s">
        <v>975</v>
      </c>
    </row>
    <row r="586" spans="1:2" x14ac:dyDescent="0.35">
      <c r="A586" s="3">
        <v>2015</v>
      </c>
      <c r="B586" t="s">
        <v>1529</v>
      </c>
    </row>
    <row r="587" spans="1:2" x14ac:dyDescent="0.35">
      <c r="A587" s="3">
        <v>2015</v>
      </c>
      <c r="B587" t="s">
        <v>1532</v>
      </c>
    </row>
    <row r="588" spans="1:2" x14ac:dyDescent="0.35">
      <c r="A588" s="3">
        <v>2015</v>
      </c>
      <c r="B588" t="s">
        <v>235</v>
      </c>
    </row>
    <row r="589" spans="1:2" x14ac:dyDescent="0.35">
      <c r="A589" s="3">
        <v>2015</v>
      </c>
      <c r="B589" t="s">
        <v>1537</v>
      </c>
    </row>
    <row r="590" spans="1:2" x14ac:dyDescent="0.35">
      <c r="A590" s="3">
        <v>2015</v>
      </c>
      <c r="B590" t="s">
        <v>1539</v>
      </c>
    </row>
    <row r="591" spans="1:2" x14ac:dyDescent="0.35">
      <c r="A591" s="3">
        <v>2015</v>
      </c>
      <c r="B591" t="s">
        <v>169</v>
      </c>
    </row>
    <row r="592" spans="1:2" x14ac:dyDescent="0.35">
      <c r="A592" s="3">
        <v>2015</v>
      </c>
      <c r="B592" t="s">
        <v>1541</v>
      </c>
    </row>
    <row r="593" spans="1:2" x14ac:dyDescent="0.35">
      <c r="A593" s="3">
        <v>2015</v>
      </c>
      <c r="B593" t="s">
        <v>1548</v>
      </c>
    </row>
    <row r="594" spans="1:2" x14ac:dyDescent="0.35">
      <c r="A594" s="3">
        <v>2015</v>
      </c>
      <c r="B594" t="s">
        <v>1549</v>
      </c>
    </row>
    <row r="595" spans="1:2" x14ac:dyDescent="0.35">
      <c r="A595" s="3">
        <v>2015</v>
      </c>
      <c r="B595" t="s">
        <v>1551</v>
      </c>
    </row>
    <row r="596" spans="1:2" x14ac:dyDescent="0.35">
      <c r="A596" s="3">
        <v>2015</v>
      </c>
      <c r="B596" t="s">
        <v>897</v>
      </c>
    </row>
    <row r="597" spans="1:2" x14ac:dyDescent="0.35">
      <c r="A597" s="3">
        <v>2015</v>
      </c>
      <c r="B597" t="s">
        <v>487</v>
      </c>
    </row>
    <row r="598" spans="1:2" x14ac:dyDescent="0.35">
      <c r="A598" s="3">
        <v>2015</v>
      </c>
      <c r="B598" t="s">
        <v>1556</v>
      </c>
    </row>
    <row r="599" spans="1:2" x14ac:dyDescent="0.35">
      <c r="A599" s="3">
        <v>2015</v>
      </c>
      <c r="B599" t="s">
        <v>1558</v>
      </c>
    </row>
    <row r="600" spans="1:2" x14ac:dyDescent="0.35">
      <c r="A600" s="3">
        <v>2015</v>
      </c>
      <c r="B600" t="s">
        <v>1560</v>
      </c>
    </row>
    <row r="601" spans="1:2" x14ac:dyDescent="0.35">
      <c r="A601" s="3">
        <v>2015</v>
      </c>
      <c r="B601" t="s">
        <v>1563</v>
      </c>
    </row>
    <row r="602" spans="1:2" x14ac:dyDescent="0.35">
      <c r="A602" s="3">
        <v>2015</v>
      </c>
      <c r="B602" t="s">
        <v>1567</v>
      </c>
    </row>
    <row r="603" spans="1:2" x14ac:dyDescent="0.35">
      <c r="A603" s="3">
        <v>2015</v>
      </c>
      <c r="B603" t="s">
        <v>31</v>
      </c>
    </row>
    <row r="604" spans="1:2" x14ac:dyDescent="0.35">
      <c r="A604" s="3">
        <v>2015</v>
      </c>
      <c r="B604" t="s">
        <v>1572</v>
      </c>
    </row>
    <row r="605" spans="1:2" x14ac:dyDescent="0.35">
      <c r="A605" s="3">
        <v>2015</v>
      </c>
      <c r="B605" t="s">
        <v>1575</v>
      </c>
    </row>
    <row r="606" spans="1:2" x14ac:dyDescent="0.35">
      <c r="A606" s="3">
        <v>2015</v>
      </c>
      <c r="B606" t="s">
        <v>282</v>
      </c>
    </row>
    <row r="607" spans="1:2" x14ac:dyDescent="0.35">
      <c r="A607" s="3">
        <v>2015</v>
      </c>
      <c r="B607" t="s">
        <v>623</v>
      </c>
    </row>
    <row r="608" spans="1:2" x14ac:dyDescent="0.35">
      <c r="A608" s="3">
        <v>2015</v>
      </c>
      <c r="B608" t="s">
        <v>467</v>
      </c>
    </row>
    <row r="609" spans="1:2" x14ac:dyDescent="0.35">
      <c r="A609" s="3">
        <v>2015</v>
      </c>
      <c r="B609" t="s">
        <v>1583</v>
      </c>
    </row>
    <row r="610" spans="1:2" x14ac:dyDescent="0.35">
      <c r="A610" s="3">
        <v>2015</v>
      </c>
      <c r="B610" t="s">
        <v>229</v>
      </c>
    </row>
    <row r="611" spans="1:2" x14ac:dyDescent="0.35">
      <c r="A611" s="3">
        <v>2015</v>
      </c>
      <c r="B611" t="s">
        <v>1590</v>
      </c>
    </row>
    <row r="612" spans="1:2" x14ac:dyDescent="0.35">
      <c r="A612" s="3">
        <v>2015</v>
      </c>
      <c r="B612" t="s">
        <v>1596</v>
      </c>
    </row>
    <row r="613" spans="1:2" x14ac:dyDescent="0.35">
      <c r="A613" s="3">
        <v>2015</v>
      </c>
      <c r="B613" t="s">
        <v>1597</v>
      </c>
    </row>
    <row r="614" spans="1:2" x14ac:dyDescent="0.35">
      <c r="A614" s="3">
        <v>2015</v>
      </c>
      <c r="B614" t="s">
        <v>1598</v>
      </c>
    </row>
    <row r="615" spans="1:2" x14ac:dyDescent="0.35">
      <c r="A615" s="3">
        <v>2015</v>
      </c>
      <c r="B615" t="s">
        <v>1601</v>
      </c>
    </row>
    <row r="616" spans="1:2" x14ac:dyDescent="0.35">
      <c r="A616" s="3">
        <v>2015</v>
      </c>
      <c r="B616" t="s">
        <v>1606</v>
      </c>
    </row>
    <row r="617" spans="1:2" x14ac:dyDescent="0.35">
      <c r="A617" s="3">
        <v>2015</v>
      </c>
      <c r="B617" t="s">
        <v>1607</v>
      </c>
    </row>
    <row r="618" spans="1:2" x14ac:dyDescent="0.35">
      <c r="A618" s="3">
        <v>2015</v>
      </c>
      <c r="B618" t="s">
        <v>1609</v>
      </c>
    </row>
    <row r="619" spans="1:2" x14ac:dyDescent="0.35">
      <c r="A619" s="3">
        <v>2015</v>
      </c>
      <c r="B619" t="s">
        <v>91</v>
      </c>
    </row>
    <row r="620" spans="1:2" x14ac:dyDescent="0.35">
      <c r="A620" s="3">
        <v>2015</v>
      </c>
      <c r="B620" t="s">
        <v>1612</v>
      </c>
    </row>
    <row r="621" spans="1:2" x14ac:dyDescent="0.35">
      <c r="A621" s="3">
        <v>2015</v>
      </c>
      <c r="B621" t="s">
        <v>1613</v>
      </c>
    </row>
    <row r="622" spans="1:2" x14ac:dyDescent="0.35">
      <c r="A622" s="3">
        <v>2015</v>
      </c>
      <c r="B622" t="s">
        <v>1614</v>
      </c>
    </row>
    <row r="623" spans="1:2" x14ac:dyDescent="0.35">
      <c r="A623" s="3">
        <v>2015</v>
      </c>
      <c r="B623" t="s">
        <v>1615</v>
      </c>
    </row>
    <row r="624" spans="1:2" x14ac:dyDescent="0.35">
      <c r="A624" s="3">
        <v>2015</v>
      </c>
      <c r="B624" t="s">
        <v>1616</v>
      </c>
    </row>
    <row r="625" spans="1:2" x14ac:dyDescent="0.35">
      <c r="A625" s="3">
        <v>2015</v>
      </c>
      <c r="B625" t="s">
        <v>418</v>
      </c>
    </row>
    <row r="626" spans="1:2" x14ac:dyDescent="0.35">
      <c r="A626" s="3">
        <v>2015</v>
      </c>
      <c r="B626" t="s">
        <v>516</v>
      </c>
    </row>
    <row r="627" spans="1:2" x14ac:dyDescent="0.35">
      <c r="A627" s="3">
        <v>2015</v>
      </c>
      <c r="B627" t="s">
        <v>905</v>
      </c>
    </row>
    <row r="628" spans="1:2" x14ac:dyDescent="0.35">
      <c r="A628" s="3">
        <v>2015</v>
      </c>
      <c r="B628" t="s">
        <v>694</v>
      </c>
    </row>
    <row r="629" spans="1:2" x14ac:dyDescent="0.35">
      <c r="A629" s="3">
        <v>2015</v>
      </c>
      <c r="B629" t="s">
        <v>1623</v>
      </c>
    </row>
    <row r="630" spans="1:2" x14ac:dyDescent="0.35">
      <c r="A630" s="3">
        <v>2015</v>
      </c>
      <c r="B630" t="s">
        <v>1626</v>
      </c>
    </row>
    <row r="631" spans="1:2" x14ac:dyDescent="0.35">
      <c r="A631" s="3">
        <v>2015</v>
      </c>
      <c r="B631" t="s">
        <v>888</v>
      </c>
    </row>
    <row r="632" spans="1:2" x14ac:dyDescent="0.35">
      <c r="A632" s="3">
        <v>2015</v>
      </c>
      <c r="B632" t="s">
        <v>1627</v>
      </c>
    </row>
    <row r="633" spans="1:2" x14ac:dyDescent="0.35">
      <c r="A633" s="3">
        <v>2015</v>
      </c>
      <c r="B633" t="s">
        <v>1629</v>
      </c>
    </row>
    <row r="634" spans="1:2" x14ac:dyDescent="0.35">
      <c r="A634" s="3">
        <v>2015</v>
      </c>
      <c r="B634" t="s">
        <v>519</v>
      </c>
    </row>
    <row r="635" spans="1:2" x14ac:dyDescent="0.35">
      <c r="A635" s="3">
        <v>2015</v>
      </c>
      <c r="B635" t="s">
        <v>571</v>
      </c>
    </row>
    <row r="636" spans="1:2" x14ac:dyDescent="0.35">
      <c r="A636" s="3">
        <v>2015</v>
      </c>
      <c r="B636" t="s">
        <v>1634</v>
      </c>
    </row>
    <row r="637" spans="1:2" x14ac:dyDescent="0.35">
      <c r="A637" s="3">
        <v>2015</v>
      </c>
      <c r="B637" t="s">
        <v>951</v>
      </c>
    </row>
    <row r="638" spans="1:2" x14ac:dyDescent="0.35">
      <c r="A638" s="3">
        <v>2016</v>
      </c>
      <c r="B638" t="s">
        <v>592</v>
      </c>
    </row>
    <row r="639" spans="1:2" x14ac:dyDescent="0.35">
      <c r="A639" s="3">
        <v>2016</v>
      </c>
      <c r="B639" t="s">
        <v>115</v>
      </c>
    </row>
    <row r="640" spans="1:2" x14ac:dyDescent="0.35">
      <c r="A640" s="3">
        <v>2016</v>
      </c>
      <c r="B640" t="s">
        <v>951</v>
      </c>
    </row>
    <row r="641" spans="1:2" x14ac:dyDescent="0.35">
      <c r="A641" s="3">
        <v>2016</v>
      </c>
      <c r="B641" t="s">
        <v>248</v>
      </c>
    </row>
    <row r="642" spans="1:2" x14ac:dyDescent="0.35">
      <c r="A642" s="3">
        <v>2016</v>
      </c>
      <c r="B642" t="s">
        <v>1638</v>
      </c>
    </row>
    <row r="643" spans="1:2" x14ac:dyDescent="0.35">
      <c r="A643" s="3">
        <v>2016</v>
      </c>
      <c r="B643" t="s">
        <v>1150</v>
      </c>
    </row>
    <row r="644" spans="1:2" x14ac:dyDescent="0.35">
      <c r="A644" s="3">
        <v>2016</v>
      </c>
      <c r="B644" t="s">
        <v>1642</v>
      </c>
    </row>
    <row r="645" spans="1:2" x14ac:dyDescent="0.35">
      <c r="A645" s="3">
        <v>2016</v>
      </c>
      <c r="B645" t="s">
        <v>734</v>
      </c>
    </row>
    <row r="646" spans="1:2" x14ac:dyDescent="0.35">
      <c r="A646" s="3">
        <v>2016</v>
      </c>
      <c r="B646" t="s">
        <v>662</v>
      </c>
    </row>
    <row r="647" spans="1:2" x14ac:dyDescent="0.35">
      <c r="A647" s="3">
        <v>2016</v>
      </c>
      <c r="B647" t="s">
        <v>1645</v>
      </c>
    </row>
    <row r="648" spans="1:2" x14ac:dyDescent="0.35">
      <c r="A648" s="3">
        <v>2016</v>
      </c>
      <c r="B648" t="s">
        <v>1647</v>
      </c>
    </row>
    <row r="649" spans="1:2" x14ac:dyDescent="0.35">
      <c r="A649" s="3">
        <v>2016</v>
      </c>
      <c r="B649" t="s">
        <v>1649</v>
      </c>
    </row>
    <row r="650" spans="1:2" x14ac:dyDescent="0.35">
      <c r="A650" s="3">
        <v>2016</v>
      </c>
      <c r="B650" t="s">
        <v>1650</v>
      </c>
    </row>
    <row r="651" spans="1:2" x14ac:dyDescent="0.35">
      <c r="A651" s="3">
        <v>2016</v>
      </c>
      <c r="B651" t="s">
        <v>1653</v>
      </c>
    </row>
    <row r="652" spans="1:2" x14ac:dyDescent="0.35">
      <c r="A652" s="3">
        <v>2016</v>
      </c>
      <c r="B652" t="s">
        <v>1355</v>
      </c>
    </row>
    <row r="653" spans="1:2" x14ac:dyDescent="0.35">
      <c r="A653" s="3">
        <v>2016</v>
      </c>
      <c r="B653" t="s">
        <v>1303</v>
      </c>
    </row>
    <row r="654" spans="1:2" x14ac:dyDescent="0.35">
      <c r="A654" s="3">
        <v>2016</v>
      </c>
      <c r="B654" t="s">
        <v>189</v>
      </c>
    </row>
    <row r="655" spans="1:2" x14ac:dyDescent="0.35">
      <c r="A655" s="3">
        <v>2016</v>
      </c>
      <c r="B655" t="s">
        <v>1658</v>
      </c>
    </row>
    <row r="656" spans="1:2" x14ac:dyDescent="0.35">
      <c r="A656" s="3">
        <v>2016</v>
      </c>
      <c r="B656" t="s">
        <v>769</v>
      </c>
    </row>
    <row r="657" spans="1:2" x14ac:dyDescent="0.35">
      <c r="A657" s="3">
        <v>2016</v>
      </c>
      <c r="B657" t="s">
        <v>1541</v>
      </c>
    </row>
    <row r="658" spans="1:2" x14ac:dyDescent="0.35">
      <c r="A658" s="3">
        <v>2016</v>
      </c>
      <c r="B658" t="s">
        <v>1661</v>
      </c>
    </row>
    <row r="659" spans="1:2" x14ac:dyDescent="0.35">
      <c r="A659" s="3">
        <v>2016</v>
      </c>
      <c r="B659" t="s">
        <v>1664</v>
      </c>
    </row>
    <row r="660" spans="1:2" x14ac:dyDescent="0.35">
      <c r="A660" s="3">
        <v>2016</v>
      </c>
      <c r="B660" t="s">
        <v>1202</v>
      </c>
    </row>
    <row r="661" spans="1:2" x14ac:dyDescent="0.35">
      <c r="A661" s="3">
        <v>2016</v>
      </c>
      <c r="B661" t="s">
        <v>750</v>
      </c>
    </row>
    <row r="662" spans="1:2" x14ac:dyDescent="0.35">
      <c r="A662" s="3">
        <v>2016</v>
      </c>
      <c r="B662" t="s">
        <v>1020</v>
      </c>
    </row>
    <row r="663" spans="1:2" x14ac:dyDescent="0.35">
      <c r="A663" s="3">
        <v>2016</v>
      </c>
      <c r="B663" t="s">
        <v>1669</v>
      </c>
    </row>
    <row r="664" spans="1:2" x14ac:dyDescent="0.35">
      <c r="A664" s="3">
        <v>2016</v>
      </c>
      <c r="B664" t="s">
        <v>1670</v>
      </c>
    </row>
    <row r="665" spans="1:2" x14ac:dyDescent="0.35">
      <c r="A665" s="3">
        <v>2016</v>
      </c>
      <c r="B665" t="s">
        <v>401</v>
      </c>
    </row>
    <row r="666" spans="1:2" x14ac:dyDescent="0.35">
      <c r="A666" s="3">
        <v>2016</v>
      </c>
      <c r="B666" t="s">
        <v>835</v>
      </c>
    </row>
    <row r="667" spans="1:2" x14ac:dyDescent="0.35">
      <c r="A667" s="3">
        <v>2016</v>
      </c>
      <c r="B667" t="s">
        <v>1671</v>
      </c>
    </row>
    <row r="668" spans="1:2" x14ac:dyDescent="0.35">
      <c r="A668" s="3">
        <v>2016</v>
      </c>
      <c r="B668" t="s">
        <v>924</v>
      </c>
    </row>
    <row r="669" spans="1:2" x14ac:dyDescent="0.35">
      <c r="A669" s="3">
        <v>2016</v>
      </c>
      <c r="B669" t="s">
        <v>1345</v>
      </c>
    </row>
    <row r="670" spans="1:2" x14ac:dyDescent="0.35">
      <c r="A670" s="3">
        <v>2016</v>
      </c>
      <c r="B670" t="s">
        <v>1601</v>
      </c>
    </row>
    <row r="671" spans="1:2" x14ac:dyDescent="0.35">
      <c r="A671" s="3">
        <v>2016</v>
      </c>
      <c r="B671" t="s">
        <v>571</v>
      </c>
    </row>
    <row r="672" spans="1:2" x14ac:dyDescent="0.35">
      <c r="A672" s="3">
        <v>2016</v>
      </c>
      <c r="B672" t="s">
        <v>483</v>
      </c>
    </row>
    <row r="673" spans="1:2" x14ac:dyDescent="0.35">
      <c r="A673" s="3">
        <v>2016</v>
      </c>
      <c r="B673" t="s">
        <v>1674</v>
      </c>
    </row>
    <row r="674" spans="1:2" x14ac:dyDescent="0.35">
      <c r="A674" s="3">
        <v>2016</v>
      </c>
      <c r="B674" t="s">
        <v>680</v>
      </c>
    </row>
    <row r="675" spans="1:2" x14ac:dyDescent="0.35">
      <c r="A675" s="3">
        <v>2016</v>
      </c>
      <c r="B675" t="s">
        <v>298</v>
      </c>
    </row>
    <row r="676" spans="1:2" x14ac:dyDescent="0.35">
      <c r="A676" s="3">
        <v>2016</v>
      </c>
      <c r="B676" t="s">
        <v>1675</v>
      </c>
    </row>
    <row r="677" spans="1:2" x14ac:dyDescent="0.35">
      <c r="A677" s="3">
        <v>2016</v>
      </c>
      <c r="B677" t="s">
        <v>807</v>
      </c>
    </row>
    <row r="678" spans="1:2" x14ac:dyDescent="0.35">
      <c r="A678" s="3">
        <v>2016</v>
      </c>
      <c r="B678" t="s">
        <v>1264</v>
      </c>
    </row>
    <row r="679" spans="1:2" x14ac:dyDescent="0.35">
      <c r="A679" s="3">
        <v>2016</v>
      </c>
      <c r="B679" t="s">
        <v>1676</v>
      </c>
    </row>
    <row r="680" spans="1:2" x14ac:dyDescent="0.35">
      <c r="A680" s="3">
        <v>2016</v>
      </c>
      <c r="B680" t="s">
        <v>272</v>
      </c>
    </row>
    <row r="681" spans="1:2" x14ac:dyDescent="0.35">
      <c r="A681" s="3">
        <v>2016</v>
      </c>
      <c r="B681" t="s">
        <v>1634</v>
      </c>
    </row>
    <row r="682" spans="1:2" x14ac:dyDescent="0.35">
      <c r="A682" s="3">
        <v>2016</v>
      </c>
      <c r="B682" t="s">
        <v>1200</v>
      </c>
    </row>
    <row r="683" spans="1:2" x14ac:dyDescent="0.35">
      <c r="A683" s="3">
        <v>2016</v>
      </c>
      <c r="B683" t="s">
        <v>1681</v>
      </c>
    </row>
    <row r="684" spans="1:2" x14ac:dyDescent="0.35">
      <c r="A684" s="3">
        <v>2016</v>
      </c>
      <c r="B684" t="s">
        <v>1400</v>
      </c>
    </row>
    <row r="685" spans="1:2" x14ac:dyDescent="0.35">
      <c r="A685" s="3">
        <v>2016</v>
      </c>
      <c r="B685" t="s">
        <v>897</v>
      </c>
    </row>
    <row r="686" spans="1:2" x14ac:dyDescent="0.35">
      <c r="A686" s="3">
        <v>2016</v>
      </c>
      <c r="B686" t="s">
        <v>1368</v>
      </c>
    </row>
    <row r="687" spans="1:2" x14ac:dyDescent="0.35">
      <c r="A687" s="3">
        <v>2016</v>
      </c>
      <c r="B687" t="s">
        <v>745</v>
      </c>
    </row>
    <row r="688" spans="1:2" x14ac:dyDescent="0.35">
      <c r="A688" s="3">
        <v>2016</v>
      </c>
      <c r="B688" t="s">
        <v>1687</v>
      </c>
    </row>
    <row r="689" spans="1:2" x14ac:dyDescent="0.35">
      <c r="A689" s="3">
        <v>2016</v>
      </c>
      <c r="B689" t="s">
        <v>1688</v>
      </c>
    </row>
    <row r="690" spans="1:2" x14ac:dyDescent="0.35">
      <c r="A690" s="3">
        <v>2016</v>
      </c>
      <c r="B690" t="s">
        <v>1690</v>
      </c>
    </row>
    <row r="691" spans="1:2" x14ac:dyDescent="0.35">
      <c r="A691" s="3">
        <v>2016</v>
      </c>
      <c r="B691" t="s">
        <v>1505</v>
      </c>
    </row>
    <row r="692" spans="1:2" x14ac:dyDescent="0.35">
      <c r="A692" s="3">
        <v>2016</v>
      </c>
      <c r="B692" t="s">
        <v>620</v>
      </c>
    </row>
    <row r="693" spans="1:2" x14ac:dyDescent="0.35">
      <c r="A693" s="3">
        <v>2016</v>
      </c>
      <c r="B693" t="s">
        <v>975</v>
      </c>
    </row>
    <row r="694" spans="1:2" x14ac:dyDescent="0.35">
      <c r="A694" s="3">
        <v>2016</v>
      </c>
      <c r="B694" t="s">
        <v>708</v>
      </c>
    </row>
    <row r="695" spans="1:2" x14ac:dyDescent="0.35">
      <c r="A695" s="3">
        <v>2016</v>
      </c>
      <c r="B695" t="s">
        <v>1292</v>
      </c>
    </row>
    <row r="696" spans="1:2" x14ac:dyDescent="0.35">
      <c r="A696" s="3">
        <v>2016</v>
      </c>
      <c r="B696" t="s">
        <v>1695</v>
      </c>
    </row>
    <row r="697" spans="1:2" x14ac:dyDescent="0.35">
      <c r="A697" s="3">
        <v>2016</v>
      </c>
      <c r="B697" t="s">
        <v>130</v>
      </c>
    </row>
    <row r="698" spans="1:2" x14ac:dyDescent="0.35">
      <c r="A698" s="3">
        <v>2016</v>
      </c>
      <c r="B698" t="s">
        <v>1697</v>
      </c>
    </row>
    <row r="699" spans="1:2" x14ac:dyDescent="0.35">
      <c r="A699" s="3">
        <v>2016</v>
      </c>
      <c r="B699" t="s">
        <v>474</v>
      </c>
    </row>
    <row r="700" spans="1:2" x14ac:dyDescent="0.35">
      <c r="A700" s="3">
        <v>2016</v>
      </c>
      <c r="B700" t="s">
        <v>418</v>
      </c>
    </row>
    <row r="701" spans="1:2" x14ac:dyDescent="0.35">
      <c r="A701" s="3">
        <v>2016</v>
      </c>
      <c r="B701" t="s">
        <v>516</v>
      </c>
    </row>
    <row r="702" spans="1:2" x14ac:dyDescent="0.35">
      <c r="A702" s="3">
        <v>2016</v>
      </c>
      <c r="B702" t="s">
        <v>1007</v>
      </c>
    </row>
    <row r="703" spans="1:2" x14ac:dyDescent="0.35">
      <c r="A703" s="3">
        <v>2016</v>
      </c>
      <c r="B703" t="s">
        <v>1702</v>
      </c>
    </row>
    <row r="704" spans="1:2" x14ac:dyDescent="0.35">
      <c r="A704" s="3">
        <v>2016</v>
      </c>
      <c r="B704" t="s">
        <v>1467</v>
      </c>
    </row>
    <row r="705" spans="1:2" x14ac:dyDescent="0.35">
      <c r="A705" s="3">
        <v>2016</v>
      </c>
      <c r="B705" t="s">
        <v>1706</v>
      </c>
    </row>
    <row r="706" spans="1:2" x14ac:dyDescent="0.35">
      <c r="A706" s="3">
        <v>2016</v>
      </c>
      <c r="B706" t="s">
        <v>700</v>
      </c>
    </row>
    <row r="707" spans="1:2" x14ac:dyDescent="0.35">
      <c r="A707" s="3">
        <v>2016</v>
      </c>
      <c r="B707" t="s">
        <v>687</v>
      </c>
    </row>
    <row r="708" spans="1:2" x14ac:dyDescent="0.35">
      <c r="A708" s="3">
        <v>2016</v>
      </c>
      <c r="B708" t="s">
        <v>1712</v>
      </c>
    </row>
    <row r="709" spans="1:2" x14ac:dyDescent="0.35">
      <c r="A709" s="3">
        <v>2016</v>
      </c>
      <c r="B709" t="s">
        <v>1713</v>
      </c>
    </row>
    <row r="710" spans="1:2" x14ac:dyDescent="0.35">
      <c r="A710" s="3">
        <v>2016</v>
      </c>
      <c r="B710" t="s">
        <v>648</v>
      </c>
    </row>
    <row r="711" spans="1:2" x14ac:dyDescent="0.35">
      <c r="A711" s="3">
        <v>2016</v>
      </c>
      <c r="B711" t="s">
        <v>1716</v>
      </c>
    </row>
    <row r="712" spans="1:2" x14ac:dyDescent="0.35">
      <c r="A712" s="3">
        <v>2016</v>
      </c>
      <c r="B712" t="s">
        <v>1083</v>
      </c>
    </row>
    <row r="713" spans="1:2" x14ac:dyDescent="0.35">
      <c r="A713" s="3">
        <v>2016</v>
      </c>
      <c r="B713" t="s">
        <v>346</v>
      </c>
    </row>
    <row r="714" spans="1:2" x14ac:dyDescent="0.35">
      <c r="A714" s="3">
        <v>2016</v>
      </c>
      <c r="B714" t="s">
        <v>1720</v>
      </c>
    </row>
    <row r="715" spans="1:2" x14ac:dyDescent="0.35">
      <c r="A715" s="3">
        <v>2016</v>
      </c>
      <c r="B715" t="s">
        <v>1221</v>
      </c>
    </row>
    <row r="716" spans="1:2" x14ac:dyDescent="0.35">
      <c r="A716" s="3">
        <v>2016</v>
      </c>
      <c r="B716" t="s">
        <v>1164</v>
      </c>
    </row>
    <row r="717" spans="1:2" x14ac:dyDescent="0.35">
      <c r="A717" s="3">
        <v>2016</v>
      </c>
      <c r="B717" t="s">
        <v>1723</v>
      </c>
    </row>
    <row r="718" spans="1:2" x14ac:dyDescent="0.35">
      <c r="A718" s="3">
        <v>2016</v>
      </c>
      <c r="B718" t="s">
        <v>1725</v>
      </c>
    </row>
    <row r="719" spans="1:2" x14ac:dyDescent="0.35">
      <c r="A719" s="3">
        <v>2016</v>
      </c>
      <c r="B719" t="s">
        <v>223</v>
      </c>
    </row>
    <row r="720" spans="1:2" x14ac:dyDescent="0.35">
      <c r="A720" s="3">
        <v>2016</v>
      </c>
      <c r="B720" t="s">
        <v>755</v>
      </c>
    </row>
    <row r="721" spans="1:2" x14ac:dyDescent="0.35">
      <c r="A721" s="3">
        <v>2016</v>
      </c>
      <c r="B721" t="s">
        <v>1727</v>
      </c>
    </row>
    <row r="722" spans="1:2" x14ac:dyDescent="0.35">
      <c r="A722" s="3">
        <v>2016</v>
      </c>
      <c r="B722" t="s">
        <v>1623</v>
      </c>
    </row>
    <row r="723" spans="1:2" x14ac:dyDescent="0.35">
      <c r="A723" s="3">
        <v>2016</v>
      </c>
      <c r="B723" t="s">
        <v>1731</v>
      </c>
    </row>
    <row r="724" spans="1:2" x14ac:dyDescent="0.35">
      <c r="A724" s="3">
        <v>2016</v>
      </c>
      <c r="B724" t="s">
        <v>1241</v>
      </c>
    </row>
    <row r="725" spans="1:2" x14ac:dyDescent="0.35">
      <c r="A725" s="3">
        <v>2016</v>
      </c>
      <c r="B725" t="s">
        <v>678</v>
      </c>
    </row>
    <row r="726" spans="1:2" x14ac:dyDescent="0.35">
      <c r="A726" s="3">
        <v>2016</v>
      </c>
      <c r="B726" t="s">
        <v>1735</v>
      </c>
    </row>
    <row r="727" spans="1:2" x14ac:dyDescent="0.35">
      <c r="A727" s="3">
        <v>2016</v>
      </c>
      <c r="B727" t="s">
        <v>495</v>
      </c>
    </row>
    <row r="728" spans="1:2" x14ac:dyDescent="0.35">
      <c r="A728" s="3">
        <v>2016</v>
      </c>
      <c r="B728" t="s">
        <v>1297</v>
      </c>
    </row>
    <row r="729" spans="1:2" x14ac:dyDescent="0.35">
      <c r="A729" s="3">
        <v>2016</v>
      </c>
      <c r="B729" t="s">
        <v>1737</v>
      </c>
    </row>
    <row r="730" spans="1:2" x14ac:dyDescent="0.35">
      <c r="A730" s="3">
        <v>2016</v>
      </c>
      <c r="B730" t="s">
        <v>1396</v>
      </c>
    </row>
    <row r="731" spans="1:2" x14ac:dyDescent="0.35">
      <c r="A731" s="3">
        <v>2016</v>
      </c>
      <c r="B731" t="s">
        <v>1742</v>
      </c>
    </row>
    <row r="732" spans="1:2" x14ac:dyDescent="0.35">
      <c r="A732" s="3">
        <v>2016</v>
      </c>
      <c r="B732" t="s">
        <v>889</v>
      </c>
    </row>
    <row r="733" spans="1:2" x14ac:dyDescent="0.35">
      <c r="A733" s="3">
        <v>2016</v>
      </c>
      <c r="B733" t="s">
        <v>1745</v>
      </c>
    </row>
    <row r="734" spans="1:2" x14ac:dyDescent="0.35">
      <c r="A734" s="3">
        <v>2016</v>
      </c>
      <c r="B734" t="s">
        <v>354</v>
      </c>
    </row>
    <row r="735" spans="1:2" x14ac:dyDescent="0.35">
      <c r="A735" s="3">
        <v>2016</v>
      </c>
      <c r="B735" t="s">
        <v>227</v>
      </c>
    </row>
    <row r="736" spans="1:2" x14ac:dyDescent="0.35">
      <c r="A736" s="3">
        <v>2016</v>
      </c>
      <c r="B736" t="s">
        <v>1266</v>
      </c>
    </row>
    <row r="737" spans="1:2" x14ac:dyDescent="0.35">
      <c r="A737" s="3">
        <v>2016</v>
      </c>
      <c r="B737" t="s">
        <v>1031</v>
      </c>
    </row>
    <row r="738" spans="1:2" x14ac:dyDescent="0.35">
      <c r="A738" s="3">
        <v>2016</v>
      </c>
      <c r="B738" t="s">
        <v>1749</v>
      </c>
    </row>
    <row r="739" spans="1:2" x14ac:dyDescent="0.35">
      <c r="A739" s="3">
        <v>2016</v>
      </c>
      <c r="B739" t="s">
        <v>1300</v>
      </c>
    </row>
    <row r="740" spans="1:2" x14ac:dyDescent="0.35">
      <c r="A740" s="3">
        <v>2016</v>
      </c>
      <c r="B740" t="s">
        <v>977</v>
      </c>
    </row>
    <row r="741" spans="1:2" x14ac:dyDescent="0.35">
      <c r="A741" s="3">
        <v>2016</v>
      </c>
      <c r="B741" t="s">
        <v>450</v>
      </c>
    </row>
    <row r="742" spans="1:2" x14ac:dyDescent="0.35">
      <c r="A742" s="3">
        <v>2016</v>
      </c>
      <c r="B742" t="s">
        <v>1045</v>
      </c>
    </row>
    <row r="743" spans="1:2" x14ac:dyDescent="0.35">
      <c r="A743" s="3">
        <v>2016</v>
      </c>
      <c r="B743" t="s">
        <v>197</v>
      </c>
    </row>
    <row r="744" spans="1:2" x14ac:dyDescent="0.35">
      <c r="A744" s="3">
        <v>2016</v>
      </c>
      <c r="B744" t="s">
        <v>1260</v>
      </c>
    </row>
    <row r="745" spans="1:2" x14ac:dyDescent="0.35">
      <c r="A745" s="3">
        <v>2016</v>
      </c>
      <c r="B745" t="s">
        <v>1756</v>
      </c>
    </row>
    <row r="746" spans="1:2" x14ac:dyDescent="0.35">
      <c r="A746" s="3">
        <v>2016</v>
      </c>
      <c r="B746" t="s">
        <v>957</v>
      </c>
    </row>
    <row r="747" spans="1:2" x14ac:dyDescent="0.35">
      <c r="A747" s="3">
        <v>2016</v>
      </c>
      <c r="B747" t="s">
        <v>1768</v>
      </c>
    </row>
    <row r="748" spans="1:2" x14ac:dyDescent="0.35">
      <c r="A748" s="3">
        <v>2016</v>
      </c>
      <c r="B748" t="s">
        <v>1423</v>
      </c>
    </row>
    <row r="749" spans="1:2" x14ac:dyDescent="0.35">
      <c r="A749" s="3">
        <v>2016</v>
      </c>
      <c r="B749" t="s">
        <v>1234</v>
      </c>
    </row>
    <row r="750" spans="1:2" x14ac:dyDescent="0.35">
      <c r="A750" s="3">
        <v>2016</v>
      </c>
      <c r="B750" t="s">
        <v>1152</v>
      </c>
    </row>
    <row r="751" spans="1:2" x14ac:dyDescent="0.35">
      <c r="A751" s="3">
        <v>2016</v>
      </c>
      <c r="B751" t="s">
        <v>1772</v>
      </c>
    </row>
    <row r="752" spans="1:2" x14ac:dyDescent="0.35">
      <c r="A752" s="3">
        <v>2016</v>
      </c>
      <c r="B752" t="s">
        <v>1081</v>
      </c>
    </row>
    <row r="753" spans="1:2" x14ac:dyDescent="0.35">
      <c r="A753" s="3">
        <v>2016</v>
      </c>
      <c r="B753" t="s">
        <v>1515</v>
      </c>
    </row>
    <row r="754" spans="1:2" x14ac:dyDescent="0.35">
      <c r="A754" s="3">
        <v>2016</v>
      </c>
      <c r="B754" t="s">
        <v>1774</v>
      </c>
    </row>
    <row r="755" spans="1:2" x14ac:dyDescent="0.35">
      <c r="A755" s="3">
        <v>2016</v>
      </c>
      <c r="B755" t="s">
        <v>219</v>
      </c>
    </row>
    <row r="756" spans="1:2" x14ac:dyDescent="0.35">
      <c r="A756" s="3">
        <v>2016</v>
      </c>
      <c r="B756" t="s">
        <v>1776</v>
      </c>
    </row>
    <row r="757" spans="1:2" x14ac:dyDescent="0.35">
      <c r="A757" s="3">
        <v>2016</v>
      </c>
      <c r="B757" t="s">
        <v>1777</v>
      </c>
    </row>
    <row r="758" spans="1:2" x14ac:dyDescent="0.35">
      <c r="A758" s="3">
        <v>2016</v>
      </c>
      <c r="B758" t="s">
        <v>1778</v>
      </c>
    </row>
    <row r="759" spans="1:2" x14ac:dyDescent="0.35">
      <c r="A759" s="3">
        <v>2016</v>
      </c>
      <c r="B759" t="s">
        <v>653</v>
      </c>
    </row>
    <row r="760" spans="1:2" x14ac:dyDescent="0.35">
      <c r="A760" s="3">
        <v>2016</v>
      </c>
      <c r="B760" t="s">
        <v>1047</v>
      </c>
    </row>
    <row r="761" spans="1:2" x14ac:dyDescent="0.35">
      <c r="A761" s="3">
        <v>2016</v>
      </c>
      <c r="B761" t="s">
        <v>1779</v>
      </c>
    </row>
    <row r="762" spans="1:2" x14ac:dyDescent="0.35">
      <c r="A762" s="3">
        <v>2016</v>
      </c>
      <c r="B762" t="s">
        <v>1781</v>
      </c>
    </row>
    <row r="763" spans="1:2" x14ac:dyDescent="0.35">
      <c r="A763" s="3">
        <v>2016</v>
      </c>
      <c r="B763" t="s">
        <v>1366</v>
      </c>
    </row>
    <row r="764" spans="1:2" x14ac:dyDescent="0.35">
      <c r="A764" s="3">
        <v>2016</v>
      </c>
      <c r="B764" t="s">
        <v>524</v>
      </c>
    </row>
    <row r="765" spans="1:2" x14ac:dyDescent="0.35">
      <c r="A765" s="3">
        <v>2016</v>
      </c>
      <c r="B765" t="s">
        <v>1783</v>
      </c>
    </row>
    <row r="766" spans="1:2" x14ac:dyDescent="0.35">
      <c r="A766" s="3">
        <v>2016</v>
      </c>
      <c r="B766" t="s">
        <v>564</v>
      </c>
    </row>
    <row r="767" spans="1:2" x14ac:dyDescent="0.35">
      <c r="A767" s="3">
        <v>2016</v>
      </c>
      <c r="B767" t="s">
        <v>929</v>
      </c>
    </row>
    <row r="768" spans="1:2" x14ac:dyDescent="0.35">
      <c r="A768" s="3">
        <v>2016</v>
      </c>
      <c r="B768" t="s">
        <v>1787</v>
      </c>
    </row>
    <row r="769" spans="1:2" x14ac:dyDescent="0.35">
      <c r="A769" s="3">
        <v>2016</v>
      </c>
      <c r="B769" t="s">
        <v>150</v>
      </c>
    </row>
    <row r="770" spans="1:2" x14ac:dyDescent="0.35">
      <c r="A770" s="3">
        <v>2016</v>
      </c>
      <c r="B770" t="s">
        <v>636</v>
      </c>
    </row>
    <row r="771" spans="1:2" x14ac:dyDescent="0.35">
      <c r="A771" s="3">
        <v>2016</v>
      </c>
      <c r="B771" t="s">
        <v>1792</v>
      </c>
    </row>
    <row r="772" spans="1:2" x14ac:dyDescent="0.35">
      <c r="A772" s="3">
        <v>2016</v>
      </c>
      <c r="B772" t="s">
        <v>1794</v>
      </c>
    </row>
    <row r="773" spans="1:2" x14ac:dyDescent="0.35">
      <c r="A773" s="3">
        <v>2016</v>
      </c>
      <c r="B773" t="s">
        <v>1795</v>
      </c>
    </row>
    <row r="774" spans="1:2" x14ac:dyDescent="0.35">
      <c r="A774" s="3">
        <v>2016</v>
      </c>
      <c r="B774" t="s">
        <v>86</v>
      </c>
    </row>
    <row r="775" spans="1:2" x14ac:dyDescent="0.35">
      <c r="A775" s="3">
        <v>2016</v>
      </c>
      <c r="B775" t="s">
        <v>201</v>
      </c>
    </row>
    <row r="776" spans="1:2" x14ac:dyDescent="0.35">
      <c r="A776" s="3">
        <v>2016</v>
      </c>
      <c r="B776" t="s">
        <v>534</v>
      </c>
    </row>
    <row r="777" spans="1:2" x14ac:dyDescent="0.35">
      <c r="A777" s="3">
        <v>2016</v>
      </c>
      <c r="B777" t="s">
        <v>445</v>
      </c>
    </row>
    <row r="778" spans="1:2" x14ac:dyDescent="0.35">
      <c r="A778" s="3">
        <v>2016</v>
      </c>
      <c r="B778" t="s">
        <v>422</v>
      </c>
    </row>
    <row r="779" spans="1:2" x14ac:dyDescent="0.35">
      <c r="A779" s="3">
        <v>2016</v>
      </c>
      <c r="B779" t="s">
        <v>809</v>
      </c>
    </row>
    <row r="780" spans="1:2" x14ac:dyDescent="0.35">
      <c r="A780" s="3">
        <v>2016</v>
      </c>
      <c r="B780" t="s">
        <v>1799</v>
      </c>
    </row>
    <row r="781" spans="1:2" x14ac:dyDescent="0.35">
      <c r="A781" s="3">
        <v>2016</v>
      </c>
      <c r="B781" t="s">
        <v>1801</v>
      </c>
    </row>
    <row r="782" spans="1:2" x14ac:dyDescent="0.35">
      <c r="A782" s="3">
        <v>2016</v>
      </c>
      <c r="B782" t="s">
        <v>1060</v>
      </c>
    </row>
    <row r="783" spans="1:2" x14ac:dyDescent="0.35">
      <c r="A783" s="3">
        <v>2016</v>
      </c>
      <c r="B783" t="s">
        <v>747</v>
      </c>
    </row>
    <row r="784" spans="1:2" x14ac:dyDescent="0.35">
      <c r="A784" s="3">
        <v>2016</v>
      </c>
      <c r="B784" t="s">
        <v>172</v>
      </c>
    </row>
    <row r="785" spans="1:2" x14ac:dyDescent="0.35">
      <c r="A785" s="3">
        <v>2016</v>
      </c>
      <c r="B785" t="s">
        <v>508</v>
      </c>
    </row>
    <row r="786" spans="1:2" x14ac:dyDescent="0.35">
      <c r="A786" s="3">
        <v>2016</v>
      </c>
      <c r="B786" t="s">
        <v>1807</v>
      </c>
    </row>
    <row r="787" spans="1:2" x14ac:dyDescent="0.35">
      <c r="A787" s="3">
        <v>2016</v>
      </c>
      <c r="B787" t="s">
        <v>706</v>
      </c>
    </row>
    <row r="788" spans="1:2" x14ac:dyDescent="0.35">
      <c r="A788" s="3">
        <v>2016</v>
      </c>
      <c r="B788" t="s">
        <v>1316</v>
      </c>
    </row>
    <row r="789" spans="1:2" x14ac:dyDescent="0.35">
      <c r="A789" s="3">
        <v>2016</v>
      </c>
      <c r="B789" t="s">
        <v>1810</v>
      </c>
    </row>
    <row r="790" spans="1:2" x14ac:dyDescent="0.35">
      <c r="A790" s="3">
        <v>2016</v>
      </c>
      <c r="B790" t="s">
        <v>760</v>
      </c>
    </row>
    <row r="791" spans="1:2" x14ac:dyDescent="0.35">
      <c r="A791" s="3">
        <v>2016</v>
      </c>
      <c r="B791" t="s">
        <v>1811</v>
      </c>
    </row>
    <row r="792" spans="1:2" x14ac:dyDescent="0.35">
      <c r="A792" s="3">
        <v>2016</v>
      </c>
      <c r="B792" t="s">
        <v>867</v>
      </c>
    </row>
    <row r="793" spans="1:2" x14ac:dyDescent="0.35">
      <c r="A793" s="3">
        <v>2016</v>
      </c>
      <c r="B793" t="s">
        <v>1818</v>
      </c>
    </row>
    <row r="794" spans="1:2" x14ac:dyDescent="0.35">
      <c r="A794" s="3">
        <v>2016</v>
      </c>
      <c r="B794" t="s">
        <v>1820</v>
      </c>
    </row>
    <row r="795" spans="1:2" x14ac:dyDescent="0.35">
      <c r="A795" s="3">
        <v>2016</v>
      </c>
      <c r="B795" t="s">
        <v>721</v>
      </c>
    </row>
    <row r="796" spans="1:2" x14ac:dyDescent="0.35">
      <c r="A796" s="3">
        <v>2016</v>
      </c>
      <c r="B796" t="s">
        <v>1823</v>
      </c>
    </row>
    <row r="797" spans="1:2" x14ac:dyDescent="0.35">
      <c r="A797" s="3">
        <v>2016</v>
      </c>
      <c r="B797" t="s">
        <v>724</v>
      </c>
    </row>
    <row r="798" spans="1:2" x14ac:dyDescent="0.35">
      <c r="A798" s="3">
        <v>2016</v>
      </c>
      <c r="B798" t="s">
        <v>1612</v>
      </c>
    </row>
    <row r="799" spans="1:2" x14ac:dyDescent="0.35">
      <c r="A799" s="3">
        <v>2016</v>
      </c>
      <c r="B799" t="s">
        <v>1831</v>
      </c>
    </row>
    <row r="800" spans="1:2" x14ac:dyDescent="0.35">
      <c r="A800" s="3">
        <v>2016</v>
      </c>
      <c r="B800" t="s">
        <v>898</v>
      </c>
    </row>
    <row r="801" spans="1:2" x14ac:dyDescent="0.35">
      <c r="A801" s="3">
        <v>2016</v>
      </c>
      <c r="B801" t="s">
        <v>1077</v>
      </c>
    </row>
    <row r="802" spans="1:2" x14ac:dyDescent="0.35">
      <c r="A802" s="3">
        <v>2016</v>
      </c>
      <c r="B802" t="s">
        <v>106</v>
      </c>
    </row>
    <row r="803" spans="1:2" x14ac:dyDescent="0.35">
      <c r="A803" s="3">
        <v>2016</v>
      </c>
      <c r="B803" t="s">
        <v>1835</v>
      </c>
    </row>
    <row r="804" spans="1:2" x14ac:dyDescent="0.35">
      <c r="A804" s="3">
        <v>2016</v>
      </c>
      <c r="B804" t="s">
        <v>1432</v>
      </c>
    </row>
    <row r="805" spans="1:2" x14ac:dyDescent="0.35">
      <c r="A805" s="3">
        <v>2016</v>
      </c>
      <c r="B805" t="s">
        <v>1155</v>
      </c>
    </row>
    <row r="806" spans="1:2" x14ac:dyDescent="0.35">
      <c r="A806" s="3">
        <v>2016</v>
      </c>
      <c r="B806" t="s">
        <v>1838</v>
      </c>
    </row>
    <row r="807" spans="1:2" x14ac:dyDescent="0.35">
      <c r="A807" s="3">
        <v>2016</v>
      </c>
      <c r="B807" t="s">
        <v>277</v>
      </c>
    </row>
    <row r="808" spans="1:2" x14ac:dyDescent="0.35">
      <c r="A808" s="3">
        <v>2016</v>
      </c>
      <c r="B808" t="s">
        <v>1841</v>
      </c>
    </row>
    <row r="809" spans="1:2" x14ac:dyDescent="0.35">
      <c r="A809" s="3">
        <v>2016</v>
      </c>
      <c r="B809" t="s">
        <v>885</v>
      </c>
    </row>
    <row r="810" spans="1:2" x14ac:dyDescent="0.35">
      <c r="A810" s="3">
        <v>2016</v>
      </c>
      <c r="B810" t="s">
        <v>1514</v>
      </c>
    </row>
    <row r="811" spans="1:2" x14ac:dyDescent="0.35">
      <c r="A811" s="3">
        <v>2016</v>
      </c>
      <c r="B811" t="s">
        <v>945</v>
      </c>
    </row>
    <row r="812" spans="1:2" x14ac:dyDescent="0.35">
      <c r="A812" s="3">
        <v>2016</v>
      </c>
      <c r="B812" t="s">
        <v>138</v>
      </c>
    </row>
    <row r="813" spans="1:2" x14ac:dyDescent="0.35">
      <c r="A813" s="3">
        <v>2016</v>
      </c>
      <c r="B813" t="s">
        <v>1124</v>
      </c>
    </row>
    <row r="814" spans="1:2" x14ac:dyDescent="0.35">
      <c r="A814" s="3">
        <v>2016</v>
      </c>
      <c r="B814" t="s">
        <v>1420</v>
      </c>
    </row>
    <row r="815" spans="1:2" x14ac:dyDescent="0.35">
      <c r="A815" s="3">
        <v>2016</v>
      </c>
      <c r="B815" t="s">
        <v>391</v>
      </c>
    </row>
    <row r="816" spans="1:2" x14ac:dyDescent="0.35">
      <c r="A816" s="3">
        <v>2016</v>
      </c>
      <c r="B816" t="s">
        <v>1845</v>
      </c>
    </row>
    <row r="817" spans="1:2" x14ac:dyDescent="0.35">
      <c r="A817" s="3">
        <v>2016</v>
      </c>
      <c r="B817" t="s">
        <v>296</v>
      </c>
    </row>
    <row r="818" spans="1:2" x14ac:dyDescent="0.35">
      <c r="A818" s="3">
        <v>2016</v>
      </c>
      <c r="B818" t="s">
        <v>787</v>
      </c>
    </row>
    <row r="819" spans="1:2" x14ac:dyDescent="0.35">
      <c r="A819" s="3">
        <v>2016</v>
      </c>
      <c r="B819" t="s">
        <v>467</v>
      </c>
    </row>
    <row r="820" spans="1:2" x14ac:dyDescent="0.35">
      <c r="A820" s="3">
        <v>2016</v>
      </c>
      <c r="B820" t="s">
        <v>1850</v>
      </c>
    </row>
    <row r="821" spans="1:2" x14ac:dyDescent="0.35">
      <c r="A821" s="3">
        <v>2016</v>
      </c>
      <c r="B821" t="s">
        <v>1005</v>
      </c>
    </row>
    <row r="822" spans="1:2" x14ac:dyDescent="0.35">
      <c r="A822" s="3">
        <v>2016</v>
      </c>
      <c r="B822" t="s">
        <v>497</v>
      </c>
    </row>
    <row r="823" spans="1:2" x14ac:dyDescent="0.35">
      <c r="A823" s="3">
        <v>2016</v>
      </c>
      <c r="B823" t="s">
        <v>254</v>
      </c>
    </row>
    <row r="824" spans="1:2" x14ac:dyDescent="0.35">
      <c r="A824" s="3">
        <v>2016</v>
      </c>
      <c r="B824" t="s">
        <v>1853</v>
      </c>
    </row>
    <row r="825" spans="1:2" x14ac:dyDescent="0.35">
      <c r="A825" s="3">
        <v>2016</v>
      </c>
      <c r="B825" t="s">
        <v>1856</v>
      </c>
    </row>
    <row r="826" spans="1:2" x14ac:dyDescent="0.35">
      <c r="A826" s="3">
        <v>2016</v>
      </c>
      <c r="B826" t="s">
        <v>1131</v>
      </c>
    </row>
    <row r="827" spans="1:2" x14ac:dyDescent="0.35">
      <c r="A827" s="3">
        <v>2016</v>
      </c>
      <c r="B827" t="s">
        <v>562</v>
      </c>
    </row>
    <row r="828" spans="1:2" x14ac:dyDescent="0.35">
      <c r="A828" s="3">
        <v>2016</v>
      </c>
      <c r="B828" t="s">
        <v>1862</v>
      </c>
    </row>
    <row r="829" spans="1:2" x14ac:dyDescent="0.35">
      <c r="A829" s="3">
        <v>2016</v>
      </c>
      <c r="B829" t="s">
        <v>1606</v>
      </c>
    </row>
    <row r="830" spans="1:2" x14ac:dyDescent="0.35">
      <c r="A830" s="3">
        <v>2016</v>
      </c>
      <c r="B830" t="s">
        <v>485</v>
      </c>
    </row>
    <row r="831" spans="1:2" x14ac:dyDescent="0.35">
      <c r="A831" s="3">
        <v>2016</v>
      </c>
      <c r="B831" t="s">
        <v>1033</v>
      </c>
    </row>
    <row r="832" spans="1:2" x14ac:dyDescent="0.35">
      <c r="A832" s="3">
        <v>2016</v>
      </c>
      <c r="B832" t="s">
        <v>931</v>
      </c>
    </row>
    <row r="833" spans="1:2" x14ac:dyDescent="0.35">
      <c r="A833" s="3">
        <v>2016</v>
      </c>
      <c r="B833" t="s">
        <v>1230</v>
      </c>
    </row>
    <row r="834" spans="1:2" x14ac:dyDescent="0.35">
      <c r="A834" s="3">
        <v>2016</v>
      </c>
      <c r="B834" t="s">
        <v>1868</v>
      </c>
    </row>
    <row r="835" spans="1:2" x14ac:dyDescent="0.35">
      <c r="A835" s="3">
        <v>2016</v>
      </c>
      <c r="B835" t="s">
        <v>1613</v>
      </c>
    </row>
    <row r="836" spans="1:2" x14ac:dyDescent="0.35">
      <c r="A836" s="3">
        <v>2016</v>
      </c>
      <c r="B836" t="s">
        <v>1869</v>
      </c>
    </row>
    <row r="837" spans="1:2" x14ac:dyDescent="0.35">
      <c r="A837" s="3">
        <v>2016</v>
      </c>
      <c r="B837" t="s">
        <v>1871</v>
      </c>
    </row>
    <row r="838" spans="1:2" x14ac:dyDescent="0.35">
      <c r="A838" s="3">
        <v>2016</v>
      </c>
      <c r="B838" t="s">
        <v>1873</v>
      </c>
    </row>
    <row r="839" spans="1:2" x14ac:dyDescent="0.35">
      <c r="A839" s="3">
        <v>2016</v>
      </c>
      <c r="B839" t="s">
        <v>1352</v>
      </c>
    </row>
    <row r="840" spans="1:2" x14ac:dyDescent="0.35">
      <c r="A840" s="3">
        <v>2016</v>
      </c>
      <c r="B840" t="s">
        <v>1874</v>
      </c>
    </row>
    <row r="841" spans="1:2" x14ac:dyDescent="0.35">
      <c r="A841" s="3">
        <v>2016</v>
      </c>
      <c r="B841" t="s">
        <v>1389</v>
      </c>
    </row>
    <row r="842" spans="1:2" x14ac:dyDescent="0.35">
      <c r="A842" s="3">
        <v>2016</v>
      </c>
      <c r="B842" t="s">
        <v>1166</v>
      </c>
    </row>
    <row r="843" spans="1:2" x14ac:dyDescent="0.35">
      <c r="A843" s="3">
        <v>2016</v>
      </c>
      <c r="B843" t="s">
        <v>1171</v>
      </c>
    </row>
    <row r="844" spans="1:2" x14ac:dyDescent="0.35">
      <c r="A844" s="3">
        <v>2016</v>
      </c>
      <c r="B844" t="s">
        <v>611</v>
      </c>
    </row>
    <row r="845" spans="1:2" x14ac:dyDescent="0.35">
      <c r="A845" s="3">
        <v>2016</v>
      </c>
      <c r="B845" t="s">
        <v>1351</v>
      </c>
    </row>
    <row r="846" spans="1:2" x14ac:dyDescent="0.35">
      <c r="A846" s="3">
        <v>2016</v>
      </c>
      <c r="B846" t="s">
        <v>789</v>
      </c>
    </row>
    <row r="847" spans="1:2" x14ac:dyDescent="0.35">
      <c r="A847" s="3">
        <v>2016</v>
      </c>
      <c r="B847" t="s">
        <v>16</v>
      </c>
    </row>
    <row r="848" spans="1:2" x14ac:dyDescent="0.35">
      <c r="A848" s="3">
        <v>2016</v>
      </c>
      <c r="B848" t="s">
        <v>1882</v>
      </c>
    </row>
    <row r="849" spans="1:2" x14ac:dyDescent="0.35">
      <c r="A849" s="3">
        <v>2016</v>
      </c>
      <c r="B849" t="s">
        <v>1567</v>
      </c>
    </row>
    <row r="850" spans="1:2" x14ac:dyDescent="0.35">
      <c r="A850" s="3">
        <v>2016</v>
      </c>
      <c r="B850" t="s">
        <v>284</v>
      </c>
    </row>
    <row r="851" spans="1:2" x14ac:dyDescent="0.35">
      <c r="A851" s="3">
        <v>2016</v>
      </c>
      <c r="B851" t="s">
        <v>698</v>
      </c>
    </row>
    <row r="852" spans="1:2" x14ac:dyDescent="0.35">
      <c r="A852" s="3">
        <v>2016</v>
      </c>
      <c r="B852" t="s">
        <v>1117</v>
      </c>
    </row>
    <row r="853" spans="1:2" x14ac:dyDescent="0.35">
      <c r="A853" s="3">
        <v>2016</v>
      </c>
      <c r="B853" t="s">
        <v>1893</v>
      </c>
    </row>
    <row r="854" spans="1:2" x14ac:dyDescent="0.35">
      <c r="A854" s="3">
        <v>2016</v>
      </c>
      <c r="B854" t="s">
        <v>1627</v>
      </c>
    </row>
    <row r="855" spans="1:2" x14ac:dyDescent="0.35">
      <c r="A855" s="3">
        <v>2016</v>
      </c>
      <c r="B855" t="s">
        <v>1616</v>
      </c>
    </row>
    <row r="856" spans="1:2" x14ac:dyDescent="0.35">
      <c r="A856" s="3">
        <v>2016</v>
      </c>
      <c r="B856" t="s">
        <v>1897</v>
      </c>
    </row>
    <row r="857" spans="1:2" x14ac:dyDescent="0.35">
      <c r="A857" s="3">
        <v>2016</v>
      </c>
      <c r="B857" t="s">
        <v>1898</v>
      </c>
    </row>
    <row r="858" spans="1:2" x14ac:dyDescent="0.35">
      <c r="A858" s="3">
        <v>2016</v>
      </c>
      <c r="B858" t="s">
        <v>1268</v>
      </c>
    </row>
    <row r="859" spans="1:2" x14ac:dyDescent="0.35">
      <c r="A859" s="3">
        <v>2016</v>
      </c>
      <c r="B859" t="s">
        <v>1900</v>
      </c>
    </row>
    <row r="860" spans="1:2" x14ac:dyDescent="0.35">
      <c r="A860" s="3">
        <v>2016</v>
      </c>
      <c r="B860" t="s">
        <v>1905</v>
      </c>
    </row>
    <row r="861" spans="1:2" x14ac:dyDescent="0.35">
      <c r="A861" s="3">
        <v>2016</v>
      </c>
      <c r="B861" t="s">
        <v>264</v>
      </c>
    </row>
    <row r="862" spans="1:2" x14ac:dyDescent="0.35">
      <c r="A862" s="3">
        <v>2016</v>
      </c>
      <c r="B862" t="s">
        <v>54</v>
      </c>
    </row>
    <row r="863" spans="1:2" x14ac:dyDescent="0.35">
      <c r="A863" s="3">
        <v>2016</v>
      </c>
      <c r="B863" t="s">
        <v>1909</v>
      </c>
    </row>
    <row r="864" spans="1:2" x14ac:dyDescent="0.35">
      <c r="A864" s="3">
        <v>2016</v>
      </c>
      <c r="B864" t="s">
        <v>1911</v>
      </c>
    </row>
    <row r="865" spans="1:2" x14ac:dyDescent="0.35">
      <c r="A865" s="3">
        <v>2016</v>
      </c>
      <c r="B865" t="s">
        <v>684</v>
      </c>
    </row>
    <row r="866" spans="1:2" x14ac:dyDescent="0.35">
      <c r="A866" s="3">
        <v>2016</v>
      </c>
      <c r="B866" t="s">
        <v>74</v>
      </c>
    </row>
    <row r="867" spans="1:2" x14ac:dyDescent="0.35">
      <c r="A867" s="3">
        <v>2016</v>
      </c>
      <c r="B867" t="s">
        <v>210</v>
      </c>
    </row>
    <row r="868" spans="1:2" x14ac:dyDescent="0.35">
      <c r="A868" s="3">
        <v>2016</v>
      </c>
      <c r="B868" t="s">
        <v>944</v>
      </c>
    </row>
    <row r="869" spans="1:2" x14ac:dyDescent="0.35">
      <c r="A869" s="3">
        <v>2016</v>
      </c>
      <c r="B869" t="s">
        <v>1360</v>
      </c>
    </row>
    <row r="870" spans="1:2" x14ac:dyDescent="0.35">
      <c r="A870" s="3">
        <v>2016</v>
      </c>
      <c r="B870" t="s">
        <v>1917</v>
      </c>
    </row>
    <row r="871" spans="1:2" x14ac:dyDescent="0.35">
      <c r="A871" s="3">
        <v>2016</v>
      </c>
      <c r="B871" t="s">
        <v>1537</v>
      </c>
    </row>
    <row r="872" spans="1:2" x14ac:dyDescent="0.35">
      <c r="A872" s="3">
        <v>2016</v>
      </c>
      <c r="B872" t="s">
        <v>909</v>
      </c>
    </row>
    <row r="873" spans="1:2" x14ac:dyDescent="0.35">
      <c r="A873" s="3">
        <v>2016</v>
      </c>
      <c r="B873" t="s">
        <v>1919</v>
      </c>
    </row>
    <row r="874" spans="1:2" x14ac:dyDescent="0.35">
      <c r="A874" s="3">
        <v>2016</v>
      </c>
      <c r="B874" t="s">
        <v>1920</v>
      </c>
    </row>
    <row r="875" spans="1:2" x14ac:dyDescent="0.35">
      <c r="A875" s="3">
        <v>2016</v>
      </c>
      <c r="B875" t="s">
        <v>1475</v>
      </c>
    </row>
    <row r="876" spans="1:2" x14ac:dyDescent="0.35">
      <c r="A876" s="3">
        <v>2016</v>
      </c>
      <c r="B876" t="s">
        <v>1922</v>
      </c>
    </row>
    <row r="877" spans="1:2" x14ac:dyDescent="0.35">
      <c r="A877" s="3">
        <v>2016</v>
      </c>
      <c r="B877" t="s">
        <v>736</v>
      </c>
    </row>
    <row r="878" spans="1:2" x14ac:dyDescent="0.35">
      <c r="A878" s="3">
        <v>2016</v>
      </c>
      <c r="B878" t="s">
        <v>1924</v>
      </c>
    </row>
    <row r="879" spans="1:2" x14ac:dyDescent="0.35">
      <c r="A879" s="3">
        <v>2016</v>
      </c>
      <c r="B879" t="s">
        <v>1925</v>
      </c>
    </row>
    <row r="880" spans="1:2" x14ac:dyDescent="0.35">
      <c r="A880" s="3">
        <v>2016</v>
      </c>
      <c r="B880" t="s">
        <v>1469</v>
      </c>
    </row>
    <row r="881" spans="1:2" x14ac:dyDescent="0.35">
      <c r="A881" s="3">
        <v>2016</v>
      </c>
      <c r="B881" t="s">
        <v>1375</v>
      </c>
    </row>
    <row r="882" spans="1:2" x14ac:dyDescent="0.35">
      <c r="A882" s="3">
        <v>2016</v>
      </c>
      <c r="B882" t="s">
        <v>1097</v>
      </c>
    </row>
    <row r="883" spans="1:2" x14ac:dyDescent="0.35">
      <c r="A883" s="3">
        <v>2016</v>
      </c>
      <c r="B883" t="s">
        <v>332</v>
      </c>
    </row>
    <row r="884" spans="1:2" x14ac:dyDescent="0.35">
      <c r="A884" s="3">
        <v>2016</v>
      </c>
      <c r="B884" t="s">
        <v>1929</v>
      </c>
    </row>
    <row r="885" spans="1:2" x14ac:dyDescent="0.35">
      <c r="A885" s="3">
        <v>2016</v>
      </c>
      <c r="B885" t="s">
        <v>1012</v>
      </c>
    </row>
    <row r="886" spans="1:2" x14ac:dyDescent="0.35">
      <c r="A886" s="3">
        <v>2016</v>
      </c>
      <c r="B886" t="s">
        <v>455</v>
      </c>
    </row>
    <row r="887" spans="1:2" x14ac:dyDescent="0.35">
      <c r="A887" s="3">
        <v>2016</v>
      </c>
      <c r="B887" t="s">
        <v>1934</v>
      </c>
    </row>
    <row r="888" spans="1:2" x14ac:dyDescent="0.35">
      <c r="A888" s="3">
        <v>2016</v>
      </c>
      <c r="B888" t="s">
        <v>117</v>
      </c>
    </row>
    <row r="889" spans="1:2" x14ac:dyDescent="0.35">
      <c r="A889" s="3">
        <v>2016</v>
      </c>
      <c r="B889" t="s">
        <v>589</v>
      </c>
    </row>
    <row r="890" spans="1:2" x14ac:dyDescent="0.35">
      <c r="A890" s="3">
        <v>2016</v>
      </c>
      <c r="B890" t="s">
        <v>1936</v>
      </c>
    </row>
    <row r="891" spans="1:2" x14ac:dyDescent="0.35">
      <c r="A891" s="3">
        <v>2016</v>
      </c>
      <c r="B891" t="s">
        <v>349</v>
      </c>
    </row>
    <row r="892" spans="1:2" x14ac:dyDescent="0.35">
      <c r="A892" s="3">
        <v>2016</v>
      </c>
      <c r="B892" t="s">
        <v>1938</v>
      </c>
    </row>
    <row r="893" spans="1:2" x14ac:dyDescent="0.35">
      <c r="A893" s="3">
        <v>2016</v>
      </c>
      <c r="B893" t="s">
        <v>1614</v>
      </c>
    </row>
    <row r="894" spans="1:2" x14ac:dyDescent="0.35">
      <c r="A894" s="3">
        <v>2016</v>
      </c>
      <c r="B894" t="s">
        <v>1940</v>
      </c>
    </row>
    <row r="895" spans="1:2" x14ac:dyDescent="0.35">
      <c r="A895" s="3">
        <v>2016</v>
      </c>
      <c r="B895" t="s">
        <v>333</v>
      </c>
    </row>
    <row r="896" spans="1:2" x14ac:dyDescent="0.35">
      <c r="A896" s="3">
        <v>2016</v>
      </c>
      <c r="B896" t="s">
        <v>1944</v>
      </c>
    </row>
    <row r="897" spans="1:2" x14ac:dyDescent="0.35">
      <c r="A897" s="3">
        <v>2016</v>
      </c>
      <c r="B897" t="s">
        <v>798</v>
      </c>
    </row>
    <row r="898" spans="1:2" x14ac:dyDescent="0.35">
      <c r="A898" s="3">
        <v>2016</v>
      </c>
      <c r="B898" t="s">
        <v>1518</v>
      </c>
    </row>
    <row r="899" spans="1:2" x14ac:dyDescent="0.35">
      <c r="A899" s="3">
        <v>2016</v>
      </c>
      <c r="B899" t="s">
        <v>179</v>
      </c>
    </row>
    <row r="900" spans="1:2" x14ac:dyDescent="0.35">
      <c r="A900" s="3">
        <v>2016</v>
      </c>
      <c r="B900" t="s">
        <v>567</v>
      </c>
    </row>
    <row r="901" spans="1:2" x14ac:dyDescent="0.35">
      <c r="A901" s="3">
        <v>2016</v>
      </c>
      <c r="B901" t="s">
        <v>1957</v>
      </c>
    </row>
    <row r="902" spans="1:2" x14ac:dyDescent="0.35">
      <c r="A902" s="3">
        <v>2016</v>
      </c>
      <c r="B902" t="s">
        <v>933</v>
      </c>
    </row>
    <row r="903" spans="1:2" x14ac:dyDescent="0.35">
      <c r="A903" s="3">
        <v>2016</v>
      </c>
      <c r="B903" t="s">
        <v>1196</v>
      </c>
    </row>
    <row r="904" spans="1:2" x14ac:dyDescent="0.35">
      <c r="A904" s="3">
        <v>2016</v>
      </c>
      <c r="B904" t="s">
        <v>1287</v>
      </c>
    </row>
    <row r="905" spans="1:2" x14ac:dyDescent="0.35">
      <c r="A905" s="3">
        <v>2016</v>
      </c>
      <c r="B905" t="s">
        <v>1379</v>
      </c>
    </row>
    <row r="906" spans="1:2" x14ac:dyDescent="0.35">
      <c r="A906" s="3">
        <v>2016</v>
      </c>
      <c r="B906" t="s">
        <v>1363</v>
      </c>
    </row>
    <row r="907" spans="1:2" x14ac:dyDescent="0.35">
      <c r="A907" s="3">
        <v>2016</v>
      </c>
      <c r="B907" t="s">
        <v>1964</v>
      </c>
    </row>
    <row r="908" spans="1:2" x14ac:dyDescent="0.35">
      <c r="A908" s="3">
        <v>2016</v>
      </c>
      <c r="B908" t="s">
        <v>361</v>
      </c>
    </row>
    <row r="909" spans="1:2" x14ac:dyDescent="0.35">
      <c r="A909" s="3">
        <v>2016</v>
      </c>
      <c r="B909" t="s">
        <v>1967</v>
      </c>
    </row>
    <row r="910" spans="1:2" x14ac:dyDescent="0.35">
      <c r="A910" s="3">
        <v>2016</v>
      </c>
      <c r="B910" t="s">
        <v>606</v>
      </c>
    </row>
    <row r="911" spans="1:2" x14ac:dyDescent="0.35">
      <c r="A911" s="3">
        <v>2016</v>
      </c>
      <c r="B911" t="s">
        <v>1972</v>
      </c>
    </row>
    <row r="912" spans="1:2" x14ac:dyDescent="0.35">
      <c r="A912" s="3">
        <v>2016</v>
      </c>
      <c r="B912" t="s">
        <v>1973</v>
      </c>
    </row>
    <row r="913" spans="1:2" x14ac:dyDescent="0.35">
      <c r="A913" s="3">
        <v>2016</v>
      </c>
      <c r="B913" t="s">
        <v>1059</v>
      </c>
    </row>
    <row r="914" spans="1:2" x14ac:dyDescent="0.35">
      <c r="A914" s="3">
        <v>2016</v>
      </c>
      <c r="B914" t="s">
        <v>1974</v>
      </c>
    </row>
    <row r="915" spans="1:2" x14ac:dyDescent="0.35">
      <c r="A915" s="3">
        <v>2016</v>
      </c>
      <c r="B915" t="s">
        <v>1440</v>
      </c>
    </row>
    <row r="916" spans="1:2" x14ac:dyDescent="0.35">
      <c r="A916" s="3">
        <v>2016</v>
      </c>
      <c r="B916" t="s">
        <v>70</v>
      </c>
    </row>
    <row r="917" spans="1:2" x14ac:dyDescent="0.35">
      <c r="A917" s="3">
        <v>2016</v>
      </c>
      <c r="B917" t="s">
        <v>715</v>
      </c>
    </row>
    <row r="918" spans="1:2" x14ac:dyDescent="0.35">
      <c r="A918" s="3">
        <v>2016</v>
      </c>
      <c r="B918" t="s">
        <v>96</v>
      </c>
    </row>
    <row r="919" spans="1:2" x14ac:dyDescent="0.35">
      <c r="A919" s="3">
        <v>2016</v>
      </c>
      <c r="B919" t="s">
        <v>1283</v>
      </c>
    </row>
    <row r="920" spans="1:2" x14ac:dyDescent="0.35">
      <c r="A920" s="3">
        <v>2016</v>
      </c>
      <c r="B920" t="s">
        <v>915</v>
      </c>
    </row>
    <row r="921" spans="1:2" x14ac:dyDescent="0.35">
      <c r="A921" s="3">
        <v>2016</v>
      </c>
      <c r="B921" t="s">
        <v>1983</v>
      </c>
    </row>
    <row r="922" spans="1:2" x14ac:dyDescent="0.35">
      <c r="A922" s="3">
        <v>2016</v>
      </c>
      <c r="B922" t="s">
        <v>1984</v>
      </c>
    </row>
    <row r="923" spans="1:2" x14ac:dyDescent="0.35">
      <c r="A923" s="3">
        <v>2016</v>
      </c>
      <c r="B923" t="s">
        <v>1274</v>
      </c>
    </row>
    <row r="924" spans="1:2" x14ac:dyDescent="0.35">
      <c r="A924" s="3">
        <v>2016</v>
      </c>
      <c r="B924" t="s">
        <v>1986</v>
      </c>
    </row>
    <row r="925" spans="1:2" x14ac:dyDescent="0.35">
      <c r="A925" s="3">
        <v>2016</v>
      </c>
      <c r="B925" t="s">
        <v>1549</v>
      </c>
    </row>
    <row r="926" spans="1:2" x14ac:dyDescent="0.35">
      <c r="A926" s="3">
        <v>2016</v>
      </c>
      <c r="B926" t="s">
        <v>1558</v>
      </c>
    </row>
    <row r="927" spans="1:2" x14ac:dyDescent="0.35">
      <c r="A927" s="3">
        <v>2016</v>
      </c>
      <c r="B927" t="s">
        <v>478</v>
      </c>
    </row>
    <row r="928" spans="1:2" x14ac:dyDescent="0.35">
      <c r="A928" s="3">
        <v>2016</v>
      </c>
      <c r="B928" t="s">
        <v>1991</v>
      </c>
    </row>
    <row r="929" spans="1:2" x14ac:dyDescent="0.35">
      <c r="A929" s="3">
        <v>2016</v>
      </c>
      <c r="B929" t="s">
        <v>1994</v>
      </c>
    </row>
    <row r="930" spans="1:2" x14ac:dyDescent="0.35">
      <c r="A930" s="3">
        <v>2016</v>
      </c>
      <c r="B930" t="s">
        <v>815</v>
      </c>
    </row>
    <row r="931" spans="1:2" x14ac:dyDescent="0.35">
      <c r="A931" s="3">
        <v>2016</v>
      </c>
      <c r="B931" t="s">
        <v>939</v>
      </c>
    </row>
    <row r="932" spans="1:2" x14ac:dyDescent="0.35">
      <c r="A932" s="3">
        <v>2016</v>
      </c>
      <c r="B932" t="s">
        <v>1999</v>
      </c>
    </row>
    <row r="933" spans="1:2" x14ac:dyDescent="0.35">
      <c r="A933" s="3">
        <v>2016</v>
      </c>
      <c r="B933" t="s">
        <v>325</v>
      </c>
    </row>
    <row r="934" spans="1:2" x14ac:dyDescent="0.35">
      <c r="A934" s="3">
        <v>2016</v>
      </c>
      <c r="B934" t="s">
        <v>1136</v>
      </c>
    </row>
    <row r="935" spans="1:2" x14ac:dyDescent="0.35">
      <c r="A935" s="3">
        <v>2016</v>
      </c>
      <c r="B935" t="s">
        <v>2002</v>
      </c>
    </row>
    <row r="936" spans="1:2" x14ac:dyDescent="0.35">
      <c r="A936" s="3">
        <v>2016</v>
      </c>
      <c r="B936" t="s">
        <v>1444</v>
      </c>
    </row>
    <row r="937" spans="1:2" x14ac:dyDescent="0.35">
      <c r="A937" s="3">
        <v>2016</v>
      </c>
      <c r="B937" t="s">
        <v>2004</v>
      </c>
    </row>
    <row r="938" spans="1:2" x14ac:dyDescent="0.35">
      <c r="A938" s="3">
        <v>2016</v>
      </c>
      <c r="B938" t="s">
        <v>1500</v>
      </c>
    </row>
    <row r="939" spans="1:2" x14ac:dyDescent="0.35">
      <c r="A939" s="3">
        <v>2016</v>
      </c>
      <c r="B939" t="s">
        <v>1354</v>
      </c>
    </row>
    <row r="940" spans="1:2" x14ac:dyDescent="0.35">
      <c r="A940" s="3">
        <v>2016</v>
      </c>
      <c r="B940" t="s">
        <v>367</v>
      </c>
    </row>
    <row r="941" spans="1:2" x14ac:dyDescent="0.35">
      <c r="A941" s="3">
        <v>2016</v>
      </c>
      <c r="B941" t="s">
        <v>2009</v>
      </c>
    </row>
    <row r="942" spans="1:2" x14ac:dyDescent="0.35">
      <c r="A942" s="3">
        <v>2016</v>
      </c>
      <c r="B942" t="s">
        <v>2010</v>
      </c>
    </row>
    <row r="943" spans="1:2" x14ac:dyDescent="0.35">
      <c r="A943" s="3">
        <v>2016</v>
      </c>
      <c r="B943" t="s">
        <v>2012</v>
      </c>
    </row>
    <row r="944" spans="1:2" x14ac:dyDescent="0.35">
      <c r="A944" s="3">
        <v>2016</v>
      </c>
      <c r="B944" t="s">
        <v>2014</v>
      </c>
    </row>
    <row r="945" spans="1:2" x14ac:dyDescent="0.35">
      <c r="A945" s="3">
        <v>2016</v>
      </c>
      <c r="B945" t="s">
        <v>1438</v>
      </c>
    </row>
    <row r="946" spans="1:2" x14ac:dyDescent="0.35">
      <c r="A946" s="3">
        <v>2016</v>
      </c>
      <c r="B946" t="s">
        <v>2019</v>
      </c>
    </row>
    <row r="947" spans="1:2" x14ac:dyDescent="0.35">
      <c r="A947" s="3">
        <v>2016</v>
      </c>
      <c r="B947" t="s">
        <v>1158</v>
      </c>
    </row>
    <row r="948" spans="1:2" x14ac:dyDescent="0.35">
      <c r="A948" s="3">
        <v>2016</v>
      </c>
      <c r="B948" t="s">
        <v>1369</v>
      </c>
    </row>
    <row r="949" spans="1:2" x14ac:dyDescent="0.35">
      <c r="A949" s="3">
        <v>2016</v>
      </c>
      <c r="B949" t="s">
        <v>1058</v>
      </c>
    </row>
    <row r="950" spans="1:2" x14ac:dyDescent="0.35">
      <c r="A950" s="3">
        <v>2016</v>
      </c>
      <c r="B950" t="s">
        <v>676</v>
      </c>
    </row>
    <row r="951" spans="1:2" x14ac:dyDescent="0.35">
      <c r="A951" s="3">
        <v>2016</v>
      </c>
      <c r="B951" t="s">
        <v>1509</v>
      </c>
    </row>
    <row r="952" spans="1:2" x14ac:dyDescent="0.35">
      <c r="A952" s="3">
        <v>2016</v>
      </c>
      <c r="B952" t="s">
        <v>1384</v>
      </c>
    </row>
    <row r="953" spans="1:2" x14ac:dyDescent="0.35">
      <c r="A953" s="3">
        <v>2016</v>
      </c>
      <c r="B953" t="s">
        <v>412</v>
      </c>
    </row>
    <row r="954" spans="1:2" x14ac:dyDescent="0.35">
      <c r="A954" s="3">
        <v>2016</v>
      </c>
      <c r="B954" t="s">
        <v>2029</v>
      </c>
    </row>
    <row r="955" spans="1:2" x14ac:dyDescent="0.35">
      <c r="A955" s="3">
        <v>2016</v>
      </c>
      <c r="B955" t="s">
        <v>1328</v>
      </c>
    </row>
    <row r="956" spans="1:2" x14ac:dyDescent="0.35">
      <c r="A956" s="3">
        <v>2016</v>
      </c>
      <c r="B956" t="s">
        <v>2031</v>
      </c>
    </row>
    <row r="957" spans="1:2" x14ac:dyDescent="0.35">
      <c r="A957" s="3">
        <v>2016</v>
      </c>
      <c r="B957" t="s">
        <v>833</v>
      </c>
    </row>
    <row r="958" spans="1:2" x14ac:dyDescent="0.35">
      <c r="A958" s="3">
        <v>2016</v>
      </c>
      <c r="B958" t="s">
        <v>318</v>
      </c>
    </row>
    <row r="959" spans="1:2" x14ac:dyDescent="0.35">
      <c r="A959" s="3">
        <v>2016</v>
      </c>
      <c r="B959" t="s">
        <v>1317</v>
      </c>
    </row>
    <row r="960" spans="1:2" x14ac:dyDescent="0.35">
      <c r="A960" s="3">
        <v>2016</v>
      </c>
      <c r="B960" t="s">
        <v>870</v>
      </c>
    </row>
    <row r="961" spans="1:2" x14ac:dyDescent="0.35">
      <c r="A961" s="3">
        <v>2016</v>
      </c>
      <c r="B961" t="s">
        <v>830</v>
      </c>
    </row>
    <row r="962" spans="1:2" x14ac:dyDescent="0.35">
      <c r="A962" s="3">
        <v>2016</v>
      </c>
      <c r="B962" t="s">
        <v>981</v>
      </c>
    </row>
    <row r="963" spans="1:2" x14ac:dyDescent="0.35">
      <c r="A963" s="3">
        <v>2016</v>
      </c>
      <c r="B963" t="s">
        <v>1251</v>
      </c>
    </row>
    <row r="964" spans="1:2" x14ac:dyDescent="0.35">
      <c r="A964" s="3">
        <v>2016</v>
      </c>
      <c r="B964" t="s">
        <v>875</v>
      </c>
    </row>
    <row r="965" spans="1:2" x14ac:dyDescent="0.35">
      <c r="A965" s="3">
        <v>2016</v>
      </c>
      <c r="B965" t="s">
        <v>595</v>
      </c>
    </row>
    <row r="966" spans="1:2" x14ac:dyDescent="0.35">
      <c r="A966" s="3">
        <v>2016</v>
      </c>
      <c r="B966" t="s">
        <v>828</v>
      </c>
    </row>
    <row r="967" spans="1:2" x14ac:dyDescent="0.35">
      <c r="A967" s="3">
        <v>2016</v>
      </c>
      <c r="B967" t="s">
        <v>921</v>
      </c>
    </row>
    <row r="968" spans="1:2" x14ac:dyDescent="0.35">
      <c r="A968" s="3">
        <v>2016</v>
      </c>
      <c r="B968" t="s">
        <v>306</v>
      </c>
    </row>
    <row r="969" spans="1:2" x14ac:dyDescent="0.35">
      <c r="A969" s="3">
        <v>2016</v>
      </c>
      <c r="B969" t="s">
        <v>493</v>
      </c>
    </row>
    <row r="970" spans="1:2" x14ac:dyDescent="0.35">
      <c r="A970" s="3">
        <v>2016</v>
      </c>
      <c r="B970" t="s">
        <v>377</v>
      </c>
    </row>
    <row r="971" spans="1:2" x14ac:dyDescent="0.35">
      <c r="A971" s="3">
        <v>2016</v>
      </c>
      <c r="B971" t="s">
        <v>2042</v>
      </c>
    </row>
    <row r="972" spans="1:2" x14ac:dyDescent="0.35">
      <c r="A972" s="3">
        <v>2016</v>
      </c>
      <c r="B972" t="s">
        <v>2043</v>
      </c>
    </row>
    <row r="973" spans="1:2" x14ac:dyDescent="0.35">
      <c r="A973" s="3">
        <v>2016</v>
      </c>
      <c r="B973" t="s">
        <v>713</v>
      </c>
    </row>
    <row r="974" spans="1:2" x14ac:dyDescent="0.35">
      <c r="A974" s="3">
        <v>2016</v>
      </c>
      <c r="B974" t="s">
        <v>359</v>
      </c>
    </row>
    <row r="975" spans="1:2" x14ac:dyDescent="0.35">
      <c r="A975" s="3">
        <v>2016</v>
      </c>
      <c r="B975" t="s">
        <v>2044</v>
      </c>
    </row>
    <row r="976" spans="1:2" x14ac:dyDescent="0.35">
      <c r="A976" s="3">
        <v>2016</v>
      </c>
      <c r="B976" t="s">
        <v>2046</v>
      </c>
    </row>
    <row r="977" spans="1:2" x14ac:dyDescent="0.35">
      <c r="A977" s="3">
        <v>2016</v>
      </c>
      <c r="B977" t="s">
        <v>1142</v>
      </c>
    </row>
    <row r="978" spans="1:2" x14ac:dyDescent="0.35">
      <c r="A978" s="3">
        <v>2016</v>
      </c>
      <c r="B978" t="s">
        <v>453</v>
      </c>
    </row>
    <row r="979" spans="1:2" x14ac:dyDescent="0.35">
      <c r="A979" s="3">
        <v>2016</v>
      </c>
      <c r="B979" t="s">
        <v>1629</v>
      </c>
    </row>
    <row r="980" spans="1:2" x14ac:dyDescent="0.35">
      <c r="A980" s="3">
        <v>2016</v>
      </c>
      <c r="B980" t="s">
        <v>579</v>
      </c>
    </row>
    <row r="981" spans="1:2" x14ac:dyDescent="0.35">
      <c r="A981" s="3">
        <v>2016</v>
      </c>
      <c r="B981" t="s">
        <v>1275</v>
      </c>
    </row>
    <row r="982" spans="1:2" x14ac:dyDescent="0.35">
      <c r="A982" s="3">
        <v>2016</v>
      </c>
      <c r="B982" t="s">
        <v>292</v>
      </c>
    </row>
    <row r="983" spans="1:2" x14ac:dyDescent="0.35">
      <c r="A983" s="3">
        <v>2016</v>
      </c>
      <c r="B983" t="s">
        <v>2057</v>
      </c>
    </row>
    <row r="984" spans="1:2" x14ac:dyDescent="0.35">
      <c r="A984" s="3">
        <v>2016</v>
      </c>
      <c r="B984" t="s">
        <v>2060</v>
      </c>
    </row>
    <row r="985" spans="1:2" x14ac:dyDescent="0.35">
      <c r="A985" s="3">
        <v>2016</v>
      </c>
      <c r="B985" t="s">
        <v>2061</v>
      </c>
    </row>
    <row r="986" spans="1:2" x14ac:dyDescent="0.35">
      <c r="A986" s="3">
        <v>2016</v>
      </c>
      <c r="B986" t="s">
        <v>1598</v>
      </c>
    </row>
    <row r="987" spans="1:2" x14ac:dyDescent="0.35">
      <c r="A987" s="3">
        <v>2016</v>
      </c>
      <c r="B987" t="s">
        <v>674</v>
      </c>
    </row>
    <row r="988" spans="1:2" x14ac:dyDescent="0.35">
      <c r="A988" s="3">
        <v>2016</v>
      </c>
      <c r="B988" t="s">
        <v>1391</v>
      </c>
    </row>
    <row r="989" spans="1:2" x14ac:dyDescent="0.35">
      <c r="A989" s="3">
        <v>2016</v>
      </c>
      <c r="B989" t="s">
        <v>1144</v>
      </c>
    </row>
    <row r="990" spans="1:2" x14ac:dyDescent="0.35">
      <c r="A990" s="3">
        <v>2016</v>
      </c>
      <c r="B990" t="s">
        <v>1560</v>
      </c>
    </row>
    <row r="991" spans="1:2" x14ac:dyDescent="0.35">
      <c r="A991" s="3">
        <v>2016</v>
      </c>
      <c r="B991" t="s">
        <v>302</v>
      </c>
    </row>
    <row r="992" spans="1:2" x14ac:dyDescent="0.35">
      <c r="A992" s="3">
        <v>2016</v>
      </c>
      <c r="B992" t="s">
        <v>2069</v>
      </c>
    </row>
    <row r="993" spans="1:2" x14ac:dyDescent="0.35">
      <c r="A993" s="3">
        <v>2016</v>
      </c>
      <c r="B993" t="s">
        <v>2072</v>
      </c>
    </row>
    <row r="994" spans="1:2" x14ac:dyDescent="0.35">
      <c r="A994" s="3">
        <v>2016</v>
      </c>
      <c r="B994" t="s">
        <v>1253</v>
      </c>
    </row>
    <row r="995" spans="1:2" x14ac:dyDescent="0.35">
      <c r="A995" s="3">
        <v>2016</v>
      </c>
      <c r="B995" t="s">
        <v>2074</v>
      </c>
    </row>
    <row r="996" spans="1:2" x14ac:dyDescent="0.35">
      <c r="A996" s="3">
        <v>2016</v>
      </c>
      <c r="B996" t="s">
        <v>2076</v>
      </c>
    </row>
    <row r="997" spans="1:2" x14ac:dyDescent="0.35">
      <c r="A997" s="3">
        <v>2016</v>
      </c>
      <c r="B997" t="s">
        <v>2077</v>
      </c>
    </row>
    <row r="998" spans="1:2" x14ac:dyDescent="0.35">
      <c r="A998" s="3">
        <v>2016</v>
      </c>
      <c r="B998" t="s">
        <v>282</v>
      </c>
    </row>
    <row r="999" spans="1:2" x14ac:dyDescent="0.35">
      <c r="A999" s="3">
        <v>2016</v>
      </c>
      <c r="B999" t="s">
        <v>1539</v>
      </c>
    </row>
    <row r="1000" spans="1:2" x14ac:dyDescent="0.35">
      <c r="A1000" s="3">
        <v>2016</v>
      </c>
      <c r="B1000" t="s">
        <v>2081</v>
      </c>
    </row>
    <row r="1001" spans="1:2" x14ac:dyDescent="0.35">
      <c r="A1001" s="3">
        <v>2016</v>
      </c>
      <c r="B1001" t="s">
        <v>1410</v>
      </c>
    </row>
    <row r="1002" spans="1:2" x14ac:dyDescent="0.35">
      <c r="A1002" s="3">
        <v>2016</v>
      </c>
      <c r="B1002" t="s">
        <v>2087</v>
      </c>
    </row>
    <row r="1003" spans="1:2" x14ac:dyDescent="0.35">
      <c r="A1003" s="3">
        <v>2016</v>
      </c>
      <c r="B1003" t="s">
        <v>356</v>
      </c>
    </row>
    <row r="1004" spans="1:2" x14ac:dyDescent="0.35">
      <c r="A1004" s="3">
        <v>2016</v>
      </c>
      <c r="B1004" t="s">
        <v>546</v>
      </c>
    </row>
    <row r="1005" spans="1:2" x14ac:dyDescent="0.35">
      <c r="A1005" s="3">
        <v>2016</v>
      </c>
      <c r="B1005" t="s">
        <v>2091</v>
      </c>
    </row>
    <row r="1006" spans="1:2" x14ac:dyDescent="0.35">
      <c r="A1006" s="3">
        <v>2016</v>
      </c>
      <c r="B1006" t="s">
        <v>667</v>
      </c>
    </row>
    <row r="1007" spans="1:2" x14ac:dyDescent="0.35">
      <c r="A1007" s="3">
        <v>2016</v>
      </c>
      <c r="B1007" t="s">
        <v>784</v>
      </c>
    </row>
    <row r="1008" spans="1:2" x14ac:dyDescent="0.35">
      <c r="A1008" s="3">
        <v>2016</v>
      </c>
      <c r="B1008" t="s">
        <v>2093</v>
      </c>
    </row>
    <row r="1009" spans="1:2" x14ac:dyDescent="0.35">
      <c r="A1009" s="3">
        <v>2016</v>
      </c>
      <c r="B1009" t="s">
        <v>1018</v>
      </c>
    </row>
    <row r="1010" spans="1:2" x14ac:dyDescent="0.35">
      <c r="A1010" s="3">
        <v>2017</v>
      </c>
      <c r="B1010" t="s">
        <v>879</v>
      </c>
    </row>
    <row r="1011" spans="1:2" x14ac:dyDescent="0.35">
      <c r="A1011" s="3">
        <v>2017</v>
      </c>
      <c r="B1011" t="s">
        <v>282</v>
      </c>
    </row>
    <row r="1012" spans="1:2" x14ac:dyDescent="0.35">
      <c r="A1012" s="3">
        <v>2017</v>
      </c>
      <c r="B1012" t="s">
        <v>463</v>
      </c>
    </row>
    <row r="1013" spans="1:2" x14ac:dyDescent="0.35">
      <c r="A1013" s="3">
        <v>2017</v>
      </c>
      <c r="B1013" t="s">
        <v>2099</v>
      </c>
    </row>
    <row r="1014" spans="1:2" x14ac:dyDescent="0.35">
      <c r="A1014" s="3">
        <v>2017</v>
      </c>
      <c r="B1014" t="s">
        <v>1505</v>
      </c>
    </row>
    <row r="1015" spans="1:2" x14ac:dyDescent="0.35">
      <c r="A1015" s="3">
        <v>2017</v>
      </c>
      <c r="B1015" t="s">
        <v>653</v>
      </c>
    </row>
    <row r="1016" spans="1:2" x14ac:dyDescent="0.35">
      <c r="A1016" s="3">
        <v>2017</v>
      </c>
      <c r="B1016" t="s">
        <v>2101</v>
      </c>
    </row>
    <row r="1017" spans="1:2" x14ac:dyDescent="0.35">
      <c r="A1017" s="3">
        <v>2017</v>
      </c>
      <c r="B1017" t="s">
        <v>2103</v>
      </c>
    </row>
    <row r="1018" spans="1:2" x14ac:dyDescent="0.35">
      <c r="A1018" s="3">
        <v>2017</v>
      </c>
      <c r="B1018" t="s">
        <v>1697</v>
      </c>
    </row>
    <row r="1019" spans="1:2" x14ac:dyDescent="0.35">
      <c r="A1019" s="3">
        <v>2017</v>
      </c>
      <c r="B1019" t="s">
        <v>1292</v>
      </c>
    </row>
    <row r="1020" spans="1:2" x14ac:dyDescent="0.35">
      <c r="A1020" s="3">
        <v>2017</v>
      </c>
      <c r="B1020" t="s">
        <v>1940</v>
      </c>
    </row>
    <row r="1021" spans="1:2" x14ac:dyDescent="0.35">
      <c r="A1021" s="3">
        <v>2017</v>
      </c>
      <c r="B1021" t="s">
        <v>1772</v>
      </c>
    </row>
    <row r="1022" spans="1:2" x14ac:dyDescent="0.35">
      <c r="A1022" s="3">
        <v>2017</v>
      </c>
      <c r="B1022" t="s">
        <v>1283</v>
      </c>
    </row>
    <row r="1023" spans="1:2" x14ac:dyDescent="0.35">
      <c r="A1023" s="3">
        <v>2017</v>
      </c>
      <c r="B1023" t="s">
        <v>1150</v>
      </c>
    </row>
    <row r="1024" spans="1:2" x14ac:dyDescent="0.35">
      <c r="A1024" s="3">
        <v>2017</v>
      </c>
      <c r="B1024" t="s">
        <v>2106</v>
      </c>
    </row>
    <row r="1025" spans="1:2" x14ac:dyDescent="0.35">
      <c r="A1025" s="3">
        <v>2017</v>
      </c>
      <c r="B1025" t="s">
        <v>1664</v>
      </c>
    </row>
    <row r="1026" spans="1:2" x14ac:dyDescent="0.35">
      <c r="A1026" s="3">
        <v>2017</v>
      </c>
      <c r="B1026" t="s">
        <v>1575</v>
      </c>
    </row>
    <row r="1027" spans="1:2" x14ac:dyDescent="0.35">
      <c r="A1027" s="3">
        <v>2017</v>
      </c>
      <c r="B1027" t="s">
        <v>2107</v>
      </c>
    </row>
    <row r="1028" spans="1:2" x14ac:dyDescent="0.35">
      <c r="A1028" s="3">
        <v>2017</v>
      </c>
      <c r="B1028" t="s">
        <v>2010</v>
      </c>
    </row>
    <row r="1029" spans="1:2" x14ac:dyDescent="0.35">
      <c r="A1029" s="3">
        <v>2017</v>
      </c>
      <c r="B1029" t="s">
        <v>325</v>
      </c>
    </row>
    <row r="1030" spans="1:2" x14ac:dyDescent="0.35">
      <c r="A1030" s="3">
        <v>2017</v>
      </c>
      <c r="B1030" t="s">
        <v>2109</v>
      </c>
    </row>
    <row r="1031" spans="1:2" x14ac:dyDescent="0.35">
      <c r="A1031" s="3">
        <v>2017</v>
      </c>
      <c r="B1031" t="s">
        <v>2110</v>
      </c>
    </row>
    <row r="1032" spans="1:2" x14ac:dyDescent="0.35">
      <c r="A1032" s="3">
        <v>2017</v>
      </c>
      <c r="B1032" t="s">
        <v>839</v>
      </c>
    </row>
    <row r="1033" spans="1:2" x14ac:dyDescent="0.35">
      <c r="A1033" s="3">
        <v>2017</v>
      </c>
      <c r="B1033" t="s">
        <v>1066</v>
      </c>
    </row>
    <row r="1034" spans="1:2" x14ac:dyDescent="0.35">
      <c r="A1034" s="3">
        <v>2017</v>
      </c>
      <c r="B1034" t="s">
        <v>2112</v>
      </c>
    </row>
    <row r="1035" spans="1:2" x14ac:dyDescent="0.35">
      <c r="A1035" s="3">
        <v>2017</v>
      </c>
      <c r="B1035" t="s">
        <v>2114</v>
      </c>
    </row>
    <row r="1036" spans="1:2" x14ac:dyDescent="0.35">
      <c r="A1036" s="3">
        <v>2017</v>
      </c>
      <c r="B1036" t="s">
        <v>179</v>
      </c>
    </row>
    <row r="1037" spans="1:2" x14ac:dyDescent="0.35">
      <c r="A1037" s="3">
        <v>2017</v>
      </c>
      <c r="B1037" t="s">
        <v>1598</v>
      </c>
    </row>
    <row r="1038" spans="1:2" x14ac:dyDescent="0.35">
      <c r="A1038" s="3">
        <v>2017</v>
      </c>
      <c r="B1038" t="s">
        <v>1161</v>
      </c>
    </row>
    <row r="1039" spans="1:2" x14ac:dyDescent="0.35">
      <c r="A1039" s="3">
        <v>2017</v>
      </c>
      <c r="B1039" t="s">
        <v>110</v>
      </c>
    </row>
    <row r="1040" spans="1:2" x14ac:dyDescent="0.35">
      <c r="A1040" s="3">
        <v>2017</v>
      </c>
      <c r="B1040" t="s">
        <v>1818</v>
      </c>
    </row>
    <row r="1041" spans="1:2" x14ac:dyDescent="0.35">
      <c r="A1041" s="3">
        <v>2017</v>
      </c>
      <c r="B1041" t="s">
        <v>2118</v>
      </c>
    </row>
    <row r="1042" spans="1:2" x14ac:dyDescent="0.35">
      <c r="A1042" s="3">
        <v>2017</v>
      </c>
      <c r="B1042" t="s">
        <v>1196</v>
      </c>
    </row>
    <row r="1043" spans="1:2" x14ac:dyDescent="0.35">
      <c r="A1043" s="3">
        <v>2017</v>
      </c>
      <c r="B1043" t="s">
        <v>1101</v>
      </c>
    </row>
    <row r="1044" spans="1:2" x14ac:dyDescent="0.35">
      <c r="A1044" s="3">
        <v>2017</v>
      </c>
      <c r="B1044" t="s">
        <v>848</v>
      </c>
    </row>
    <row r="1045" spans="1:2" x14ac:dyDescent="0.35">
      <c r="A1045" s="3">
        <v>2017</v>
      </c>
      <c r="B1045" t="s">
        <v>1260</v>
      </c>
    </row>
    <row r="1046" spans="1:2" x14ac:dyDescent="0.35">
      <c r="A1046" s="3">
        <v>2017</v>
      </c>
      <c r="B1046" t="s">
        <v>845</v>
      </c>
    </row>
    <row r="1047" spans="1:2" x14ac:dyDescent="0.35">
      <c r="A1047" s="3">
        <v>2017</v>
      </c>
      <c r="B1047" t="s">
        <v>787</v>
      </c>
    </row>
    <row r="1048" spans="1:2" x14ac:dyDescent="0.35">
      <c r="A1048" s="3">
        <v>2017</v>
      </c>
      <c r="B1048" t="s">
        <v>1623</v>
      </c>
    </row>
    <row r="1049" spans="1:2" x14ac:dyDescent="0.35">
      <c r="A1049" s="3">
        <v>2017</v>
      </c>
      <c r="B1049" t="s">
        <v>1509</v>
      </c>
    </row>
    <row r="1050" spans="1:2" x14ac:dyDescent="0.35">
      <c r="A1050" s="3">
        <v>2017</v>
      </c>
      <c r="B1050" t="s">
        <v>664</v>
      </c>
    </row>
    <row r="1051" spans="1:2" x14ac:dyDescent="0.35">
      <c r="A1051" s="3">
        <v>2017</v>
      </c>
      <c r="B1051" t="s">
        <v>1320</v>
      </c>
    </row>
    <row r="1052" spans="1:2" x14ac:dyDescent="0.35">
      <c r="A1052" s="3">
        <v>2017</v>
      </c>
      <c r="B1052" t="s">
        <v>2124</v>
      </c>
    </row>
    <row r="1053" spans="1:2" x14ac:dyDescent="0.35">
      <c r="A1053" s="3">
        <v>2017</v>
      </c>
      <c r="B1053" t="s">
        <v>1794</v>
      </c>
    </row>
    <row r="1054" spans="1:2" x14ac:dyDescent="0.35">
      <c r="A1054" s="3">
        <v>2017</v>
      </c>
      <c r="B1054" t="s">
        <v>1232</v>
      </c>
    </row>
    <row r="1055" spans="1:2" x14ac:dyDescent="0.35">
      <c r="A1055" s="3">
        <v>2017</v>
      </c>
      <c r="B1055" t="s">
        <v>784</v>
      </c>
    </row>
    <row r="1056" spans="1:2" x14ac:dyDescent="0.35">
      <c r="A1056" s="3">
        <v>2017</v>
      </c>
      <c r="B1056" t="s">
        <v>2128</v>
      </c>
    </row>
    <row r="1057" spans="1:2" x14ac:dyDescent="0.35">
      <c r="A1057" s="3">
        <v>2017</v>
      </c>
      <c r="B1057" t="s">
        <v>1247</v>
      </c>
    </row>
    <row r="1058" spans="1:2" x14ac:dyDescent="0.35">
      <c r="A1058" s="3">
        <v>2017</v>
      </c>
      <c r="B1058" t="s">
        <v>870</v>
      </c>
    </row>
    <row r="1059" spans="1:2" x14ac:dyDescent="0.35">
      <c r="A1059" s="3">
        <v>2017</v>
      </c>
      <c r="B1059" t="s">
        <v>1792</v>
      </c>
    </row>
    <row r="1060" spans="1:2" x14ac:dyDescent="0.35">
      <c r="A1060" s="3">
        <v>2017</v>
      </c>
      <c r="B1060" t="s">
        <v>2129</v>
      </c>
    </row>
    <row r="1061" spans="1:2" x14ac:dyDescent="0.35">
      <c r="A1061" s="3">
        <v>2017</v>
      </c>
      <c r="B1061" t="s">
        <v>1310</v>
      </c>
    </row>
    <row r="1062" spans="1:2" x14ac:dyDescent="0.35">
      <c r="A1062" s="3">
        <v>2017</v>
      </c>
      <c r="B1062" t="s">
        <v>1856</v>
      </c>
    </row>
    <row r="1063" spans="1:2" x14ac:dyDescent="0.35">
      <c r="A1063" s="3">
        <v>2017</v>
      </c>
      <c r="B1063" t="s">
        <v>1922</v>
      </c>
    </row>
    <row r="1064" spans="1:2" x14ac:dyDescent="0.35">
      <c r="A1064" s="3">
        <v>2017</v>
      </c>
      <c r="B1064" t="s">
        <v>621</v>
      </c>
    </row>
    <row r="1065" spans="1:2" x14ac:dyDescent="0.35">
      <c r="A1065" s="3">
        <v>2017</v>
      </c>
      <c r="B1065" t="s">
        <v>1725</v>
      </c>
    </row>
    <row r="1066" spans="1:2" x14ac:dyDescent="0.35">
      <c r="A1066" s="3">
        <v>2017</v>
      </c>
      <c r="B1066" t="s">
        <v>2077</v>
      </c>
    </row>
    <row r="1067" spans="1:2" x14ac:dyDescent="0.35">
      <c r="A1067" s="3">
        <v>2017</v>
      </c>
      <c r="B1067" t="s">
        <v>942</v>
      </c>
    </row>
    <row r="1068" spans="1:2" x14ac:dyDescent="0.35">
      <c r="A1068" s="3">
        <v>2017</v>
      </c>
      <c r="B1068" t="s">
        <v>1020</v>
      </c>
    </row>
    <row r="1069" spans="1:2" x14ac:dyDescent="0.35">
      <c r="A1069" s="3">
        <v>2017</v>
      </c>
      <c r="B1069" t="s">
        <v>2136</v>
      </c>
    </row>
    <row r="1070" spans="1:2" x14ac:dyDescent="0.35">
      <c r="A1070" s="3">
        <v>2017</v>
      </c>
      <c r="B1070" t="s">
        <v>586</v>
      </c>
    </row>
    <row r="1071" spans="1:2" x14ac:dyDescent="0.35">
      <c r="A1071" s="3">
        <v>2017</v>
      </c>
      <c r="B1071" t="s">
        <v>1720</v>
      </c>
    </row>
    <row r="1072" spans="1:2" x14ac:dyDescent="0.35">
      <c r="A1072" s="3">
        <v>2017</v>
      </c>
      <c r="B1072" t="s">
        <v>1871</v>
      </c>
    </row>
    <row r="1073" spans="1:2" x14ac:dyDescent="0.35">
      <c r="A1073" s="3">
        <v>2017</v>
      </c>
      <c r="B1073" t="s">
        <v>1330</v>
      </c>
    </row>
    <row r="1074" spans="1:2" x14ac:dyDescent="0.35">
      <c r="A1074" s="3">
        <v>2017</v>
      </c>
      <c r="B1074" t="s">
        <v>1155</v>
      </c>
    </row>
    <row r="1075" spans="1:2" x14ac:dyDescent="0.35">
      <c r="A1075" s="3">
        <v>2017</v>
      </c>
      <c r="B1075" t="s">
        <v>254</v>
      </c>
    </row>
    <row r="1076" spans="1:2" x14ac:dyDescent="0.35">
      <c r="A1076" s="3">
        <v>2017</v>
      </c>
      <c r="B1076" t="s">
        <v>2137</v>
      </c>
    </row>
    <row r="1077" spans="1:2" x14ac:dyDescent="0.35">
      <c r="A1077" s="3">
        <v>2017</v>
      </c>
      <c r="B1077" t="s">
        <v>1205</v>
      </c>
    </row>
    <row r="1078" spans="1:2" x14ac:dyDescent="0.35">
      <c r="A1078" s="3">
        <v>2017</v>
      </c>
      <c r="B1078" t="s">
        <v>309</v>
      </c>
    </row>
    <row r="1079" spans="1:2" x14ac:dyDescent="0.35">
      <c r="A1079" s="3">
        <v>2017</v>
      </c>
      <c r="B1079" t="s">
        <v>177</v>
      </c>
    </row>
    <row r="1080" spans="1:2" x14ac:dyDescent="0.35">
      <c r="A1080" s="3">
        <v>2017</v>
      </c>
      <c r="B1080" t="s">
        <v>1109</v>
      </c>
    </row>
    <row r="1081" spans="1:2" x14ac:dyDescent="0.35">
      <c r="A1081" s="3">
        <v>2017</v>
      </c>
      <c r="B1081" t="s">
        <v>2138</v>
      </c>
    </row>
    <row r="1082" spans="1:2" x14ac:dyDescent="0.35">
      <c r="A1082" s="3">
        <v>2017</v>
      </c>
      <c r="B1082" t="s">
        <v>74</v>
      </c>
    </row>
    <row r="1083" spans="1:2" x14ac:dyDescent="0.35">
      <c r="A1083" s="3">
        <v>2017</v>
      </c>
      <c r="B1083" t="s">
        <v>2140</v>
      </c>
    </row>
    <row r="1084" spans="1:2" x14ac:dyDescent="0.35">
      <c r="A1084" s="3">
        <v>2017</v>
      </c>
      <c r="B1084" t="s">
        <v>1626</v>
      </c>
    </row>
    <row r="1085" spans="1:2" x14ac:dyDescent="0.35">
      <c r="A1085" s="3">
        <v>2017</v>
      </c>
      <c r="B1085" t="s">
        <v>1756</v>
      </c>
    </row>
    <row r="1086" spans="1:2" x14ac:dyDescent="0.35">
      <c r="A1086" s="3">
        <v>2017</v>
      </c>
      <c r="B1086" t="s">
        <v>2144</v>
      </c>
    </row>
    <row r="1087" spans="1:2" x14ac:dyDescent="0.35">
      <c r="A1087" s="3">
        <v>2017</v>
      </c>
      <c r="B1087" t="s">
        <v>2146</v>
      </c>
    </row>
    <row r="1088" spans="1:2" x14ac:dyDescent="0.35">
      <c r="A1088" s="3">
        <v>2017</v>
      </c>
      <c r="B1088" t="s">
        <v>2148</v>
      </c>
    </row>
    <row r="1089" spans="1:2" x14ac:dyDescent="0.35">
      <c r="A1089" s="3">
        <v>2017</v>
      </c>
      <c r="B1089" t="s">
        <v>267</v>
      </c>
    </row>
    <row r="1090" spans="1:2" x14ac:dyDescent="0.35">
      <c r="A1090" s="3">
        <v>2017</v>
      </c>
      <c r="B1090" t="s">
        <v>1469</v>
      </c>
    </row>
    <row r="1091" spans="1:2" x14ac:dyDescent="0.35">
      <c r="A1091" s="3">
        <v>2017</v>
      </c>
      <c r="B1091" t="s">
        <v>1841</v>
      </c>
    </row>
    <row r="1092" spans="1:2" x14ac:dyDescent="0.35">
      <c r="A1092" s="3">
        <v>2017</v>
      </c>
      <c r="B1092" t="s">
        <v>1303</v>
      </c>
    </row>
    <row r="1093" spans="1:2" x14ac:dyDescent="0.35">
      <c r="A1093" s="3">
        <v>2017</v>
      </c>
      <c r="B1093" t="s">
        <v>1406</v>
      </c>
    </row>
    <row r="1094" spans="1:2" x14ac:dyDescent="0.35">
      <c r="A1094" s="3">
        <v>2017</v>
      </c>
      <c r="B1094" t="s">
        <v>1012</v>
      </c>
    </row>
    <row r="1095" spans="1:2" x14ac:dyDescent="0.35">
      <c r="A1095" s="3">
        <v>2017</v>
      </c>
      <c r="B1095" t="s">
        <v>2151</v>
      </c>
    </row>
    <row r="1096" spans="1:2" x14ac:dyDescent="0.35">
      <c r="A1096" s="3">
        <v>2017</v>
      </c>
      <c r="B1096" t="s">
        <v>566</v>
      </c>
    </row>
    <row r="1097" spans="1:2" x14ac:dyDescent="0.35">
      <c r="A1097" s="3">
        <v>2017</v>
      </c>
      <c r="B1097" t="s">
        <v>1228</v>
      </c>
    </row>
    <row r="1098" spans="1:2" x14ac:dyDescent="0.35">
      <c r="A1098" s="3">
        <v>2017</v>
      </c>
      <c r="B1098" t="s">
        <v>1831</v>
      </c>
    </row>
    <row r="1099" spans="1:2" x14ac:dyDescent="0.35">
      <c r="A1099" s="3">
        <v>2017</v>
      </c>
      <c r="B1099" t="s">
        <v>2155</v>
      </c>
    </row>
    <row r="1100" spans="1:2" x14ac:dyDescent="0.35">
      <c r="A1100" s="3">
        <v>2017</v>
      </c>
      <c r="B1100" t="s">
        <v>988</v>
      </c>
    </row>
    <row r="1101" spans="1:2" x14ac:dyDescent="0.35">
      <c r="A1101" s="3">
        <v>2017</v>
      </c>
      <c r="B1101" t="s">
        <v>936</v>
      </c>
    </row>
    <row r="1102" spans="1:2" x14ac:dyDescent="0.35">
      <c r="A1102" s="3">
        <v>2017</v>
      </c>
      <c r="B1102" t="s">
        <v>2159</v>
      </c>
    </row>
    <row r="1103" spans="1:2" x14ac:dyDescent="0.35">
      <c r="A1103" s="3">
        <v>2017</v>
      </c>
      <c r="B1103" t="s">
        <v>2161</v>
      </c>
    </row>
    <row r="1104" spans="1:2" x14ac:dyDescent="0.35">
      <c r="A1104" s="3">
        <v>2017</v>
      </c>
      <c r="B1104" t="s">
        <v>2162</v>
      </c>
    </row>
    <row r="1105" spans="1:2" x14ac:dyDescent="0.35">
      <c r="A1105" s="3">
        <v>2017</v>
      </c>
      <c r="B1105" t="s">
        <v>1537</v>
      </c>
    </row>
    <row r="1106" spans="1:2" x14ac:dyDescent="0.35">
      <c r="A1106" s="3">
        <v>2017</v>
      </c>
      <c r="B1106" t="s">
        <v>1317</v>
      </c>
    </row>
    <row r="1107" spans="1:2" x14ac:dyDescent="0.35">
      <c r="A1107" s="3">
        <v>2017</v>
      </c>
      <c r="B1107" t="s">
        <v>2165</v>
      </c>
    </row>
    <row r="1108" spans="1:2" x14ac:dyDescent="0.35">
      <c r="A1108" s="3">
        <v>2017</v>
      </c>
      <c r="B1108" t="s">
        <v>734</v>
      </c>
    </row>
    <row r="1109" spans="1:2" x14ac:dyDescent="0.35">
      <c r="A1109" s="3">
        <v>2017</v>
      </c>
      <c r="B1109" t="s">
        <v>1957</v>
      </c>
    </row>
    <row r="1110" spans="1:2" x14ac:dyDescent="0.35">
      <c r="A1110" s="3">
        <v>2017</v>
      </c>
      <c r="B1110" t="s">
        <v>2009</v>
      </c>
    </row>
    <row r="1111" spans="1:2" x14ac:dyDescent="0.35">
      <c r="A1111" s="3">
        <v>2017</v>
      </c>
      <c r="B1111" t="s">
        <v>1420</v>
      </c>
    </row>
    <row r="1112" spans="1:2" x14ac:dyDescent="0.35">
      <c r="A1112" s="3">
        <v>2017</v>
      </c>
      <c r="B1112" t="s">
        <v>1609</v>
      </c>
    </row>
    <row r="1113" spans="1:2" x14ac:dyDescent="0.35">
      <c r="A1113" s="3">
        <v>2017</v>
      </c>
      <c r="B1113" t="s">
        <v>1268</v>
      </c>
    </row>
    <row r="1114" spans="1:2" x14ac:dyDescent="0.35">
      <c r="A1114" s="3">
        <v>2017</v>
      </c>
      <c r="B1114" t="s">
        <v>2171</v>
      </c>
    </row>
    <row r="1115" spans="1:2" x14ac:dyDescent="0.35">
      <c r="A1115" s="3">
        <v>2017</v>
      </c>
      <c r="B1115" t="s">
        <v>2172</v>
      </c>
    </row>
    <row r="1116" spans="1:2" x14ac:dyDescent="0.35">
      <c r="A1116" s="3">
        <v>2017</v>
      </c>
      <c r="B1116" t="s">
        <v>502</v>
      </c>
    </row>
    <row r="1117" spans="1:2" x14ac:dyDescent="0.35">
      <c r="A1117" s="3">
        <v>2017</v>
      </c>
      <c r="B1117" t="s">
        <v>912</v>
      </c>
    </row>
    <row r="1118" spans="1:2" x14ac:dyDescent="0.35">
      <c r="A1118" s="3">
        <v>2017</v>
      </c>
      <c r="B1118" t="s">
        <v>2174</v>
      </c>
    </row>
    <row r="1119" spans="1:2" x14ac:dyDescent="0.35">
      <c r="A1119" s="3">
        <v>2017</v>
      </c>
      <c r="B1119" t="s">
        <v>2175</v>
      </c>
    </row>
    <row r="1120" spans="1:2" x14ac:dyDescent="0.35">
      <c r="A1120" s="3">
        <v>2017</v>
      </c>
      <c r="B1120" t="s">
        <v>573</v>
      </c>
    </row>
    <row r="1121" spans="1:2" x14ac:dyDescent="0.35">
      <c r="A1121" s="3">
        <v>2017</v>
      </c>
      <c r="B1121" t="s">
        <v>1645</v>
      </c>
    </row>
    <row r="1122" spans="1:2" x14ac:dyDescent="0.35">
      <c r="A1122" s="3">
        <v>2017</v>
      </c>
      <c r="B1122" t="s">
        <v>40</v>
      </c>
    </row>
    <row r="1123" spans="1:2" x14ac:dyDescent="0.35">
      <c r="A1123" s="3">
        <v>2017</v>
      </c>
      <c r="B1123" t="s">
        <v>1275</v>
      </c>
    </row>
    <row r="1124" spans="1:2" x14ac:dyDescent="0.35">
      <c r="A1124" s="3">
        <v>2017</v>
      </c>
      <c r="B1124" t="s">
        <v>985</v>
      </c>
    </row>
    <row r="1125" spans="1:2" x14ac:dyDescent="0.35">
      <c r="A1125" s="3">
        <v>2017</v>
      </c>
      <c r="B1125" t="s">
        <v>445</v>
      </c>
    </row>
    <row r="1126" spans="1:2" x14ac:dyDescent="0.35">
      <c r="A1126" s="3">
        <v>2017</v>
      </c>
      <c r="B1126" t="s">
        <v>1207</v>
      </c>
    </row>
    <row r="1127" spans="1:2" x14ac:dyDescent="0.35">
      <c r="A1127" s="3">
        <v>2017</v>
      </c>
      <c r="B1127" t="s">
        <v>2179</v>
      </c>
    </row>
    <row r="1128" spans="1:2" x14ac:dyDescent="0.35">
      <c r="A1128" s="3">
        <v>2017</v>
      </c>
      <c r="B1128" t="s">
        <v>210</v>
      </c>
    </row>
    <row r="1129" spans="1:2" x14ac:dyDescent="0.35">
      <c r="A1129" s="3">
        <v>2017</v>
      </c>
      <c r="B1129" t="s">
        <v>44</v>
      </c>
    </row>
    <row r="1130" spans="1:2" x14ac:dyDescent="0.35">
      <c r="A1130" s="3">
        <v>2017</v>
      </c>
      <c r="B1130" t="s">
        <v>534</v>
      </c>
    </row>
    <row r="1131" spans="1:2" x14ac:dyDescent="0.35">
      <c r="A1131" s="3">
        <v>2017</v>
      </c>
      <c r="B1131" t="s">
        <v>2181</v>
      </c>
    </row>
    <row r="1132" spans="1:2" x14ac:dyDescent="0.35">
      <c r="A1132" s="3">
        <v>2017</v>
      </c>
      <c r="B1132" t="s">
        <v>246</v>
      </c>
    </row>
    <row r="1133" spans="1:2" x14ac:dyDescent="0.35">
      <c r="A1133" s="3">
        <v>2017</v>
      </c>
      <c r="B1133" t="s">
        <v>31</v>
      </c>
    </row>
    <row r="1134" spans="1:2" x14ac:dyDescent="0.35">
      <c r="A1134" s="3">
        <v>2017</v>
      </c>
      <c r="B1134" t="s">
        <v>1706</v>
      </c>
    </row>
    <row r="1135" spans="1:2" x14ac:dyDescent="0.35">
      <c r="A1135" s="3">
        <v>2017</v>
      </c>
      <c r="B1135" t="s">
        <v>1713</v>
      </c>
    </row>
    <row r="1136" spans="1:2" x14ac:dyDescent="0.35">
      <c r="A1136" s="3">
        <v>2017</v>
      </c>
      <c r="B1136" t="s">
        <v>286</v>
      </c>
    </row>
    <row r="1137" spans="1:2" x14ac:dyDescent="0.35">
      <c r="A1137" s="3">
        <v>2017</v>
      </c>
      <c r="B1137" t="s">
        <v>562</v>
      </c>
    </row>
    <row r="1138" spans="1:2" x14ac:dyDescent="0.35">
      <c r="A1138" s="3">
        <v>2017</v>
      </c>
      <c r="B1138" t="s">
        <v>2184</v>
      </c>
    </row>
    <row r="1139" spans="1:2" x14ac:dyDescent="0.35">
      <c r="A1139" s="3">
        <v>2017</v>
      </c>
      <c r="B1139" t="s">
        <v>2186</v>
      </c>
    </row>
    <row r="1140" spans="1:2" x14ac:dyDescent="0.35">
      <c r="A1140" s="3">
        <v>2017</v>
      </c>
      <c r="B1140" t="s">
        <v>1695</v>
      </c>
    </row>
    <row r="1141" spans="1:2" x14ac:dyDescent="0.35">
      <c r="A1141" s="3">
        <v>2017</v>
      </c>
      <c r="B1141" t="s">
        <v>2187</v>
      </c>
    </row>
    <row r="1142" spans="1:2" x14ac:dyDescent="0.35">
      <c r="A1142" s="3">
        <v>2017</v>
      </c>
      <c r="B1142" t="s">
        <v>1023</v>
      </c>
    </row>
    <row r="1143" spans="1:2" x14ac:dyDescent="0.35">
      <c r="A1143" s="3">
        <v>2017</v>
      </c>
      <c r="B1143" t="s">
        <v>1716</v>
      </c>
    </row>
    <row r="1144" spans="1:2" x14ac:dyDescent="0.35">
      <c r="A1144" s="3">
        <v>2017</v>
      </c>
      <c r="B1144" t="s">
        <v>453</v>
      </c>
    </row>
    <row r="1145" spans="1:2" x14ac:dyDescent="0.35">
      <c r="A1145" s="3">
        <v>2017</v>
      </c>
      <c r="B1145" t="s">
        <v>2191</v>
      </c>
    </row>
    <row r="1146" spans="1:2" x14ac:dyDescent="0.35">
      <c r="A1146" s="3">
        <v>2017</v>
      </c>
      <c r="B1146" t="s">
        <v>620</v>
      </c>
    </row>
    <row r="1147" spans="1:2" x14ac:dyDescent="0.35">
      <c r="A1147" s="3">
        <v>2017</v>
      </c>
      <c r="B1147" t="s">
        <v>244</v>
      </c>
    </row>
    <row r="1148" spans="1:2" x14ac:dyDescent="0.35">
      <c r="A1148" s="3">
        <v>2017</v>
      </c>
      <c r="B1148" t="s">
        <v>2193</v>
      </c>
    </row>
    <row r="1149" spans="1:2" x14ac:dyDescent="0.35">
      <c r="A1149" s="3">
        <v>2017</v>
      </c>
      <c r="B1149" t="s">
        <v>2194</v>
      </c>
    </row>
    <row r="1150" spans="1:2" x14ac:dyDescent="0.35">
      <c r="A1150" s="3">
        <v>2017</v>
      </c>
      <c r="B1150" t="s">
        <v>1460</v>
      </c>
    </row>
    <row r="1151" spans="1:2" x14ac:dyDescent="0.35">
      <c r="A1151" s="3">
        <v>2017</v>
      </c>
      <c r="B1151" t="s">
        <v>164</v>
      </c>
    </row>
    <row r="1152" spans="1:2" x14ac:dyDescent="0.35">
      <c r="A1152" s="3">
        <v>2017</v>
      </c>
      <c r="B1152" t="s">
        <v>546</v>
      </c>
    </row>
    <row r="1153" spans="1:2" x14ac:dyDescent="0.35">
      <c r="A1153" s="3">
        <v>2017</v>
      </c>
      <c r="B1153" t="s">
        <v>1909</v>
      </c>
    </row>
    <row r="1154" spans="1:2" x14ac:dyDescent="0.35">
      <c r="A1154" s="3">
        <v>2017</v>
      </c>
      <c r="B1154" t="s">
        <v>418</v>
      </c>
    </row>
    <row r="1155" spans="1:2" x14ac:dyDescent="0.35">
      <c r="A1155" s="3">
        <v>2017</v>
      </c>
      <c r="B1155" t="s">
        <v>1597</v>
      </c>
    </row>
    <row r="1156" spans="1:2" x14ac:dyDescent="0.35">
      <c r="A1156" s="3">
        <v>2017</v>
      </c>
      <c r="B1156" t="s">
        <v>1360</v>
      </c>
    </row>
    <row r="1157" spans="1:2" x14ac:dyDescent="0.35">
      <c r="A1157" s="3">
        <v>2017</v>
      </c>
      <c r="B1157" t="s">
        <v>691</v>
      </c>
    </row>
    <row r="1158" spans="1:2" x14ac:dyDescent="0.35">
      <c r="A1158" s="3">
        <v>2017</v>
      </c>
      <c r="B1158" t="s">
        <v>1104</v>
      </c>
    </row>
    <row r="1159" spans="1:2" x14ac:dyDescent="0.35">
      <c r="A1159" s="3">
        <v>2017</v>
      </c>
      <c r="B1159" t="s">
        <v>2199</v>
      </c>
    </row>
    <row r="1160" spans="1:2" x14ac:dyDescent="0.35">
      <c r="A1160" s="3">
        <v>2017</v>
      </c>
      <c r="B1160" t="s">
        <v>1503</v>
      </c>
    </row>
    <row r="1161" spans="1:2" x14ac:dyDescent="0.35">
      <c r="A1161" s="3">
        <v>2017</v>
      </c>
      <c r="B1161" t="s">
        <v>1175</v>
      </c>
    </row>
    <row r="1162" spans="1:2" x14ac:dyDescent="0.35">
      <c r="A1162" s="3">
        <v>2017</v>
      </c>
      <c r="B1162" t="s">
        <v>577</v>
      </c>
    </row>
    <row r="1163" spans="1:2" x14ac:dyDescent="0.35">
      <c r="A1163" s="3">
        <v>2017</v>
      </c>
      <c r="B1163" t="s">
        <v>1400</v>
      </c>
    </row>
    <row r="1164" spans="1:2" x14ac:dyDescent="0.35">
      <c r="A1164" s="3">
        <v>2017</v>
      </c>
      <c r="B1164" t="s">
        <v>1882</v>
      </c>
    </row>
    <row r="1165" spans="1:2" x14ac:dyDescent="0.35">
      <c r="A1165" s="3">
        <v>2017</v>
      </c>
      <c r="B1165" t="s">
        <v>957</v>
      </c>
    </row>
    <row r="1166" spans="1:2" x14ac:dyDescent="0.35">
      <c r="A1166" s="3">
        <v>2017</v>
      </c>
      <c r="B1166" t="s">
        <v>1869</v>
      </c>
    </row>
    <row r="1167" spans="1:2" x14ac:dyDescent="0.35">
      <c r="A1167" s="3">
        <v>2017</v>
      </c>
      <c r="B1167" t="s">
        <v>2203</v>
      </c>
    </row>
    <row r="1168" spans="1:2" x14ac:dyDescent="0.35">
      <c r="A1168" s="3">
        <v>2017</v>
      </c>
      <c r="B1168" t="s">
        <v>2205</v>
      </c>
    </row>
    <row r="1169" spans="1:2" x14ac:dyDescent="0.35">
      <c r="A1169" s="3">
        <v>2017</v>
      </c>
      <c r="B1169" t="s">
        <v>142</v>
      </c>
    </row>
    <row r="1170" spans="1:2" x14ac:dyDescent="0.35">
      <c r="A1170" s="3">
        <v>2017</v>
      </c>
      <c r="B1170" t="s">
        <v>1647</v>
      </c>
    </row>
    <row r="1171" spans="1:2" x14ac:dyDescent="0.35">
      <c r="A1171" s="3">
        <v>2017</v>
      </c>
      <c r="B1171" t="s">
        <v>1447</v>
      </c>
    </row>
    <row r="1172" spans="1:2" x14ac:dyDescent="0.35">
      <c r="A1172" s="3">
        <v>2017</v>
      </c>
      <c r="B1172" t="s">
        <v>977</v>
      </c>
    </row>
    <row r="1173" spans="1:2" x14ac:dyDescent="0.35">
      <c r="A1173" s="3">
        <v>2017</v>
      </c>
      <c r="B1173" t="s">
        <v>222</v>
      </c>
    </row>
    <row r="1174" spans="1:2" x14ac:dyDescent="0.35">
      <c r="A1174" s="3">
        <v>2017</v>
      </c>
      <c r="B1174" t="s">
        <v>1328</v>
      </c>
    </row>
    <row r="1175" spans="1:2" x14ac:dyDescent="0.35">
      <c r="A1175" s="3">
        <v>2017</v>
      </c>
      <c r="B1175" t="s">
        <v>76</v>
      </c>
    </row>
    <row r="1176" spans="1:2" x14ac:dyDescent="0.35">
      <c r="A1176" s="3">
        <v>2017</v>
      </c>
      <c r="B1176" t="s">
        <v>2210</v>
      </c>
    </row>
    <row r="1177" spans="1:2" x14ac:dyDescent="0.35">
      <c r="A1177" s="3">
        <v>2017</v>
      </c>
      <c r="B1177" t="s">
        <v>2211</v>
      </c>
    </row>
    <row r="1178" spans="1:2" x14ac:dyDescent="0.35">
      <c r="A1178" s="3">
        <v>2017</v>
      </c>
      <c r="B1178" t="s">
        <v>1179</v>
      </c>
    </row>
    <row r="1179" spans="1:2" x14ac:dyDescent="0.35">
      <c r="A1179" s="3">
        <v>2017</v>
      </c>
      <c r="B1179" t="s">
        <v>2213</v>
      </c>
    </row>
    <row r="1180" spans="1:2" x14ac:dyDescent="0.35">
      <c r="A1180" s="3">
        <v>2017</v>
      </c>
      <c r="B1180" t="s">
        <v>124</v>
      </c>
    </row>
    <row r="1181" spans="1:2" x14ac:dyDescent="0.35">
      <c r="A1181" s="3">
        <v>2017</v>
      </c>
      <c r="B1181" t="s">
        <v>1432</v>
      </c>
    </row>
    <row r="1182" spans="1:2" x14ac:dyDescent="0.35">
      <c r="A1182" s="3">
        <v>2017</v>
      </c>
      <c r="B1182" t="s">
        <v>272</v>
      </c>
    </row>
    <row r="1183" spans="1:2" x14ac:dyDescent="0.35">
      <c r="A1183" s="3">
        <v>2017</v>
      </c>
      <c r="B1183" t="s">
        <v>1768</v>
      </c>
    </row>
    <row r="1184" spans="1:2" x14ac:dyDescent="0.35">
      <c r="A1184" s="3">
        <v>2017</v>
      </c>
      <c r="B1184" t="s">
        <v>905</v>
      </c>
    </row>
    <row r="1185" spans="1:2" x14ac:dyDescent="0.35">
      <c r="A1185" s="3">
        <v>2017</v>
      </c>
      <c r="B1185" t="s">
        <v>2216</v>
      </c>
    </row>
    <row r="1186" spans="1:2" x14ac:dyDescent="0.35">
      <c r="A1186" s="3">
        <v>2017</v>
      </c>
      <c r="B1186" t="s">
        <v>2217</v>
      </c>
    </row>
    <row r="1187" spans="1:2" x14ac:dyDescent="0.35">
      <c r="A1187" s="3">
        <v>2017</v>
      </c>
      <c r="B1187" t="s">
        <v>2218</v>
      </c>
    </row>
    <row r="1188" spans="1:2" x14ac:dyDescent="0.35">
      <c r="A1188" s="3">
        <v>2017</v>
      </c>
      <c r="B1188" t="s">
        <v>194</v>
      </c>
    </row>
    <row r="1189" spans="1:2" x14ac:dyDescent="0.35">
      <c r="A1189" s="3">
        <v>2017</v>
      </c>
      <c r="B1189" t="s">
        <v>117</v>
      </c>
    </row>
    <row r="1190" spans="1:2" x14ac:dyDescent="0.35">
      <c r="A1190" s="3">
        <v>2017</v>
      </c>
      <c r="B1190" t="s">
        <v>1893</v>
      </c>
    </row>
    <row r="1191" spans="1:2" x14ac:dyDescent="0.35">
      <c r="A1191" s="3">
        <v>2017</v>
      </c>
      <c r="B1191" t="s">
        <v>1994</v>
      </c>
    </row>
    <row r="1192" spans="1:2" x14ac:dyDescent="0.35">
      <c r="A1192" s="3">
        <v>2017</v>
      </c>
      <c r="B1192" t="s">
        <v>106</v>
      </c>
    </row>
    <row r="1193" spans="1:2" x14ac:dyDescent="0.35">
      <c r="A1193" s="3">
        <v>2017</v>
      </c>
      <c r="B1193" t="s">
        <v>1850</v>
      </c>
    </row>
    <row r="1194" spans="1:2" x14ac:dyDescent="0.35">
      <c r="A1194" s="3">
        <v>2017</v>
      </c>
      <c r="B1194" t="s">
        <v>1171</v>
      </c>
    </row>
    <row r="1195" spans="1:2" x14ac:dyDescent="0.35">
      <c r="A1195" s="3">
        <v>2017</v>
      </c>
      <c r="B1195" t="s">
        <v>1653</v>
      </c>
    </row>
    <row r="1196" spans="1:2" x14ac:dyDescent="0.35">
      <c r="A1196" s="3">
        <v>2017</v>
      </c>
      <c r="B1196" t="s">
        <v>1288</v>
      </c>
    </row>
    <row r="1197" spans="1:2" x14ac:dyDescent="0.35">
      <c r="A1197" s="3">
        <v>2017</v>
      </c>
      <c r="B1197" t="s">
        <v>257</v>
      </c>
    </row>
    <row r="1198" spans="1:2" x14ac:dyDescent="0.35">
      <c r="A1198" s="3">
        <v>2017</v>
      </c>
      <c r="B1198" t="s">
        <v>1458</v>
      </c>
    </row>
    <row r="1199" spans="1:2" x14ac:dyDescent="0.35">
      <c r="A1199" s="3">
        <v>2017</v>
      </c>
      <c r="B1199" t="s">
        <v>2225</v>
      </c>
    </row>
    <row r="1200" spans="1:2" x14ac:dyDescent="0.35">
      <c r="A1200" s="3">
        <v>2017</v>
      </c>
      <c r="B1200" t="s">
        <v>777</v>
      </c>
    </row>
    <row r="1201" spans="1:2" x14ac:dyDescent="0.35">
      <c r="A1201" s="3">
        <v>2017</v>
      </c>
      <c r="B1201" t="s">
        <v>1929</v>
      </c>
    </row>
    <row r="1202" spans="1:2" x14ac:dyDescent="0.35">
      <c r="A1202" s="3">
        <v>2017</v>
      </c>
      <c r="B1202" t="s">
        <v>1007</v>
      </c>
    </row>
    <row r="1203" spans="1:2" x14ac:dyDescent="0.35">
      <c r="A1203" s="3">
        <v>2017</v>
      </c>
      <c r="B1203" t="s">
        <v>1838</v>
      </c>
    </row>
    <row r="1204" spans="1:2" x14ac:dyDescent="0.35">
      <c r="A1204" s="3">
        <v>2017</v>
      </c>
      <c r="B1204" t="s">
        <v>229</v>
      </c>
    </row>
    <row r="1205" spans="1:2" x14ac:dyDescent="0.35">
      <c r="A1205" s="3">
        <v>2017</v>
      </c>
      <c r="B1205" t="s">
        <v>401</v>
      </c>
    </row>
    <row r="1206" spans="1:2" x14ac:dyDescent="0.35">
      <c r="A1206" s="3">
        <v>2017</v>
      </c>
      <c r="B1206" t="s">
        <v>460</v>
      </c>
    </row>
    <row r="1207" spans="1:2" x14ac:dyDescent="0.35">
      <c r="A1207" s="3">
        <v>2017</v>
      </c>
      <c r="B1207" t="s">
        <v>614</v>
      </c>
    </row>
    <row r="1208" spans="1:2" x14ac:dyDescent="0.35">
      <c r="A1208" s="3">
        <v>2017</v>
      </c>
      <c r="B1208" t="s">
        <v>2232</v>
      </c>
    </row>
    <row r="1209" spans="1:2" x14ac:dyDescent="0.35">
      <c r="A1209" s="3">
        <v>2017</v>
      </c>
      <c r="B1209" t="s">
        <v>2233</v>
      </c>
    </row>
    <row r="1210" spans="1:2" x14ac:dyDescent="0.35">
      <c r="A1210" s="3">
        <v>2017</v>
      </c>
      <c r="B1210" t="s">
        <v>1253</v>
      </c>
    </row>
    <row r="1211" spans="1:2" x14ac:dyDescent="0.35">
      <c r="A1211" s="3">
        <v>2017</v>
      </c>
      <c r="B1211" t="s">
        <v>424</v>
      </c>
    </row>
    <row r="1212" spans="1:2" x14ac:dyDescent="0.35">
      <c r="A1212" s="3">
        <v>2017</v>
      </c>
      <c r="B1212" t="s">
        <v>432</v>
      </c>
    </row>
    <row r="1213" spans="1:2" x14ac:dyDescent="0.35">
      <c r="A1213" s="3">
        <v>2017</v>
      </c>
      <c r="B1213" t="s">
        <v>497</v>
      </c>
    </row>
    <row r="1214" spans="1:2" x14ac:dyDescent="0.35">
      <c r="A1214" s="3">
        <v>2017</v>
      </c>
      <c r="B1214" t="s">
        <v>1515</v>
      </c>
    </row>
    <row r="1215" spans="1:2" x14ac:dyDescent="0.35">
      <c r="A1215" s="3">
        <v>2017</v>
      </c>
      <c r="B1215" t="s">
        <v>420</v>
      </c>
    </row>
    <row r="1216" spans="1:2" x14ac:dyDescent="0.35">
      <c r="A1216" s="3">
        <v>2017</v>
      </c>
      <c r="B1216" t="s">
        <v>945</v>
      </c>
    </row>
    <row r="1217" spans="1:2" x14ac:dyDescent="0.35">
      <c r="A1217" s="3">
        <v>2017</v>
      </c>
      <c r="B1217" t="s">
        <v>2074</v>
      </c>
    </row>
    <row r="1218" spans="1:2" x14ac:dyDescent="0.35">
      <c r="A1218" s="3">
        <v>2017</v>
      </c>
      <c r="B1218" t="s">
        <v>1398</v>
      </c>
    </row>
    <row r="1219" spans="1:2" x14ac:dyDescent="0.35">
      <c r="A1219" s="3">
        <v>2017</v>
      </c>
      <c r="B1219" t="s">
        <v>227</v>
      </c>
    </row>
    <row r="1220" spans="1:2" x14ac:dyDescent="0.35">
      <c r="A1220" s="3">
        <v>2017</v>
      </c>
      <c r="B1220" t="s">
        <v>1558</v>
      </c>
    </row>
    <row r="1221" spans="1:2" x14ac:dyDescent="0.35">
      <c r="A1221" s="3">
        <v>2017</v>
      </c>
      <c r="B1221" t="s">
        <v>552</v>
      </c>
    </row>
    <row r="1222" spans="1:2" x14ac:dyDescent="0.35">
      <c r="A1222" s="3">
        <v>2017</v>
      </c>
      <c r="B1222" t="s">
        <v>1258</v>
      </c>
    </row>
    <row r="1223" spans="1:2" x14ac:dyDescent="0.35">
      <c r="A1223" s="3">
        <v>2017</v>
      </c>
      <c r="B1223" t="s">
        <v>1898</v>
      </c>
    </row>
    <row r="1224" spans="1:2" x14ac:dyDescent="0.35">
      <c r="A1224" s="3">
        <v>2017</v>
      </c>
      <c r="B1224" t="s">
        <v>1462</v>
      </c>
    </row>
    <row r="1225" spans="1:2" x14ac:dyDescent="0.35">
      <c r="A1225" s="3">
        <v>2017</v>
      </c>
      <c r="B1225" t="s">
        <v>1345</v>
      </c>
    </row>
    <row r="1226" spans="1:2" x14ac:dyDescent="0.35">
      <c r="A1226" s="3">
        <v>2017</v>
      </c>
      <c r="B1226" t="s">
        <v>2245</v>
      </c>
    </row>
    <row r="1227" spans="1:2" x14ac:dyDescent="0.35">
      <c r="A1227" s="3">
        <v>2017</v>
      </c>
      <c r="B1227" t="s">
        <v>2076</v>
      </c>
    </row>
    <row r="1228" spans="1:2" x14ac:dyDescent="0.35">
      <c r="A1228" s="3">
        <v>2017</v>
      </c>
      <c r="B1228" t="s">
        <v>1250</v>
      </c>
    </row>
    <row r="1229" spans="1:2" x14ac:dyDescent="0.35">
      <c r="A1229" s="3">
        <v>2017</v>
      </c>
      <c r="B1229" t="s">
        <v>1297</v>
      </c>
    </row>
    <row r="1230" spans="1:2" x14ac:dyDescent="0.35">
      <c r="A1230" s="3">
        <v>2017</v>
      </c>
      <c r="B1230" t="s">
        <v>1873</v>
      </c>
    </row>
    <row r="1231" spans="1:2" x14ac:dyDescent="0.35">
      <c r="A1231" s="3">
        <v>2017</v>
      </c>
      <c r="B1231" t="s">
        <v>687</v>
      </c>
    </row>
    <row r="1232" spans="1:2" x14ac:dyDescent="0.35">
      <c r="A1232" s="3">
        <v>2017</v>
      </c>
      <c r="B1232" t="s">
        <v>91</v>
      </c>
    </row>
    <row r="1233" spans="1:2" x14ac:dyDescent="0.35">
      <c r="A1233" s="3">
        <v>2017</v>
      </c>
      <c r="B1233" t="s">
        <v>594</v>
      </c>
    </row>
    <row r="1234" spans="1:2" x14ac:dyDescent="0.35">
      <c r="A1234" s="3">
        <v>2017</v>
      </c>
      <c r="B1234" t="s">
        <v>274</v>
      </c>
    </row>
    <row r="1235" spans="1:2" x14ac:dyDescent="0.35">
      <c r="A1235" s="3">
        <v>2017</v>
      </c>
      <c r="B1235" t="s">
        <v>2250</v>
      </c>
    </row>
    <row r="1236" spans="1:2" x14ac:dyDescent="0.35">
      <c r="A1236" s="3">
        <v>2017</v>
      </c>
      <c r="B1236" t="s">
        <v>856</v>
      </c>
    </row>
    <row r="1237" spans="1:2" x14ac:dyDescent="0.35">
      <c r="A1237" s="3">
        <v>2017</v>
      </c>
      <c r="B1237" t="s">
        <v>2253</v>
      </c>
    </row>
    <row r="1238" spans="1:2" x14ac:dyDescent="0.35">
      <c r="A1238" s="3">
        <v>2017</v>
      </c>
      <c r="B1238" t="s">
        <v>1097</v>
      </c>
    </row>
    <row r="1239" spans="1:2" x14ac:dyDescent="0.35">
      <c r="A1239" s="3">
        <v>2017</v>
      </c>
      <c r="B1239" t="s">
        <v>1128</v>
      </c>
    </row>
    <row r="1240" spans="1:2" x14ac:dyDescent="0.35">
      <c r="A1240" s="3">
        <v>2017</v>
      </c>
      <c r="B1240" t="s">
        <v>706</v>
      </c>
    </row>
    <row r="1241" spans="1:2" x14ac:dyDescent="0.35">
      <c r="A1241" s="3">
        <v>2017</v>
      </c>
      <c r="B1241" t="s">
        <v>830</v>
      </c>
    </row>
    <row r="1242" spans="1:2" x14ac:dyDescent="0.35">
      <c r="A1242" s="3">
        <v>2017</v>
      </c>
      <c r="B1242" t="s">
        <v>1368</v>
      </c>
    </row>
    <row r="1243" spans="1:2" x14ac:dyDescent="0.35">
      <c r="A1243" s="3">
        <v>2017</v>
      </c>
      <c r="B1243" t="s">
        <v>2256</v>
      </c>
    </row>
    <row r="1244" spans="1:2" x14ac:dyDescent="0.35">
      <c r="A1244" s="3">
        <v>2017</v>
      </c>
      <c r="B1244" t="s">
        <v>1354</v>
      </c>
    </row>
    <row r="1245" spans="1:2" x14ac:dyDescent="0.35">
      <c r="A1245" s="3">
        <v>2017</v>
      </c>
      <c r="B1245" t="s">
        <v>1164</v>
      </c>
    </row>
    <row r="1246" spans="1:2" x14ac:dyDescent="0.35">
      <c r="A1246" s="3">
        <v>2017</v>
      </c>
      <c r="B1246" t="s">
        <v>189</v>
      </c>
    </row>
    <row r="1247" spans="1:2" x14ac:dyDescent="0.35">
      <c r="A1247" s="3">
        <v>2017</v>
      </c>
      <c r="B1247" t="s">
        <v>2258</v>
      </c>
    </row>
    <row r="1248" spans="1:2" x14ac:dyDescent="0.35">
      <c r="A1248" s="3">
        <v>2017</v>
      </c>
      <c r="B1248" t="s">
        <v>1131</v>
      </c>
    </row>
    <row r="1249" spans="1:2" x14ac:dyDescent="0.35">
      <c r="A1249" s="3">
        <v>2017</v>
      </c>
      <c r="B1249" t="s">
        <v>1964</v>
      </c>
    </row>
    <row r="1250" spans="1:2" x14ac:dyDescent="0.35">
      <c r="A1250" s="3">
        <v>2017</v>
      </c>
      <c r="B1250" t="s">
        <v>342</v>
      </c>
    </row>
    <row r="1251" spans="1:2" x14ac:dyDescent="0.35">
      <c r="A1251" s="3">
        <v>2017</v>
      </c>
      <c r="B1251" t="s">
        <v>1352</v>
      </c>
    </row>
    <row r="1252" spans="1:2" x14ac:dyDescent="0.35">
      <c r="A1252" s="3">
        <v>2017</v>
      </c>
      <c r="B1252" t="s">
        <v>1572</v>
      </c>
    </row>
    <row r="1253" spans="1:2" x14ac:dyDescent="0.35">
      <c r="A1253" s="3">
        <v>2017</v>
      </c>
      <c r="B1253" t="s">
        <v>284</v>
      </c>
    </row>
    <row r="1254" spans="1:2" x14ac:dyDescent="0.35">
      <c r="A1254" s="3">
        <v>2017</v>
      </c>
      <c r="B1254" t="s">
        <v>1999</v>
      </c>
    </row>
    <row r="1255" spans="1:2" x14ac:dyDescent="0.35">
      <c r="A1255" s="3">
        <v>2017</v>
      </c>
      <c r="B1255" t="s">
        <v>669</v>
      </c>
    </row>
    <row r="1256" spans="1:2" x14ac:dyDescent="0.35">
      <c r="A1256" s="3">
        <v>2017</v>
      </c>
      <c r="B1256" t="s">
        <v>1262</v>
      </c>
    </row>
    <row r="1257" spans="1:2" x14ac:dyDescent="0.35">
      <c r="A1257" s="3">
        <v>2017</v>
      </c>
      <c r="B1257" t="s">
        <v>150</v>
      </c>
    </row>
    <row r="1258" spans="1:2" x14ac:dyDescent="0.35">
      <c r="A1258" s="3">
        <v>2017</v>
      </c>
      <c r="B1258" t="s">
        <v>2261</v>
      </c>
    </row>
    <row r="1259" spans="1:2" x14ac:dyDescent="0.35">
      <c r="A1259" s="3">
        <v>2017</v>
      </c>
      <c r="B1259" t="s">
        <v>1661</v>
      </c>
    </row>
    <row r="1260" spans="1:2" x14ac:dyDescent="0.35">
      <c r="A1260" s="3">
        <v>2017</v>
      </c>
      <c r="B1260" t="s">
        <v>1749</v>
      </c>
    </row>
    <row r="1261" spans="1:2" x14ac:dyDescent="0.35">
      <c r="A1261" s="3">
        <v>2017</v>
      </c>
      <c r="B1261" t="s">
        <v>1336</v>
      </c>
    </row>
    <row r="1262" spans="1:2" x14ac:dyDescent="0.35">
      <c r="A1262" s="3">
        <v>2017</v>
      </c>
      <c r="B1262" t="s">
        <v>70</v>
      </c>
    </row>
    <row r="1263" spans="1:2" x14ac:dyDescent="0.35">
      <c r="A1263" s="3">
        <v>2017</v>
      </c>
      <c r="B1263" t="s">
        <v>115</v>
      </c>
    </row>
    <row r="1264" spans="1:2" x14ac:dyDescent="0.35">
      <c r="A1264" s="3">
        <v>2017</v>
      </c>
      <c r="B1264" t="s">
        <v>1522</v>
      </c>
    </row>
    <row r="1265" spans="1:2" x14ac:dyDescent="0.35">
      <c r="A1265" s="3">
        <v>2017</v>
      </c>
      <c r="B1265" t="s">
        <v>678</v>
      </c>
    </row>
    <row r="1266" spans="1:2" x14ac:dyDescent="0.35">
      <c r="A1266" s="3">
        <v>2017</v>
      </c>
      <c r="B1266" t="s">
        <v>2264</v>
      </c>
    </row>
    <row r="1267" spans="1:2" x14ac:dyDescent="0.35">
      <c r="A1267" s="3">
        <v>2017</v>
      </c>
      <c r="B1267" t="s">
        <v>2265</v>
      </c>
    </row>
    <row r="1268" spans="1:2" x14ac:dyDescent="0.35">
      <c r="A1268" s="3">
        <v>2017</v>
      </c>
      <c r="B1268" t="s">
        <v>1687</v>
      </c>
    </row>
    <row r="1269" spans="1:2" x14ac:dyDescent="0.35">
      <c r="A1269" s="3">
        <v>2017</v>
      </c>
      <c r="B1269" t="s">
        <v>2002</v>
      </c>
    </row>
    <row r="1270" spans="1:2" x14ac:dyDescent="0.35">
      <c r="A1270" s="3">
        <v>2017</v>
      </c>
      <c r="B1270" t="s">
        <v>1583</v>
      </c>
    </row>
    <row r="1271" spans="1:2" x14ac:dyDescent="0.35">
      <c r="A1271" s="3">
        <v>2017</v>
      </c>
      <c r="B1271" t="s">
        <v>2267</v>
      </c>
    </row>
    <row r="1272" spans="1:2" x14ac:dyDescent="0.35">
      <c r="A1272" s="3">
        <v>2017</v>
      </c>
      <c r="B1272" t="s">
        <v>981</v>
      </c>
    </row>
    <row r="1273" spans="1:2" x14ac:dyDescent="0.35">
      <c r="A1273" s="3">
        <v>2017</v>
      </c>
      <c r="B1273" t="s">
        <v>1548</v>
      </c>
    </row>
    <row r="1274" spans="1:2" x14ac:dyDescent="0.35">
      <c r="A1274" s="3">
        <v>2017</v>
      </c>
      <c r="B1274" t="s">
        <v>1642</v>
      </c>
    </row>
    <row r="1275" spans="1:2" x14ac:dyDescent="0.35">
      <c r="A1275" s="3">
        <v>2017</v>
      </c>
      <c r="B1275" t="s">
        <v>991</v>
      </c>
    </row>
    <row r="1276" spans="1:2" x14ac:dyDescent="0.35">
      <c r="A1276" s="3">
        <v>2017</v>
      </c>
      <c r="B1276" t="s">
        <v>483</v>
      </c>
    </row>
    <row r="1277" spans="1:2" x14ac:dyDescent="0.35">
      <c r="A1277" s="3">
        <v>2017</v>
      </c>
      <c r="B1277" t="s">
        <v>422</v>
      </c>
    </row>
    <row r="1278" spans="1:2" x14ac:dyDescent="0.35">
      <c r="A1278" s="3">
        <v>2017</v>
      </c>
      <c r="B1278" t="s">
        <v>1059</v>
      </c>
    </row>
    <row r="1279" spans="1:2" x14ac:dyDescent="0.35">
      <c r="A1279" s="3">
        <v>2017</v>
      </c>
      <c r="B1279" t="s">
        <v>1079</v>
      </c>
    </row>
    <row r="1280" spans="1:2" x14ac:dyDescent="0.35">
      <c r="A1280" s="3">
        <v>2017</v>
      </c>
      <c r="B1280" t="s">
        <v>296</v>
      </c>
    </row>
    <row r="1281" spans="1:2" x14ac:dyDescent="0.35">
      <c r="A1281" s="3">
        <v>2017</v>
      </c>
      <c r="B1281" t="s">
        <v>1200</v>
      </c>
    </row>
    <row r="1282" spans="1:2" x14ac:dyDescent="0.35">
      <c r="A1282" s="3">
        <v>2017</v>
      </c>
      <c r="B1282" t="s">
        <v>2273</v>
      </c>
    </row>
    <row r="1283" spans="1:2" x14ac:dyDescent="0.35">
      <c r="A1283" s="3">
        <v>2017</v>
      </c>
      <c r="B1283" t="s">
        <v>875</v>
      </c>
    </row>
    <row r="1284" spans="1:2" x14ac:dyDescent="0.35">
      <c r="A1284" s="3">
        <v>2017</v>
      </c>
      <c r="B1284" t="s">
        <v>2274</v>
      </c>
    </row>
    <row r="1285" spans="1:2" x14ac:dyDescent="0.35">
      <c r="A1285" s="3">
        <v>2017</v>
      </c>
      <c r="B1285" t="s">
        <v>898</v>
      </c>
    </row>
    <row r="1286" spans="1:2" x14ac:dyDescent="0.35">
      <c r="A1286" s="3">
        <v>2017</v>
      </c>
      <c r="B1286" t="s">
        <v>2275</v>
      </c>
    </row>
    <row r="1287" spans="1:2" x14ac:dyDescent="0.35">
      <c r="A1287" s="3">
        <v>2017</v>
      </c>
      <c r="B1287" t="s">
        <v>2277</v>
      </c>
    </row>
    <row r="1288" spans="1:2" x14ac:dyDescent="0.35">
      <c r="A1288" s="3">
        <v>2017</v>
      </c>
      <c r="B1288" t="s">
        <v>571</v>
      </c>
    </row>
    <row r="1289" spans="1:2" x14ac:dyDescent="0.35">
      <c r="A1289" s="3">
        <v>2017</v>
      </c>
      <c r="B1289" t="s">
        <v>921</v>
      </c>
    </row>
    <row r="1290" spans="1:2" x14ac:dyDescent="0.35">
      <c r="A1290" s="3">
        <v>2017</v>
      </c>
      <c r="B1290" t="s">
        <v>262</v>
      </c>
    </row>
    <row r="1291" spans="1:2" x14ac:dyDescent="0.35">
      <c r="A1291" s="3">
        <v>2017</v>
      </c>
      <c r="B1291" t="s">
        <v>2279</v>
      </c>
    </row>
    <row r="1292" spans="1:2" x14ac:dyDescent="0.35">
      <c r="A1292" s="3">
        <v>2017</v>
      </c>
      <c r="B1292" t="s">
        <v>611</v>
      </c>
    </row>
    <row r="1293" spans="1:2" x14ac:dyDescent="0.35">
      <c r="A1293" s="3">
        <v>2017</v>
      </c>
      <c r="B1293" t="s">
        <v>2282</v>
      </c>
    </row>
    <row r="1294" spans="1:2" x14ac:dyDescent="0.35">
      <c r="A1294" s="3">
        <v>2017</v>
      </c>
      <c r="B1294" t="s">
        <v>1938</v>
      </c>
    </row>
    <row r="1295" spans="1:2" x14ac:dyDescent="0.35">
      <c r="A1295" s="3">
        <v>2017</v>
      </c>
      <c r="B1295" t="s">
        <v>933</v>
      </c>
    </row>
    <row r="1296" spans="1:2" x14ac:dyDescent="0.35">
      <c r="A1296" s="3">
        <v>2017</v>
      </c>
      <c r="B1296" t="s">
        <v>2284</v>
      </c>
    </row>
    <row r="1297" spans="1:2" x14ac:dyDescent="0.35">
      <c r="A1297" s="3">
        <v>2017</v>
      </c>
      <c r="B1297" t="s">
        <v>2285</v>
      </c>
    </row>
    <row r="1298" spans="1:2" x14ac:dyDescent="0.35">
      <c r="A1298" s="3">
        <v>2017</v>
      </c>
      <c r="B1298" t="s">
        <v>223</v>
      </c>
    </row>
    <row r="1299" spans="1:2" x14ac:dyDescent="0.35">
      <c r="A1299" s="3">
        <v>2017</v>
      </c>
      <c r="B1299" t="s">
        <v>1919</v>
      </c>
    </row>
    <row r="1300" spans="1:2" x14ac:dyDescent="0.35">
      <c r="A1300" s="3">
        <v>2017</v>
      </c>
      <c r="B1300" t="s">
        <v>2286</v>
      </c>
    </row>
    <row r="1301" spans="1:2" x14ac:dyDescent="0.35">
      <c r="A1301" s="3">
        <v>2017</v>
      </c>
      <c r="B1301" t="s">
        <v>1002</v>
      </c>
    </row>
    <row r="1302" spans="1:2" x14ac:dyDescent="0.35">
      <c r="A1302" s="3">
        <v>2017</v>
      </c>
      <c r="B1302" t="s">
        <v>1972</v>
      </c>
    </row>
    <row r="1303" spans="1:2" x14ac:dyDescent="0.35">
      <c r="A1303" s="3">
        <v>2017</v>
      </c>
      <c r="B1303" t="s">
        <v>2287</v>
      </c>
    </row>
    <row r="1304" spans="1:2" x14ac:dyDescent="0.35">
      <c r="A1304" s="3">
        <v>2017</v>
      </c>
      <c r="B1304" t="s">
        <v>1779</v>
      </c>
    </row>
    <row r="1305" spans="1:2" x14ac:dyDescent="0.35">
      <c r="A1305" s="3">
        <v>2017</v>
      </c>
      <c r="B1305" t="s">
        <v>21</v>
      </c>
    </row>
    <row r="1306" spans="1:2" x14ac:dyDescent="0.35">
      <c r="A1306" s="3">
        <v>2017</v>
      </c>
      <c r="B1306" t="s">
        <v>1236</v>
      </c>
    </row>
    <row r="1307" spans="1:2" x14ac:dyDescent="0.35">
      <c r="A1307" s="3">
        <v>2017</v>
      </c>
      <c r="B1307" t="s">
        <v>1136</v>
      </c>
    </row>
    <row r="1308" spans="1:2" x14ac:dyDescent="0.35">
      <c r="A1308" s="3">
        <v>2017</v>
      </c>
      <c r="B1308" t="s">
        <v>516</v>
      </c>
    </row>
    <row r="1309" spans="1:2" x14ac:dyDescent="0.35">
      <c r="A1309" s="3">
        <v>2017</v>
      </c>
      <c r="B1309" t="s">
        <v>1500</v>
      </c>
    </row>
    <row r="1310" spans="1:2" x14ac:dyDescent="0.35">
      <c r="A1310" s="3">
        <v>2017</v>
      </c>
      <c r="B1310" t="s">
        <v>2299</v>
      </c>
    </row>
    <row r="1311" spans="1:2" x14ac:dyDescent="0.35">
      <c r="A1311" s="3">
        <v>2017</v>
      </c>
      <c r="B1311" t="s">
        <v>893</v>
      </c>
    </row>
    <row r="1312" spans="1:2" x14ac:dyDescent="0.35">
      <c r="A1312" s="3">
        <v>2017</v>
      </c>
      <c r="B1312" t="s">
        <v>1688</v>
      </c>
    </row>
    <row r="1313" spans="1:2" x14ac:dyDescent="0.35">
      <c r="A1313" s="3">
        <v>2017</v>
      </c>
      <c r="B1313" t="s">
        <v>885</v>
      </c>
    </row>
    <row r="1314" spans="1:2" x14ac:dyDescent="0.35">
      <c r="A1314" s="3">
        <v>2017</v>
      </c>
      <c r="B1314" t="s">
        <v>1944</v>
      </c>
    </row>
    <row r="1315" spans="1:2" x14ac:dyDescent="0.35">
      <c r="A1315" s="3">
        <v>2017</v>
      </c>
      <c r="B1315" t="s">
        <v>1845</v>
      </c>
    </row>
    <row r="1316" spans="1:2" x14ac:dyDescent="0.35">
      <c r="A1316" s="3">
        <v>2017</v>
      </c>
      <c r="B1316" t="s">
        <v>440</v>
      </c>
    </row>
    <row r="1317" spans="1:2" x14ac:dyDescent="0.35">
      <c r="A1317" s="3">
        <v>2017</v>
      </c>
      <c r="B1317" t="s">
        <v>715</v>
      </c>
    </row>
    <row r="1318" spans="1:2" x14ac:dyDescent="0.35">
      <c r="A1318" s="3">
        <v>2017</v>
      </c>
      <c r="B1318" t="s">
        <v>804</v>
      </c>
    </row>
    <row r="1319" spans="1:2" x14ac:dyDescent="0.35">
      <c r="A1319" s="3">
        <v>2017</v>
      </c>
      <c r="B1319" t="s">
        <v>1607</v>
      </c>
    </row>
    <row r="1320" spans="1:2" x14ac:dyDescent="0.35">
      <c r="A1320" s="3">
        <v>2017</v>
      </c>
      <c r="B1320" t="s">
        <v>1363</v>
      </c>
    </row>
    <row r="1321" spans="1:2" x14ac:dyDescent="0.35">
      <c r="A1321" s="3">
        <v>2017</v>
      </c>
      <c r="B1321" t="s">
        <v>298</v>
      </c>
    </row>
    <row r="1322" spans="1:2" x14ac:dyDescent="0.35">
      <c r="A1322" s="3">
        <v>2017</v>
      </c>
      <c r="B1322" t="s">
        <v>1473</v>
      </c>
    </row>
    <row r="1323" spans="1:2" x14ac:dyDescent="0.35">
      <c r="A1323" s="3">
        <v>2017</v>
      </c>
      <c r="B1323" t="s">
        <v>818</v>
      </c>
    </row>
    <row r="1324" spans="1:2" x14ac:dyDescent="0.35">
      <c r="A1324" s="3">
        <v>2017</v>
      </c>
      <c r="B1324" t="s">
        <v>1158</v>
      </c>
    </row>
    <row r="1325" spans="1:2" x14ac:dyDescent="0.35">
      <c r="A1325" s="3">
        <v>2017</v>
      </c>
      <c r="B1325" t="s">
        <v>2031</v>
      </c>
    </row>
    <row r="1326" spans="1:2" x14ac:dyDescent="0.35">
      <c r="A1326" s="3">
        <v>2017</v>
      </c>
      <c r="B1326" t="s">
        <v>1181</v>
      </c>
    </row>
    <row r="1327" spans="1:2" x14ac:dyDescent="0.35">
      <c r="A1327" s="3">
        <v>2017</v>
      </c>
      <c r="B1327" t="s">
        <v>1853</v>
      </c>
    </row>
    <row r="1328" spans="1:2" x14ac:dyDescent="0.35">
      <c r="A1328" s="3">
        <v>2017</v>
      </c>
      <c r="B1328" t="s">
        <v>346</v>
      </c>
    </row>
    <row r="1329" spans="1:2" x14ac:dyDescent="0.35">
      <c r="A1329" s="3">
        <v>2017</v>
      </c>
      <c r="B1329" t="s">
        <v>662</v>
      </c>
    </row>
    <row r="1330" spans="1:2" x14ac:dyDescent="0.35">
      <c r="A1330" s="3">
        <v>2017</v>
      </c>
      <c r="B1330" t="s">
        <v>2093</v>
      </c>
    </row>
    <row r="1331" spans="1:2" x14ac:dyDescent="0.35">
      <c r="A1331" s="3">
        <v>2017</v>
      </c>
      <c r="B1331" t="s">
        <v>1239</v>
      </c>
    </row>
    <row r="1332" spans="1:2" x14ac:dyDescent="0.35">
      <c r="A1332" s="3">
        <v>2017</v>
      </c>
      <c r="B1332" t="s">
        <v>755</v>
      </c>
    </row>
    <row r="1333" spans="1:2" x14ac:dyDescent="0.35">
      <c r="A1333" s="3">
        <v>2017</v>
      </c>
      <c r="B1333" t="s">
        <v>336</v>
      </c>
    </row>
    <row r="1334" spans="1:2" x14ac:dyDescent="0.35">
      <c r="A1334" s="3">
        <v>2017</v>
      </c>
      <c r="B1334" t="s">
        <v>478</v>
      </c>
    </row>
    <row r="1335" spans="1:2" x14ac:dyDescent="0.35">
      <c r="A1335" s="3">
        <v>2017</v>
      </c>
      <c r="B1335" t="s">
        <v>332</v>
      </c>
    </row>
    <row r="1336" spans="1:2" x14ac:dyDescent="0.35">
      <c r="A1336" s="3">
        <v>2017</v>
      </c>
      <c r="B1336" t="s">
        <v>161</v>
      </c>
    </row>
    <row r="1337" spans="1:2" x14ac:dyDescent="0.35">
      <c r="A1337" s="3">
        <v>2017</v>
      </c>
      <c r="B1337" t="s">
        <v>900</v>
      </c>
    </row>
    <row r="1338" spans="1:2" x14ac:dyDescent="0.35">
      <c r="A1338" s="3">
        <v>2017</v>
      </c>
      <c r="B1338" t="s">
        <v>684</v>
      </c>
    </row>
    <row r="1339" spans="1:2" x14ac:dyDescent="0.35">
      <c r="A1339" s="3">
        <v>2017</v>
      </c>
      <c r="B1339" t="s">
        <v>931</v>
      </c>
    </row>
    <row r="1340" spans="1:2" x14ac:dyDescent="0.35">
      <c r="A1340" s="3">
        <v>2017</v>
      </c>
      <c r="B1340" t="s">
        <v>993</v>
      </c>
    </row>
    <row r="1341" spans="1:2" x14ac:dyDescent="0.35">
      <c r="A1341" s="3">
        <v>2017</v>
      </c>
      <c r="B1341" t="s">
        <v>2318</v>
      </c>
    </row>
    <row r="1342" spans="1:2" x14ac:dyDescent="0.35">
      <c r="A1342" s="3">
        <v>2017</v>
      </c>
      <c r="B1342" t="s">
        <v>767</v>
      </c>
    </row>
    <row r="1343" spans="1:2" x14ac:dyDescent="0.35">
      <c r="A1343" s="3">
        <v>2017</v>
      </c>
      <c r="B1343" t="s">
        <v>2320</v>
      </c>
    </row>
    <row r="1344" spans="1:2" x14ac:dyDescent="0.35">
      <c r="A1344" s="3">
        <v>2017</v>
      </c>
      <c r="B1344" t="s">
        <v>2322</v>
      </c>
    </row>
    <row r="1345" spans="1:2" x14ac:dyDescent="0.35">
      <c r="A1345" s="3">
        <v>2017</v>
      </c>
      <c r="B1345" t="s">
        <v>698</v>
      </c>
    </row>
    <row r="1346" spans="1:2" x14ac:dyDescent="0.35">
      <c r="A1346" s="3">
        <v>2017</v>
      </c>
      <c r="B1346" t="s">
        <v>25</v>
      </c>
    </row>
    <row r="1347" spans="1:2" x14ac:dyDescent="0.35">
      <c r="A1347" s="3">
        <v>2017</v>
      </c>
      <c r="B1347" t="s">
        <v>1874</v>
      </c>
    </row>
    <row r="1348" spans="1:2" x14ac:dyDescent="0.35">
      <c r="A1348" s="3">
        <v>2017</v>
      </c>
      <c r="B1348" t="s">
        <v>300</v>
      </c>
    </row>
    <row r="1349" spans="1:2" x14ac:dyDescent="0.35">
      <c r="A1349" s="3">
        <v>2017</v>
      </c>
      <c r="B1349" t="s">
        <v>1629</v>
      </c>
    </row>
    <row r="1350" spans="1:2" x14ac:dyDescent="0.35">
      <c r="A1350" s="3">
        <v>2017</v>
      </c>
      <c r="B1350" t="s">
        <v>1532</v>
      </c>
    </row>
    <row r="1351" spans="1:2" x14ac:dyDescent="0.35">
      <c r="A1351" s="3">
        <v>2017</v>
      </c>
      <c r="B1351" t="s">
        <v>1375</v>
      </c>
    </row>
    <row r="1352" spans="1:2" x14ac:dyDescent="0.35">
      <c r="A1352" s="3">
        <v>2017</v>
      </c>
      <c r="B1352" t="s">
        <v>1016</v>
      </c>
    </row>
    <row r="1353" spans="1:2" x14ac:dyDescent="0.35">
      <c r="A1353" s="3">
        <v>2017</v>
      </c>
      <c r="B1353" t="s">
        <v>1774</v>
      </c>
    </row>
    <row r="1354" spans="1:2" x14ac:dyDescent="0.35">
      <c r="A1354" s="3">
        <v>2017</v>
      </c>
      <c r="B1354" t="s">
        <v>970</v>
      </c>
    </row>
    <row r="1355" spans="1:2" x14ac:dyDescent="0.35">
      <c r="A1355" s="3">
        <v>2017</v>
      </c>
      <c r="B1355" t="s">
        <v>491</v>
      </c>
    </row>
    <row r="1356" spans="1:2" x14ac:dyDescent="0.35">
      <c r="A1356" s="3">
        <v>2017</v>
      </c>
      <c r="B1356" t="s">
        <v>578</v>
      </c>
    </row>
    <row r="1357" spans="1:2" x14ac:dyDescent="0.35">
      <c r="A1357" s="3">
        <v>2017</v>
      </c>
      <c r="B1357" t="s">
        <v>1221</v>
      </c>
    </row>
    <row r="1358" spans="1:2" x14ac:dyDescent="0.35">
      <c r="A1358" s="3">
        <v>2017</v>
      </c>
      <c r="B1358" t="s">
        <v>809</v>
      </c>
    </row>
    <row r="1359" spans="1:2" x14ac:dyDescent="0.35">
      <c r="A1359" s="3">
        <v>2017</v>
      </c>
      <c r="B1359" t="s">
        <v>760</v>
      </c>
    </row>
    <row r="1360" spans="1:2" x14ac:dyDescent="0.35">
      <c r="A1360" s="3">
        <v>2017</v>
      </c>
      <c r="B1360" t="s">
        <v>1152</v>
      </c>
    </row>
    <row r="1361" spans="1:2" x14ac:dyDescent="0.35">
      <c r="A1361" s="3">
        <v>2017</v>
      </c>
      <c r="B1361" t="s">
        <v>1475</v>
      </c>
    </row>
    <row r="1362" spans="1:2" x14ac:dyDescent="0.35">
      <c r="A1362" s="3">
        <v>2017</v>
      </c>
      <c r="B1362" t="s">
        <v>302</v>
      </c>
    </row>
    <row r="1363" spans="1:2" x14ac:dyDescent="0.35">
      <c r="A1363" s="3">
        <v>2017</v>
      </c>
      <c r="B1363" t="s">
        <v>2338</v>
      </c>
    </row>
    <row r="1364" spans="1:2" x14ac:dyDescent="0.35">
      <c r="A1364" s="3">
        <v>2017</v>
      </c>
      <c r="B1364" t="s">
        <v>391</v>
      </c>
    </row>
    <row r="1365" spans="1:2" x14ac:dyDescent="0.35">
      <c r="A1365" s="3">
        <v>2017</v>
      </c>
      <c r="B1365" t="s">
        <v>556</v>
      </c>
    </row>
    <row r="1366" spans="1:2" x14ac:dyDescent="0.35">
      <c r="A1366" s="3">
        <v>2017</v>
      </c>
      <c r="B1366" t="s">
        <v>1117</v>
      </c>
    </row>
    <row r="1367" spans="1:2" x14ac:dyDescent="0.35">
      <c r="A1367" s="3">
        <v>2017</v>
      </c>
      <c r="B1367" t="s">
        <v>2340</v>
      </c>
    </row>
    <row r="1368" spans="1:2" x14ac:dyDescent="0.35">
      <c r="A1368" s="3">
        <v>2017</v>
      </c>
      <c r="B1368" t="s">
        <v>929</v>
      </c>
    </row>
    <row r="1369" spans="1:2" x14ac:dyDescent="0.35">
      <c r="A1369" s="3">
        <v>2017</v>
      </c>
      <c r="B1369" t="s">
        <v>1112</v>
      </c>
    </row>
    <row r="1370" spans="1:2" x14ac:dyDescent="0.35">
      <c r="A1370" s="3">
        <v>2017</v>
      </c>
      <c r="B1370" t="s">
        <v>148</v>
      </c>
    </row>
    <row r="1371" spans="1:2" x14ac:dyDescent="0.35">
      <c r="A1371" s="3">
        <v>2017</v>
      </c>
      <c r="B1371" t="s">
        <v>1669</v>
      </c>
    </row>
    <row r="1372" spans="1:2" x14ac:dyDescent="0.35">
      <c r="A1372" s="3">
        <v>2017</v>
      </c>
      <c r="B1372" t="s">
        <v>1191</v>
      </c>
    </row>
    <row r="1373" spans="1:2" x14ac:dyDescent="0.35">
      <c r="A1373" s="3">
        <v>2017</v>
      </c>
      <c r="B1373" t="s">
        <v>2346</v>
      </c>
    </row>
    <row r="1374" spans="1:2" x14ac:dyDescent="0.35">
      <c r="A1374" s="3">
        <v>2017</v>
      </c>
      <c r="B1374" t="s">
        <v>623</v>
      </c>
    </row>
    <row r="1375" spans="1:2" x14ac:dyDescent="0.35">
      <c r="A1375" s="3">
        <v>2017</v>
      </c>
      <c r="B1375" t="s">
        <v>1083</v>
      </c>
    </row>
    <row r="1376" spans="1:2" x14ac:dyDescent="0.35">
      <c r="A1376" s="3">
        <v>2017</v>
      </c>
      <c r="B1376" t="s">
        <v>2351</v>
      </c>
    </row>
    <row r="1377" spans="1:2" x14ac:dyDescent="0.35">
      <c r="A1377" s="3">
        <v>2017</v>
      </c>
      <c r="B1377" t="s">
        <v>798</v>
      </c>
    </row>
    <row r="1378" spans="1:2" x14ac:dyDescent="0.35">
      <c r="A1378" s="3">
        <v>2017</v>
      </c>
      <c r="B1378" t="s">
        <v>399</v>
      </c>
    </row>
    <row r="1379" spans="1:2" x14ac:dyDescent="0.35">
      <c r="A1379" s="3">
        <v>2017</v>
      </c>
      <c r="B1379" t="s">
        <v>1606</v>
      </c>
    </row>
    <row r="1380" spans="1:2" x14ac:dyDescent="0.35">
      <c r="A1380" s="3">
        <v>2017</v>
      </c>
      <c r="B1380" t="s">
        <v>592</v>
      </c>
    </row>
    <row r="1381" spans="1:2" x14ac:dyDescent="0.35">
      <c r="A1381" s="3">
        <v>2017</v>
      </c>
      <c r="B1381" t="s">
        <v>421</v>
      </c>
    </row>
    <row r="1382" spans="1:2" x14ac:dyDescent="0.35">
      <c r="A1382" s="3">
        <v>2017</v>
      </c>
      <c r="B1382" t="s">
        <v>1369</v>
      </c>
    </row>
    <row r="1383" spans="1:2" x14ac:dyDescent="0.35">
      <c r="A1383" s="3">
        <v>2017</v>
      </c>
      <c r="B1383" t="s">
        <v>1047</v>
      </c>
    </row>
    <row r="1384" spans="1:2" x14ac:dyDescent="0.35">
      <c r="A1384" s="3">
        <v>2017</v>
      </c>
      <c r="B1384" t="s">
        <v>2087</v>
      </c>
    </row>
    <row r="1385" spans="1:2" x14ac:dyDescent="0.35">
      <c r="A1385" s="3">
        <v>2017</v>
      </c>
      <c r="B1385" t="s">
        <v>771</v>
      </c>
    </row>
    <row r="1386" spans="1:2" x14ac:dyDescent="0.35">
      <c r="A1386" s="3">
        <v>2017</v>
      </c>
      <c r="B1386" t="s">
        <v>1674</v>
      </c>
    </row>
    <row r="1387" spans="1:2" x14ac:dyDescent="0.35">
      <c r="A1387" s="3">
        <v>2017</v>
      </c>
      <c r="B1387" t="s">
        <v>1563</v>
      </c>
    </row>
    <row r="1388" spans="1:2" x14ac:dyDescent="0.35">
      <c r="A1388" s="3">
        <v>2017</v>
      </c>
      <c r="B1388" t="s">
        <v>1973</v>
      </c>
    </row>
    <row r="1389" spans="1:2" x14ac:dyDescent="0.35">
      <c r="A1389" s="3">
        <v>2017</v>
      </c>
      <c r="B1389" t="s">
        <v>1514</v>
      </c>
    </row>
    <row r="1390" spans="1:2" x14ac:dyDescent="0.35">
      <c r="A1390" s="3">
        <v>2017</v>
      </c>
      <c r="B1390" t="s">
        <v>1615</v>
      </c>
    </row>
    <row r="1391" spans="1:2" x14ac:dyDescent="0.35">
      <c r="A1391" s="3">
        <v>2017</v>
      </c>
      <c r="B1391" t="s">
        <v>1723</v>
      </c>
    </row>
    <row r="1392" spans="1:2" x14ac:dyDescent="0.35">
      <c r="A1392" s="3">
        <v>2017</v>
      </c>
      <c r="B1392" t="s">
        <v>1649</v>
      </c>
    </row>
    <row r="1393" spans="1:2" x14ac:dyDescent="0.35">
      <c r="A1393" s="3">
        <v>2017</v>
      </c>
      <c r="B1393" t="s">
        <v>96</v>
      </c>
    </row>
    <row r="1394" spans="1:2" x14ac:dyDescent="0.35">
      <c r="A1394" s="3">
        <v>2017</v>
      </c>
      <c r="B1394" t="s">
        <v>219</v>
      </c>
    </row>
    <row r="1395" spans="1:2" x14ac:dyDescent="0.35">
      <c r="A1395" s="3">
        <v>2017</v>
      </c>
      <c r="B1395" t="s">
        <v>918</v>
      </c>
    </row>
    <row r="1396" spans="1:2" x14ac:dyDescent="0.35">
      <c r="A1396" s="3">
        <v>2017</v>
      </c>
      <c r="B1396" t="s">
        <v>2362</v>
      </c>
    </row>
    <row r="1397" spans="1:2" x14ac:dyDescent="0.35">
      <c r="A1397" s="3">
        <v>2017</v>
      </c>
      <c r="B1397" t="s">
        <v>450</v>
      </c>
    </row>
    <row r="1398" spans="1:2" x14ac:dyDescent="0.35">
      <c r="A1398" s="3">
        <v>2017</v>
      </c>
      <c r="B1398" t="s">
        <v>2363</v>
      </c>
    </row>
    <row r="1399" spans="1:2" x14ac:dyDescent="0.35">
      <c r="A1399" s="3">
        <v>2017</v>
      </c>
      <c r="B1399" t="s">
        <v>2364</v>
      </c>
    </row>
    <row r="1400" spans="1:2" x14ac:dyDescent="0.35">
      <c r="A1400" s="3">
        <v>2017</v>
      </c>
      <c r="B1400" t="s">
        <v>313</v>
      </c>
    </row>
    <row r="1401" spans="1:2" x14ac:dyDescent="0.35">
      <c r="A1401" s="3">
        <v>2017</v>
      </c>
      <c r="B1401" t="s">
        <v>2365</v>
      </c>
    </row>
    <row r="1402" spans="1:2" x14ac:dyDescent="0.35">
      <c r="A1402" s="3">
        <v>2017</v>
      </c>
      <c r="B1402" t="s">
        <v>2366</v>
      </c>
    </row>
    <row r="1403" spans="1:2" x14ac:dyDescent="0.35">
      <c r="A1403" s="3">
        <v>2017</v>
      </c>
      <c r="B1403" t="s">
        <v>289</v>
      </c>
    </row>
    <row r="1404" spans="1:2" x14ac:dyDescent="0.35">
      <c r="A1404" s="3">
        <v>2017</v>
      </c>
      <c r="B1404" t="s">
        <v>2046</v>
      </c>
    </row>
    <row r="1405" spans="1:2" x14ac:dyDescent="0.35">
      <c r="A1405" s="3">
        <v>2017</v>
      </c>
      <c r="B1405" t="s">
        <v>1675</v>
      </c>
    </row>
    <row r="1406" spans="1:2" x14ac:dyDescent="0.35">
      <c r="A1406" s="3">
        <v>2017</v>
      </c>
      <c r="B1406" t="s">
        <v>531</v>
      </c>
    </row>
    <row r="1407" spans="1:2" x14ac:dyDescent="0.35">
      <c r="A1407" s="3">
        <v>2017</v>
      </c>
      <c r="B1407" t="s">
        <v>1795</v>
      </c>
    </row>
    <row r="1408" spans="1:2" x14ac:dyDescent="0.35">
      <c r="A1408" s="3">
        <v>2017</v>
      </c>
      <c r="B1408" t="s">
        <v>1525</v>
      </c>
    </row>
    <row r="1409" spans="1:2" x14ac:dyDescent="0.35">
      <c r="A1409" s="3">
        <v>2017</v>
      </c>
      <c r="B1409" t="s">
        <v>2369</v>
      </c>
    </row>
    <row r="1410" spans="1:2" x14ac:dyDescent="0.35">
      <c r="A1410" s="3">
        <v>2017</v>
      </c>
      <c r="B1410" t="s">
        <v>86</v>
      </c>
    </row>
    <row r="1411" spans="1:2" x14ac:dyDescent="0.35">
      <c r="A1411" s="3">
        <v>2017</v>
      </c>
      <c r="B1411" t="s">
        <v>2372</v>
      </c>
    </row>
    <row r="1412" spans="1:2" x14ac:dyDescent="0.35">
      <c r="A1412" s="3">
        <v>2017</v>
      </c>
      <c r="B1412" t="s">
        <v>643</v>
      </c>
    </row>
    <row r="1413" spans="1:2" x14ac:dyDescent="0.35">
      <c r="A1413" s="3">
        <v>2017</v>
      </c>
      <c r="B1413" t="s">
        <v>1442</v>
      </c>
    </row>
    <row r="1414" spans="1:2" x14ac:dyDescent="0.35">
      <c r="A1414" s="3">
        <v>2017</v>
      </c>
      <c r="B1414" t="s">
        <v>1144</v>
      </c>
    </row>
    <row r="1415" spans="1:2" x14ac:dyDescent="0.35">
      <c r="A1415" s="3">
        <v>2017</v>
      </c>
      <c r="B1415" t="s">
        <v>2376</v>
      </c>
    </row>
    <row r="1416" spans="1:2" x14ac:dyDescent="0.35">
      <c r="A1416" s="3">
        <v>2017</v>
      </c>
      <c r="B1416" t="s">
        <v>1274</v>
      </c>
    </row>
    <row r="1417" spans="1:2" x14ac:dyDescent="0.35">
      <c r="A1417" s="3">
        <v>2017</v>
      </c>
      <c r="B1417" t="s">
        <v>1060</v>
      </c>
    </row>
    <row r="1418" spans="1:2" x14ac:dyDescent="0.35">
      <c r="A1418" s="3">
        <v>2017</v>
      </c>
      <c r="B1418" t="s">
        <v>2379</v>
      </c>
    </row>
    <row r="1419" spans="1:2" x14ac:dyDescent="0.35">
      <c r="A1419" s="3">
        <v>2017</v>
      </c>
      <c r="B1419" t="s">
        <v>455</v>
      </c>
    </row>
    <row r="1420" spans="1:2" x14ac:dyDescent="0.35">
      <c r="A1420" s="3">
        <v>2017</v>
      </c>
      <c r="B1420" t="s">
        <v>1339</v>
      </c>
    </row>
    <row r="1421" spans="1:2" x14ac:dyDescent="0.35">
      <c r="A1421" s="3">
        <v>2017</v>
      </c>
      <c r="B1421" t="s">
        <v>524</v>
      </c>
    </row>
    <row r="1422" spans="1:2" x14ac:dyDescent="0.35">
      <c r="A1422" s="3">
        <v>2017</v>
      </c>
      <c r="B1422" t="s">
        <v>1777</v>
      </c>
    </row>
    <row r="1423" spans="1:2" x14ac:dyDescent="0.35">
      <c r="A1423" s="3">
        <v>2017</v>
      </c>
      <c r="B1423" t="s">
        <v>939</v>
      </c>
    </row>
    <row r="1424" spans="1:2" x14ac:dyDescent="0.35">
      <c r="A1424" s="3">
        <v>2017</v>
      </c>
      <c r="B1424" t="s">
        <v>1897</v>
      </c>
    </row>
    <row r="1425" spans="1:2" x14ac:dyDescent="0.35">
      <c r="A1425" s="3">
        <v>2017</v>
      </c>
      <c r="B1425" t="s">
        <v>1438</v>
      </c>
    </row>
    <row r="1426" spans="1:2" x14ac:dyDescent="0.35">
      <c r="A1426" s="3">
        <v>2017</v>
      </c>
      <c r="B1426" t="s">
        <v>1745</v>
      </c>
    </row>
    <row r="1427" spans="1:2" x14ac:dyDescent="0.35">
      <c r="A1427" s="3">
        <v>2017</v>
      </c>
      <c r="B1427" t="s">
        <v>1868</v>
      </c>
    </row>
    <row r="1428" spans="1:2" x14ac:dyDescent="0.35">
      <c r="A1428" s="3">
        <v>2017</v>
      </c>
      <c r="B1428" t="s">
        <v>412</v>
      </c>
    </row>
    <row r="1429" spans="1:2" x14ac:dyDescent="0.35">
      <c r="A1429" s="3">
        <v>2017</v>
      </c>
      <c r="B1429" t="s">
        <v>1107</v>
      </c>
    </row>
    <row r="1430" spans="1:2" x14ac:dyDescent="0.35">
      <c r="A1430" s="3">
        <v>2017</v>
      </c>
      <c r="B1430" t="s">
        <v>2383</v>
      </c>
    </row>
    <row r="1431" spans="1:2" x14ac:dyDescent="0.35">
      <c r="A1431" s="3">
        <v>2017</v>
      </c>
      <c r="B1431" t="s">
        <v>93</v>
      </c>
    </row>
    <row r="1432" spans="1:2" x14ac:dyDescent="0.35">
      <c r="A1432" s="3">
        <v>2017</v>
      </c>
      <c r="B1432" t="s">
        <v>1134</v>
      </c>
    </row>
    <row r="1433" spans="1:2" x14ac:dyDescent="0.35">
      <c r="A1433" s="3">
        <v>2017</v>
      </c>
      <c r="B1433" t="s">
        <v>2057</v>
      </c>
    </row>
    <row r="1434" spans="1:2" x14ac:dyDescent="0.35">
      <c r="A1434" s="3">
        <v>2017</v>
      </c>
      <c r="B1434" t="s">
        <v>564</v>
      </c>
    </row>
    <row r="1435" spans="1:2" x14ac:dyDescent="0.35">
      <c r="A1435" s="3">
        <v>2017</v>
      </c>
      <c r="B1435" t="s">
        <v>157</v>
      </c>
    </row>
    <row r="1436" spans="1:2" x14ac:dyDescent="0.35">
      <c r="A1436" s="3">
        <v>2017</v>
      </c>
      <c r="B1436" t="s">
        <v>259</v>
      </c>
    </row>
    <row r="1437" spans="1:2" x14ac:dyDescent="0.35">
      <c r="A1437" s="3">
        <v>2017</v>
      </c>
      <c r="B1437" t="s">
        <v>1735</v>
      </c>
    </row>
    <row r="1438" spans="1:2" x14ac:dyDescent="0.35">
      <c r="A1438" s="3">
        <v>2017</v>
      </c>
      <c r="B1438" t="s">
        <v>1423</v>
      </c>
    </row>
    <row r="1439" spans="1:2" x14ac:dyDescent="0.35">
      <c r="A1439" s="3">
        <v>2017</v>
      </c>
      <c r="B1439" t="s">
        <v>1389</v>
      </c>
    </row>
    <row r="1440" spans="1:2" x14ac:dyDescent="0.35">
      <c r="A1440" s="3">
        <v>2017</v>
      </c>
      <c r="B1440" t="s">
        <v>960</v>
      </c>
    </row>
    <row r="1441" spans="1:2" x14ac:dyDescent="0.35">
      <c r="A1441" s="3">
        <v>2017</v>
      </c>
      <c r="B1441" t="s">
        <v>1154</v>
      </c>
    </row>
    <row r="1442" spans="1:2" x14ac:dyDescent="0.35">
      <c r="A1442" s="3">
        <v>2017</v>
      </c>
      <c r="B1442" t="s">
        <v>579</v>
      </c>
    </row>
    <row r="1443" spans="1:2" x14ac:dyDescent="0.35">
      <c r="A1443" s="3">
        <v>2017</v>
      </c>
      <c r="B1443" t="s">
        <v>1272</v>
      </c>
    </row>
    <row r="1444" spans="1:2" x14ac:dyDescent="0.35">
      <c r="A1444" s="3">
        <v>2017</v>
      </c>
      <c r="B1444" t="s">
        <v>1058</v>
      </c>
    </row>
    <row r="1445" spans="1:2" x14ac:dyDescent="0.35">
      <c r="A1445" s="3">
        <v>2017</v>
      </c>
      <c r="B1445" t="s">
        <v>1334</v>
      </c>
    </row>
    <row r="1446" spans="1:2" x14ac:dyDescent="0.35">
      <c r="A1446" s="3">
        <v>2017</v>
      </c>
      <c r="B1446" t="s">
        <v>683</v>
      </c>
    </row>
    <row r="1447" spans="1:2" x14ac:dyDescent="0.35">
      <c r="A1447" s="3">
        <v>2017</v>
      </c>
      <c r="B1447" t="s">
        <v>750</v>
      </c>
    </row>
    <row r="1448" spans="1:2" x14ac:dyDescent="0.35">
      <c r="A1448" s="3">
        <v>2017</v>
      </c>
      <c r="B1448" t="s">
        <v>1264</v>
      </c>
    </row>
    <row r="1449" spans="1:2" x14ac:dyDescent="0.35">
      <c r="A1449" s="3">
        <v>2017</v>
      </c>
      <c r="B1449" t="s">
        <v>2396</v>
      </c>
    </row>
    <row r="1450" spans="1:2" x14ac:dyDescent="0.35">
      <c r="A1450" s="3">
        <v>2017</v>
      </c>
      <c r="B1450" t="s">
        <v>1807</v>
      </c>
    </row>
    <row r="1451" spans="1:2" x14ac:dyDescent="0.35">
      <c r="A1451" s="3">
        <v>2017</v>
      </c>
      <c r="B1451" t="s">
        <v>630</v>
      </c>
    </row>
    <row r="1452" spans="1:2" x14ac:dyDescent="0.35">
      <c r="A1452" s="3">
        <v>2017</v>
      </c>
      <c r="B1452" t="s">
        <v>1917</v>
      </c>
    </row>
    <row r="1453" spans="1:2" x14ac:dyDescent="0.35">
      <c r="A1453" s="3">
        <v>2017</v>
      </c>
      <c r="B1453" t="s">
        <v>510</v>
      </c>
    </row>
    <row r="1454" spans="1:2" x14ac:dyDescent="0.35">
      <c r="A1454" s="3">
        <v>2017</v>
      </c>
      <c r="B1454" t="s">
        <v>853</v>
      </c>
    </row>
    <row r="1455" spans="1:2" x14ac:dyDescent="0.35">
      <c r="A1455" s="3">
        <v>2017</v>
      </c>
      <c r="B1455" t="s">
        <v>841</v>
      </c>
    </row>
    <row r="1456" spans="1:2" x14ac:dyDescent="0.35">
      <c r="A1456" s="3">
        <v>2017</v>
      </c>
      <c r="B1456" t="s">
        <v>1049</v>
      </c>
    </row>
    <row r="1457" spans="1:2" x14ac:dyDescent="0.35">
      <c r="A1457" s="3">
        <v>2017</v>
      </c>
      <c r="B1457" t="s">
        <v>361</v>
      </c>
    </row>
    <row r="1458" spans="1:2" x14ac:dyDescent="0.35">
      <c r="A1458" s="3">
        <v>2017</v>
      </c>
      <c r="B1458" t="s">
        <v>979</v>
      </c>
    </row>
    <row r="1459" spans="1:2" x14ac:dyDescent="0.35">
      <c r="A1459" s="3">
        <v>2017</v>
      </c>
      <c r="B1459" t="s">
        <v>1234</v>
      </c>
    </row>
    <row r="1460" spans="1:2" x14ac:dyDescent="0.35">
      <c r="A1460" s="3">
        <v>2017</v>
      </c>
      <c r="B1460" t="s">
        <v>1616</v>
      </c>
    </row>
    <row r="1461" spans="1:2" x14ac:dyDescent="0.35">
      <c r="A1461" s="3">
        <v>2017</v>
      </c>
      <c r="B1461" t="s">
        <v>1596</v>
      </c>
    </row>
    <row r="1462" spans="1:2" x14ac:dyDescent="0.35">
      <c r="A1462" s="3">
        <v>2017</v>
      </c>
      <c r="B1462" t="s">
        <v>1671</v>
      </c>
    </row>
    <row r="1463" spans="1:2" x14ac:dyDescent="0.35">
      <c r="A1463" s="3">
        <v>2017</v>
      </c>
      <c r="B1463" t="s">
        <v>2406</v>
      </c>
    </row>
    <row r="1464" spans="1:2" x14ac:dyDescent="0.35">
      <c r="A1464" s="3">
        <v>2017</v>
      </c>
      <c r="B1464" t="s">
        <v>2408</v>
      </c>
    </row>
    <row r="1465" spans="1:2" x14ac:dyDescent="0.35">
      <c r="A1465" s="3">
        <v>2017</v>
      </c>
      <c r="B1465" t="s">
        <v>1415</v>
      </c>
    </row>
    <row r="1466" spans="1:2" x14ac:dyDescent="0.35">
      <c r="A1466" s="3">
        <v>2017</v>
      </c>
      <c r="B1466" t="s">
        <v>2412</v>
      </c>
    </row>
    <row r="1467" spans="1:2" x14ac:dyDescent="0.35">
      <c r="A1467" s="3">
        <v>2017</v>
      </c>
      <c r="B1467" t="s">
        <v>1676</v>
      </c>
    </row>
    <row r="1468" spans="1:2" x14ac:dyDescent="0.35">
      <c r="A1468" s="3">
        <v>2017</v>
      </c>
      <c r="B1468" t="s">
        <v>549</v>
      </c>
    </row>
    <row r="1469" spans="1:2" x14ac:dyDescent="0.35">
      <c r="A1469" s="3">
        <v>2017</v>
      </c>
      <c r="B1469" t="s">
        <v>2414</v>
      </c>
    </row>
    <row r="1470" spans="1:2" x14ac:dyDescent="0.35">
      <c r="A1470" s="3">
        <v>2017</v>
      </c>
      <c r="B1470" t="s">
        <v>878</v>
      </c>
    </row>
    <row r="1471" spans="1:2" x14ac:dyDescent="0.35">
      <c r="A1471" s="3">
        <v>2017</v>
      </c>
      <c r="B1471" t="s">
        <v>338</v>
      </c>
    </row>
    <row r="1472" spans="1:2" x14ac:dyDescent="0.35">
      <c r="A1472" s="3">
        <v>2017</v>
      </c>
      <c r="B1472" t="s">
        <v>2419</v>
      </c>
    </row>
    <row r="1473" spans="1:2" x14ac:dyDescent="0.35">
      <c r="A1473" s="3">
        <v>2017</v>
      </c>
      <c r="B1473" t="s">
        <v>1355</v>
      </c>
    </row>
    <row r="1474" spans="1:2" x14ac:dyDescent="0.35">
      <c r="A1474" s="3">
        <v>2017</v>
      </c>
      <c r="B1474" t="s">
        <v>2422</v>
      </c>
    </row>
    <row r="1475" spans="1:2" x14ac:dyDescent="0.35">
      <c r="A1475"/>
    </row>
    <row r="1476" spans="1:2" x14ac:dyDescent="0.35">
      <c r="A1476"/>
    </row>
    <row r="1477" spans="1:2" x14ac:dyDescent="0.35">
      <c r="A1477"/>
    </row>
    <row r="1478" spans="1:2" x14ac:dyDescent="0.35">
      <c r="A1478"/>
    </row>
    <row r="1479" spans="1:2" x14ac:dyDescent="0.35">
      <c r="A1479"/>
    </row>
    <row r="1480" spans="1:2" x14ac:dyDescent="0.35">
      <c r="A1480"/>
    </row>
    <row r="1481" spans="1:2" x14ac:dyDescent="0.35">
      <c r="A1481"/>
    </row>
    <row r="1482" spans="1:2" x14ac:dyDescent="0.35">
      <c r="A1482"/>
    </row>
    <row r="1483" spans="1:2" x14ac:dyDescent="0.35">
      <c r="A1483"/>
    </row>
    <row r="1484" spans="1:2" x14ac:dyDescent="0.35">
      <c r="A1484"/>
    </row>
    <row r="1485" spans="1:2" x14ac:dyDescent="0.35">
      <c r="A1485"/>
    </row>
    <row r="1486" spans="1:2" x14ac:dyDescent="0.35">
      <c r="A1486"/>
    </row>
    <row r="1487" spans="1:2" x14ac:dyDescent="0.35">
      <c r="A1487"/>
    </row>
    <row r="1488" spans="1:2" x14ac:dyDescent="0.35">
      <c r="A1488"/>
    </row>
    <row r="1489" spans="1:1" x14ac:dyDescent="0.35">
      <c r="A1489"/>
    </row>
    <row r="1490" spans="1:1" x14ac:dyDescent="0.35">
      <c r="A1490"/>
    </row>
    <row r="1491" spans="1:1" x14ac:dyDescent="0.35">
      <c r="A1491"/>
    </row>
    <row r="1492" spans="1:1" x14ac:dyDescent="0.35">
      <c r="A1492"/>
    </row>
    <row r="1493" spans="1:1" x14ac:dyDescent="0.35">
      <c r="A1493"/>
    </row>
    <row r="1494" spans="1:1" x14ac:dyDescent="0.35">
      <c r="A1494"/>
    </row>
    <row r="1495" spans="1:1" x14ac:dyDescent="0.35">
      <c r="A1495"/>
    </row>
    <row r="1496" spans="1:1" x14ac:dyDescent="0.35">
      <c r="A1496"/>
    </row>
    <row r="1497" spans="1:1" x14ac:dyDescent="0.35">
      <c r="A1497"/>
    </row>
    <row r="1498" spans="1:1" x14ac:dyDescent="0.35">
      <c r="A1498"/>
    </row>
    <row r="1499" spans="1:1" x14ac:dyDescent="0.35">
      <c r="A1499"/>
    </row>
    <row r="1500" spans="1:1" x14ac:dyDescent="0.35">
      <c r="A1500"/>
    </row>
    <row r="1501" spans="1:1" x14ac:dyDescent="0.35">
      <c r="A1501"/>
    </row>
    <row r="1502" spans="1:1" x14ac:dyDescent="0.35">
      <c r="A1502"/>
    </row>
    <row r="1503" spans="1:1" x14ac:dyDescent="0.35">
      <c r="A1503"/>
    </row>
    <row r="1504" spans="1:1" x14ac:dyDescent="0.35">
      <c r="A1504"/>
    </row>
    <row r="1505" spans="1:1" x14ac:dyDescent="0.35">
      <c r="A1505"/>
    </row>
    <row r="1506" spans="1:1" x14ac:dyDescent="0.35">
      <c r="A1506"/>
    </row>
    <row r="1507" spans="1:1" x14ac:dyDescent="0.35">
      <c r="A1507"/>
    </row>
    <row r="1508" spans="1:1" x14ac:dyDescent="0.35">
      <c r="A1508"/>
    </row>
    <row r="1509" spans="1:1" x14ac:dyDescent="0.35">
      <c r="A1509"/>
    </row>
    <row r="1510" spans="1:1" x14ac:dyDescent="0.35">
      <c r="A1510"/>
    </row>
    <row r="1511" spans="1:1" x14ac:dyDescent="0.35">
      <c r="A1511"/>
    </row>
    <row r="1512" spans="1:1" x14ac:dyDescent="0.35">
      <c r="A1512"/>
    </row>
    <row r="1513" spans="1:1" x14ac:dyDescent="0.35">
      <c r="A1513"/>
    </row>
    <row r="1514" spans="1:1" x14ac:dyDescent="0.35">
      <c r="A1514"/>
    </row>
    <row r="1515" spans="1:1" x14ac:dyDescent="0.35">
      <c r="A1515"/>
    </row>
    <row r="1516" spans="1:1" x14ac:dyDescent="0.35">
      <c r="A1516"/>
    </row>
    <row r="1517" spans="1:1" x14ac:dyDescent="0.35">
      <c r="A1517"/>
    </row>
    <row r="1518" spans="1:1" x14ac:dyDescent="0.35">
      <c r="A1518"/>
    </row>
    <row r="1519" spans="1:1" x14ac:dyDescent="0.35">
      <c r="A1519"/>
    </row>
    <row r="1520" spans="1:1" x14ac:dyDescent="0.35">
      <c r="A1520"/>
    </row>
    <row r="1521" spans="1:1" x14ac:dyDescent="0.35">
      <c r="A1521"/>
    </row>
    <row r="1522" spans="1:1" x14ac:dyDescent="0.35">
      <c r="A1522"/>
    </row>
    <row r="1523" spans="1:1" x14ac:dyDescent="0.35">
      <c r="A1523"/>
    </row>
    <row r="1524" spans="1:1" x14ac:dyDescent="0.35">
      <c r="A1524"/>
    </row>
    <row r="1525" spans="1:1" x14ac:dyDescent="0.35">
      <c r="A1525"/>
    </row>
    <row r="1526" spans="1:1" x14ac:dyDescent="0.35">
      <c r="A1526"/>
    </row>
    <row r="1527" spans="1:1" x14ac:dyDescent="0.35">
      <c r="A1527"/>
    </row>
    <row r="1528" spans="1:1" x14ac:dyDescent="0.35">
      <c r="A1528"/>
    </row>
    <row r="1529" spans="1:1" x14ac:dyDescent="0.35">
      <c r="A1529"/>
    </row>
    <row r="1530" spans="1:1" x14ac:dyDescent="0.35">
      <c r="A1530"/>
    </row>
    <row r="1531" spans="1:1" x14ac:dyDescent="0.35">
      <c r="A1531"/>
    </row>
    <row r="1532" spans="1:1" x14ac:dyDescent="0.35">
      <c r="A1532"/>
    </row>
    <row r="1533" spans="1:1" x14ac:dyDescent="0.35">
      <c r="A1533"/>
    </row>
    <row r="1534" spans="1:1" x14ac:dyDescent="0.35">
      <c r="A1534"/>
    </row>
    <row r="1535" spans="1:1" x14ac:dyDescent="0.35">
      <c r="A1535"/>
    </row>
    <row r="1536" spans="1:1" x14ac:dyDescent="0.35">
      <c r="A1536"/>
    </row>
    <row r="1537" spans="1:1" x14ac:dyDescent="0.35">
      <c r="A1537"/>
    </row>
    <row r="1538" spans="1:1" x14ac:dyDescent="0.35">
      <c r="A1538"/>
    </row>
    <row r="1539" spans="1:1" x14ac:dyDescent="0.35">
      <c r="A1539"/>
    </row>
    <row r="1540" spans="1:1" x14ac:dyDescent="0.35">
      <c r="A1540"/>
    </row>
    <row r="1541" spans="1:1" x14ac:dyDescent="0.35">
      <c r="A1541"/>
    </row>
    <row r="1542" spans="1:1" x14ac:dyDescent="0.35">
      <c r="A1542"/>
    </row>
    <row r="1543" spans="1:1" x14ac:dyDescent="0.35">
      <c r="A1543"/>
    </row>
    <row r="1544" spans="1:1" x14ac:dyDescent="0.35">
      <c r="A1544"/>
    </row>
    <row r="1545" spans="1:1" x14ac:dyDescent="0.35">
      <c r="A1545"/>
    </row>
    <row r="1546" spans="1:1" x14ac:dyDescent="0.35">
      <c r="A1546"/>
    </row>
    <row r="1547" spans="1:1" x14ac:dyDescent="0.35">
      <c r="A1547"/>
    </row>
    <row r="1548" spans="1:1" x14ac:dyDescent="0.35">
      <c r="A1548"/>
    </row>
    <row r="1549" spans="1:1" x14ac:dyDescent="0.35">
      <c r="A1549"/>
    </row>
    <row r="1550" spans="1:1" x14ac:dyDescent="0.35">
      <c r="A1550"/>
    </row>
    <row r="1551" spans="1:1" x14ac:dyDescent="0.35">
      <c r="A1551"/>
    </row>
    <row r="1552" spans="1:1" x14ac:dyDescent="0.35">
      <c r="A1552"/>
    </row>
    <row r="1553" spans="1:1" x14ac:dyDescent="0.35">
      <c r="A1553"/>
    </row>
    <row r="1554" spans="1:1" x14ac:dyDescent="0.35">
      <c r="A1554"/>
    </row>
    <row r="1555" spans="1:1" x14ac:dyDescent="0.35">
      <c r="A1555"/>
    </row>
    <row r="1556" spans="1:1" x14ac:dyDescent="0.35">
      <c r="A1556"/>
    </row>
    <row r="1557" spans="1:1" x14ac:dyDescent="0.35">
      <c r="A1557"/>
    </row>
    <row r="1558" spans="1:1" x14ac:dyDescent="0.35">
      <c r="A1558"/>
    </row>
    <row r="1559" spans="1:1" x14ac:dyDescent="0.35">
      <c r="A1559"/>
    </row>
    <row r="1560" spans="1:1" x14ac:dyDescent="0.35">
      <c r="A1560"/>
    </row>
    <row r="1561" spans="1:1" x14ac:dyDescent="0.35">
      <c r="A1561"/>
    </row>
    <row r="1562" spans="1:1" x14ac:dyDescent="0.35">
      <c r="A1562"/>
    </row>
    <row r="1563" spans="1:1" x14ac:dyDescent="0.35">
      <c r="A1563"/>
    </row>
    <row r="1564" spans="1:1" x14ac:dyDescent="0.35">
      <c r="A1564"/>
    </row>
    <row r="1565" spans="1:1" x14ac:dyDescent="0.35">
      <c r="A1565"/>
    </row>
    <row r="1566" spans="1:1" x14ac:dyDescent="0.35">
      <c r="A1566"/>
    </row>
    <row r="1567" spans="1:1" x14ac:dyDescent="0.35">
      <c r="A1567"/>
    </row>
    <row r="1568" spans="1:1" x14ac:dyDescent="0.35">
      <c r="A1568"/>
    </row>
    <row r="1569" spans="1:1" x14ac:dyDescent="0.35">
      <c r="A1569"/>
    </row>
    <row r="1570" spans="1:1" x14ac:dyDescent="0.35">
      <c r="A1570"/>
    </row>
    <row r="1571" spans="1:1" x14ac:dyDescent="0.35">
      <c r="A1571"/>
    </row>
    <row r="1572" spans="1:1" x14ac:dyDescent="0.35">
      <c r="A1572"/>
    </row>
    <row r="1573" spans="1:1" x14ac:dyDescent="0.35">
      <c r="A1573"/>
    </row>
    <row r="1574" spans="1:1" x14ac:dyDescent="0.35">
      <c r="A1574"/>
    </row>
    <row r="1575" spans="1:1" x14ac:dyDescent="0.35">
      <c r="A1575"/>
    </row>
    <row r="1576" spans="1:1" x14ac:dyDescent="0.35">
      <c r="A1576"/>
    </row>
    <row r="1577" spans="1:1" x14ac:dyDescent="0.35">
      <c r="A1577"/>
    </row>
    <row r="1578" spans="1:1" x14ac:dyDescent="0.35">
      <c r="A1578"/>
    </row>
    <row r="1579" spans="1:1" x14ac:dyDescent="0.35">
      <c r="A1579"/>
    </row>
    <row r="1580" spans="1:1" x14ac:dyDescent="0.35">
      <c r="A1580"/>
    </row>
    <row r="1581" spans="1:1" x14ac:dyDescent="0.35">
      <c r="A1581"/>
    </row>
    <row r="1582" spans="1:1" x14ac:dyDescent="0.35">
      <c r="A1582"/>
    </row>
    <row r="1583" spans="1:1" x14ac:dyDescent="0.35">
      <c r="A1583"/>
    </row>
    <row r="1584" spans="1:1" x14ac:dyDescent="0.35">
      <c r="A1584"/>
    </row>
    <row r="1585" spans="1:1" x14ac:dyDescent="0.35">
      <c r="A1585"/>
    </row>
    <row r="1586" spans="1:1" x14ac:dyDescent="0.35">
      <c r="A1586"/>
    </row>
    <row r="1587" spans="1:1" x14ac:dyDescent="0.35">
      <c r="A1587"/>
    </row>
    <row r="1588" spans="1:1" x14ac:dyDescent="0.35">
      <c r="A1588"/>
    </row>
    <row r="1589" spans="1:1" x14ac:dyDescent="0.35">
      <c r="A1589"/>
    </row>
    <row r="1590" spans="1:1" x14ac:dyDescent="0.35">
      <c r="A1590"/>
    </row>
    <row r="1591" spans="1:1" x14ac:dyDescent="0.35">
      <c r="A1591"/>
    </row>
    <row r="1592" spans="1:1" x14ac:dyDescent="0.35">
      <c r="A1592"/>
    </row>
    <row r="1593" spans="1:1" x14ac:dyDescent="0.35">
      <c r="A1593"/>
    </row>
    <row r="1594" spans="1:1" x14ac:dyDescent="0.35">
      <c r="A1594"/>
    </row>
    <row r="1595" spans="1:1" x14ac:dyDescent="0.35">
      <c r="A1595"/>
    </row>
    <row r="1596" spans="1:1" x14ac:dyDescent="0.35">
      <c r="A1596"/>
    </row>
    <row r="1597" spans="1:1" x14ac:dyDescent="0.35">
      <c r="A1597"/>
    </row>
    <row r="1598" spans="1:1" x14ac:dyDescent="0.35">
      <c r="A1598"/>
    </row>
    <row r="1599" spans="1:1" x14ac:dyDescent="0.35">
      <c r="A1599"/>
    </row>
    <row r="1600" spans="1:1" x14ac:dyDescent="0.35">
      <c r="A1600"/>
    </row>
    <row r="1601" spans="1:1" x14ac:dyDescent="0.35">
      <c r="A1601"/>
    </row>
    <row r="1602" spans="1:1" x14ac:dyDescent="0.35">
      <c r="A1602"/>
    </row>
    <row r="1603" spans="1:1" x14ac:dyDescent="0.35">
      <c r="A1603"/>
    </row>
    <row r="1604" spans="1:1" x14ac:dyDescent="0.35">
      <c r="A1604"/>
    </row>
    <row r="1605" spans="1:1" x14ac:dyDescent="0.35">
      <c r="A1605"/>
    </row>
    <row r="1606" spans="1:1" x14ac:dyDescent="0.35">
      <c r="A1606"/>
    </row>
    <row r="1607" spans="1:1" x14ac:dyDescent="0.35">
      <c r="A1607"/>
    </row>
    <row r="1608" spans="1:1" x14ac:dyDescent="0.35">
      <c r="A1608"/>
    </row>
    <row r="1609" spans="1:1" x14ac:dyDescent="0.35">
      <c r="A1609"/>
    </row>
    <row r="1610" spans="1:1" x14ac:dyDescent="0.35">
      <c r="A1610"/>
    </row>
    <row r="1611" spans="1:1" x14ac:dyDescent="0.35">
      <c r="A1611"/>
    </row>
    <row r="1612" spans="1:1" x14ac:dyDescent="0.35">
      <c r="A1612"/>
    </row>
    <row r="1613" spans="1:1" x14ac:dyDescent="0.35">
      <c r="A1613"/>
    </row>
    <row r="1614" spans="1:1" x14ac:dyDescent="0.35">
      <c r="A1614"/>
    </row>
    <row r="1615" spans="1:1" x14ac:dyDescent="0.35">
      <c r="A1615"/>
    </row>
    <row r="1616" spans="1:1" x14ac:dyDescent="0.35">
      <c r="A1616"/>
    </row>
    <row r="1617" spans="1:1" x14ac:dyDescent="0.35">
      <c r="A1617"/>
    </row>
    <row r="1618" spans="1:1" x14ac:dyDescent="0.35">
      <c r="A1618"/>
    </row>
    <row r="1619" spans="1:1" x14ac:dyDescent="0.35">
      <c r="A1619"/>
    </row>
    <row r="1620" spans="1:1" x14ac:dyDescent="0.35">
      <c r="A1620"/>
    </row>
    <row r="1621" spans="1:1" x14ac:dyDescent="0.35">
      <c r="A1621"/>
    </row>
    <row r="1622" spans="1:1" x14ac:dyDescent="0.35">
      <c r="A1622"/>
    </row>
    <row r="1623" spans="1:1" x14ac:dyDescent="0.35">
      <c r="A1623"/>
    </row>
    <row r="1624" spans="1:1" x14ac:dyDescent="0.35">
      <c r="A1624"/>
    </row>
    <row r="1625" spans="1:1" x14ac:dyDescent="0.35">
      <c r="A1625"/>
    </row>
    <row r="1626" spans="1:1" x14ac:dyDescent="0.35">
      <c r="A1626"/>
    </row>
    <row r="1627" spans="1:1" x14ac:dyDescent="0.35">
      <c r="A1627"/>
    </row>
    <row r="1628" spans="1:1" x14ac:dyDescent="0.35">
      <c r="A1628"/>
    </row>
    <row r="1629" spans="1:1" x14ac:dyDescent="0.35">
      <c r="A1629"/>
    </row>
    <row r="1630" spans="1:1" x14ac:dyDescent="0.35">
      <c r="A1630"/>
    </row>
    <row r="1631" spans="1:1" x14ac:dyDescent="0.35">
      <c r="A1631"/>
    </row>
    <row r="1632" spans="1:1" x14ac:dyDescent="0.35">
      <c r="A1632"/>
    </row>
    <row r="1633" spans="1:1" x14ac:dyDescent="0.35">
      <c r="A1633"/>
    </row>
    <row r="1634" spans="1:1" x14ac:dyDescent="0.35">
      <c r="A1634"/>
    </row>
    <row r="1635" spans="1:1" x14ac:dyDescent="0.35">
      <c r="A1635"/>
    </row>
    <row r="1636" spans="1:1" x14ac:dyDescent="0.35">
      <c r="A1636"/>
    </row>
    <row r="1637" spans="1:1" x14ac:dyDescent="0.35">
      <c r="A1637"/>
    </row>
    <row r="1638" spans="1:1" x14ac:dyDescent="0.35">
      <c r="A1638"/>
    </row>
    <row r="1639" spans="1:1" x14ac:dyDescent="0.35">
      <c r="A1639"/>
    </row>
    <row r="1640" spans="1:1" x14ac:dyDescent="0.35">
      <c r="A1640"/>
    </row>
    <row r="1641" spans="1:1" x14ac:dyDescent="0.35">
      <c r="A1641"/>
    </row>
    <row r="1642" spans="1:1" x14ac:dyDescent="0.35">
      <c r="A1642"/>
    </row>
    <row r="1643" spans="1:1" x14ac:dyDescent="0.35">
      <c r="A1643"/>
    </row>
    <row r="1644" spans="1:1" x14ac:dyDescent="0.35">
      <c r="A1644"/>
    </row>
    <row r="1645" spans="1:1" x14ac:dyDescent="0.35">
      <c r="A1645"/>
    </row>
    <row r="1646" spans="1:1" x14ac:dyDescent="0.35">
      <c r="A1646"/>
    </row>
    <row r="1647" spans="1:1" x14ac:dyDescent="0.35">
      <c r="A1647"/>
    </row>
    <row r="1648" spans="1:1" x14ac:dyDescent="0.35">
      <c r="A1648"/>
    </row>
    <row r="1649" spans="1:1" x14ac:dyDescent="0.35">
      <c r="A1649"/>
    </row>
    <row r="1650" spans="1:1" x14ac:dyDescent="0.35">
      <c r="A1650"/>
    </row>
    <row r="1651" spans="1:1" x14ac:dyDescent="0.35">
      <c r="A1651"/>
    </row>
    <row r="1652" spans="1:1" x14ac:dyDescent="0.35">
      <c r="A1652"/>
    </row>
    <row r="1653" spans="1:1" x14ac:dyDescent="0.35">
      <c r="A1653"/>
    </row>
    <row r="1654" spans="1:1" x14ac:dyDescent="0.35">
      <c r="A1654"/>
    </row>
    <row r="1655" spans="1:1" x14ac:dyDescent="0.35">
      <c r="A1655"/>
    </row>
    <row r="1656" spans="1:1" x14ac:dyDescent="0.35">
      <c r="A1656"/>
    </row>
    <row r="1657" spans="1:1" x14ac:dyDescent="0.35">
      <c r="A1657"/>
    </row>
    <row r="1658" spans="1:1" x14ac:dyDescent="0.35">
      <c r="A1658"/>
    </row>
    <row r="1659" spans="1:1" x14ac:dyDescent="0.35">
      <c r="A1659"/>
    </row>
    <row r="1660" spans="1:1" x14ac:dyDescent="0.35">
      <c r="A1660"/>
    </row>
    <row r="1661" spans="1:1" x14ac:dyDescent="0.35">
      <c r="A1661"/>
    </row>
    <row r="1662" spans="1:1" x14ac:dyDescent="0.35">
      <c r="A1662"/>
    </row>
    <row r="1663" spans="1:1" x14ac:dyDescent="0.35">
      <c r="A1663"/>
    </row>
    <row r="1664" spans="1:1" x14ac:dyDescent="0.35">
      <c r="A1664"/>
    </row>
    <row r="1665" spans="1:1" x14ac:dyDescent="0.35">
      <c r="A1665"/>
    </row>
    <row r="1666" spans="1:1" x14ac:dyDescent="0.35">
      <c r="A1666"/>
    </row>
    <row r="1667" spans="1:1" x14ac:dyDescent="0.35">
      <c r="A1667"/>
    </row>
    <row r="1668" spans="1:1" x14ac:dyDescent="0.35">
      <c r="A1668"/>
    </row>
    <row r="1669" spans="1:1" x14ac:dyDescent="0.35">
      <c r="A1669"/>
    </row>
    <row r="1670" spans="1:1" x14ac:dyDescent="0.35">
      <c r="A1670"/>
    </row>
    <row r="1671" spans="1:1" x14ac:dyDescent="0.35">
      <c r="A1671"/>
    </row>
    <row r="1672" spans="1:1" x14ac:dyDescent="0.35">
      <c r="A1672"/>
    </row>
    <row r="1673" spans="1:1" x14ac:dyDescent="0.35">
      <c r="A1673"/>
    </row>
    <row r="1674" spans="1:1" x14ac:dyDescent="0.35">
      <c r="A1674"/>
    </row>
    <row r="1675" spans="1:1" x14ac:dyDescent="0.35">
      <c r="A1675"/>
    </row>
    <row r="1676" spans="1:1" x14ac:dyDescent="0.35">
      <c r="A1676"/>
    </row>
    <row r="1677" spans="1:1" x14ac:dyDescent="0.35">
      <c r="A1677"/>
    </row>
    <row r="1678" spans="1:1" x14ac:dyDescent="0.35">
      <c r="A1678"/>
    </row>
    <row r="1679" spans="1:1" x14ac:dyDescent="0.35">
      <c r="A1679"/>
    </row>
    <row r="1680" spans="1:1" x14ac:dyDescent="0.35">
      <c r="A1680"/>
    </row>
    <row r="1681" spans="1:1" x14ac:dyDescent="0.35">
      <c r="A1681"/>
    </row>
    <row r="1682" spans="1:1" x14ac:dyDescent="0.35">
      <c r="A1682"/>
    </row>
    <row r="1683" spans="1:1" x14ac:dyDescent="0.35">
      <c r="A1683"/>
    </row>
    <row r="1684" spans="1:1" x14ac:dyDescent="0.35">
      <c r="A1684"/>
    </row>
    <row r="1685" spans="1:1" x14ac:dyDescent="0.35">
      <c r="A1685"/>
    </row>
    <row r="1686" spans="1:1" x14ac:dyDescent="0.35">
      <c r="A1686"/>
    </row>
    <row r="1687" spans="1:1" x14ac:dyDescent="0.35">
      <c r="A1687"/>
    </row>
    <row r="1688" spans="1:1" x14ac:dyDescent="0.35">
      <c r="A1688"/>
    </row>
    <row r="1689" spans="1:1" x14ac:dyDescent="0.35">
      <c r="A1689"/>
    </row>
    <row r="1690" spans="1:1" x14ac:dyDescent="0.35">
      <c r="A1690"/>
    </row>
    <row r="1691" spans="1:1" x14ac:dyDescent="0.35">
      <c r="A1691"/>
    </row>
    <row r="1692" spans="1:1" x14ac:dyDescent="0.35">
      <c r="A1692"/>
    </row>
    <row r="1693" spans="1:1" x14ac:dyDescent="0.35">
      <c r="A1693"/>
    </row>
    <row r="1694" spans="1:1" x14ac:dyDescent="0.35">
      <c r="A1694"/>
    </row>
    <row r="1695" spans="1:1" x14ac:dyDescent="0.35">
      <c r="A1695"/>
    </row>
    <row r="1696" spans="1:1" x14ac:dyDescent="0.35">
      <c r="A1696"/>
    </row>
    <row r="1697" spans="1:1" x14ac:dyDescent="0.35">
      <c r="A1697"/>
    </row>
    <row r="1698" spans="1:1" x14ac:dyDescent="0.35">
      <c r="A1698"/>
    </row>
    <row r="1699" spans="1:1" x14ac:dyDescent="0.35">
      <c r="A1699"/>
    </row>
    <row r="1700" spans="1:1" x14ac:dyDescent="0.35">
      <c r="A1700"/>
    </row>
    <row r="1701" spans="1:1" x14ac:dyDescent="0.35">
      <c r="A1701"/>
    </row>
    <row r="1702" spans="1:1" x14ac:dyDescent="0.35">
      <c r="A1702"/>
    </row>
    <row r="1703" spans="1:1" x14ac:dyDescent="0.35">
      <c r="A1703"/>
    </row>
    <row r="1704" spans="1:1" x14ac:dyDescent="0.35">
      <c r="A1704"/>
    </row>
    <row r="1705" spans="1:1" x14ac:dyDescent="0.35">
      <c r="A1705"/>
    </row>
    <row r="1706" spans="1:1" x14ac:dyDescent="0.35">
      <c r="A1706"/>
    </row>
    <row r="1707" spans="1:1" x14ac:dyDescent="0.35">
      <c r="A1707"/>
    </row>
    <row r="1708" spans="1:1" x14ac:dyDescent="0.35">
      <c r="A1708"/>
    </row>
    <row r="1709" spans="1:1" x14ac:dyDescent="0.35">
      <c r="A1709"/>
    </row>
    <row r="1710" spans="1:1" x14ac:dyDescent="0.35">
      <c r="A1710"/>
    </row>
    <row r="1711" spans="1:1" x14ac:dyDescent="0.35">
      <c r="A1711"/>
    </row>
    <row r="1712" spans="1:1" x14ac:dyDescent="0.35">
      <c r="A1712"/>
    </row>
    <row r="1713" spans="1:1" x14ac:dyDescent="0.35">
      <c r="A1713"/>
    </row>
    <row r="1714" spans="1:1" x14ac:dyDescent="0.35">
      <c r="A1714"/>
    </row>
    <row r="1715" spans="1:1" x14ac:dyDescent="0.35">
      <c r="A1715"/>
    </row>
    <row r="1716" spans="1:1" x14ac:dyDescent="0.35">
      <c r="A1716"/>
    </row>
    <row r="1717" spans="1:1" x14ac:dyDescent="0.35">
      <c r="A1717"/>
    </row>
    <row r="1718" spans="1:1" x14ac:dyDescent="0.35">
      <c r="A1718"/>
    </row>
    <row r="1719" spans="1:1" x14ac:dyDescent="0.35">
      <c r="A1719"/>
    </row>
    <row r="1720" spans="1:1" x14ac:dyDescent="0.35">
      <c r="A1720"/>
    </row>
    <row r="1721" spans="1:1" x14ac:dyDescent="0.35">
      <c r="A1721"/>
    </row>
    <row r="1722" spans="1:1" x14ac:dyDescent="0.35">
      <c r="A1722"/>
    </row>
    <row r="1723" spans="1:1" x14ac:dyDescent="0.35">
      <c r="A1723"/>
    </row>
    <row r="1724" spans="1:1" x14ac:dyDescent="0.35">
      <c r="A1724"/>
    </row>
    <row r="1725" spans="1:1" x14ac:dyDescent="0.35">
      <c r="A1725"/>
    </row>
    <row r="1726" spans="1:1" x14ac:dyDescent="0.35">
      <c r="A1726"/>
    </row>
    <row r="1727" spans="1:1" x14ac:dyDescent="0.35">
      <c r="A1727"/>
    </row>
    <row r="1728" spans="1:1" x14ac:dyDescent="0.35">
      <c r="A1728"/>
    </row>
    <row r="1729" spans="1:1" x14ac:dyDescent="0.35">
      <c r="A1729"/>
    </row>
    <row r="1730" spans="1:1" x14ac:dyDescent="0.35">
      <c r="A1730"/>
    </row>
    <row r="1731" spans="1:1" x14ac:dyDescent="0.35">
      <c r="A1731"/>
    </row>
    <row r="1732" spans="1:1" x14ac:dyDescent="0.35">
      <c r="A1732"/>
    </row>
    <row r="1733" spans="1:1" x14ac:dyDescent="0.35">
      <c r="A1733"/>
    </row>
    <row r="1734" spans="1:1" x14ac:dyDescent="0.35">
      <c r="A1734"/>
    </row>
    <row r="1735" spans="1:1" x14ac:dyDescent="0.35">
      <c r="A1735"/>
    </row>
    <row r="1736" spans="1:1" x14ac:dyDescent="0.35">
      <c r="A1736"/>
    </row>
    <row r="1737" spans="1:1" x14ac:dyDescent="0.35">
      <c r="A1737"/>
    </row>
    <row r="1738" spans="1:1" x14ac:dyDescent="0.35">
      <c r="A1738"/>
    </row>
    <row r="1739" spans="1:1" x14ac:dyDescent="0.35">
      <c r="A1739"/>
    </row>
    <row r="1740" spans="1:1" x14ac:dyDescent="0.35">
      <c r="A1740"/>
    </row>
    <row r="1741" spans="1:1" x14ac:dyDescent="0.35">
      <c r="A1741"/>
    </row>
    <row r="1742" spans="1:1" x14ac:dyDescent="0.35">
      <c r="A1742"/>
    </row>
    <row r="1743" spans="1:1" x14ac:dyDescent="0.35">
      <c r="A1743"/>
    </row>
    <row r="1744" spans="1:1" x14ac:dyDescent="0.35">
      <c r="A1744"/>
    </row>
    <row r="1745" spans="1:1" x14ac:dyDescent="0.35">
      <c r="A1745"/>
    </row>
    <row r="1746" spans="1:1" x14ac:dyDescent="0.35">
      <c r="A1746"/>
    </row>
    <row r="1747" spans="1:1" x14ac:dyDescent="0.35">
      <c r="A1747"/>
    </row>
    <row r="1748" spans="1:1" x14ac:dyDescent="0.35">
      <c r="A1748"/>
    </row>
    <row r="1749" spans="1:1" x14ac:dyDescent="0.35">
      <c r="A1749"/>
    </row>
    <row r="1750" spans="1:1" x14ac:dyDescent="0.35">
      <c r="A1750"/>
    </row>
    <row r="1751" spans="1:1" x14ac:dyDescent="0.35">
      <c r="A1751"/>
    </row>
    <row r="1752" spans="1:1" x14ac:dyDescent="0.35">
      <c r="A1752"/>
    </row>
    <row r="1753" spans="1:1" x14ac:dyDescent="0.35">
      <c r="A1753"/>
    </row>
    <row r="1754" spans="1:1" x14ac:dyDescent="0.35">
      <c r="A1754"/>
    </row>
    <row r="1755" spans="1:1" x14ac:dyDescent="0.35">
      <c r="A1755"/>
    </row>
    <row r="1756" spans="1:1" x14ac:dyDescent="0.35">
      <c r="A1756"/>
    </row>
    <row r="1757" spans="1:1" x14ac:dyDescent="0.35">
      <c r="A1757"/>
    </row>
    <row r="1758" spans="1:1" x14ac:dyDescent="0.35">
      <c r="A1758"/>
    </row>
    <row r="1759" spans="1:1" x14ac:dyDescent="0.35">
      <c r="A1759"/>
    </row>
    <row r="1760" spans="1:1" x14ac:dyDescent="0.35">
      <c r="A1760"/>
    </row>
    <row r="1761" spans="1:1" x14ac:dyDescent="0.35">
      <c r="A1761"/>
    </row>
    <row r="1762" spans="1:1" x14ac:dyDescent="0.35">
      <c r="A1762"/>
    </row>
    <row r="1763" spans="1:1" x14ac:dyDescent="0.35">
      <c r="A1763"/>
    </row>
    <row r="1764" spans="1:1" x14ac:dyDescent="0.35">
      <c r="A1764"/>
    </row>
    <row r="1765" spans="1:1" x14ac:dyDescent="0.35">
      <c r="A1765"/>
    </row>
    <row r="1766" spans="1:1" x14ac:dyDescent="0.35">
      <c r="A1766"/>
    </row>
    <row r="1767" spans="1:1" x14ac:dyDescent="0.35">
      <c r="A1767"/>
    </row>
    <row r="1768" spans="1:1" x14ac:dyDescent="0.35">
      <c r="A1768"/>
    </row>
    <row r="1769" spans="1:1" x14ac:dyDescent="0.35">
      <c r="A1769"/>
    </row>
    <row r="1770" spans="1:1" x14ac:dyDescent="0.35">
      <c r="A1770"/>
    </row>
    <row r="1771" spans="1:1" x14ac:dyDescent="0.35">
      <c r="A1771"/>
    </row>
    <row r="1772" spans="1:1" x14ac:dyDescent="0.35">
      <c r="A1772"/>
    </row>
    <row r="1773" spans="1:1" x14ac:dyDescent="0.35">
      <c r="A1773"/>
    </row>
    <row r="1774" spans="1:1" x14ac:dyDescent="0.35">
      <c r="A1774"/>
    </row>
    <row r="1775" spans="1:1" x14ac:dyDescent="0.35">
      <c r="A1775"/>
    </row>
    <row r="1776" spans="1:1" x14ac:dyDescent="0.35">
      <c r="A1776"/>
    </row>
    <row r="1777" spans="1:1" x14ac:dyDescent="0.35">
      <c r="A1777"/>
    </row>
    <row r="1778" spans="1:1" x14ac:dyDescent="0.35">
      <c r="A1778"/>
    </row>
    <row r="1779" spans="1:1" x14ac:dyDescent="0.35">
      <c r="A1779"/>
    </row>
    <row r="1780" spans="1:1" x14ac:dyDescent="0.35">
      <c r="A1780"/>
    </row>
    <row r="1781" spans="1:1" x14ac:dyDescent="0.35">
      <c r="A1781"/>
    </row>
    <row r="1782" spans="1:1" x14ac:dyDescent="0.35">
      <c r="A1782"/>
    </row>
    <row r="1783" spans="1:1" x14ac:dyDescent="0.35">
      <c r="A1783"/>
    </row>
    <row r="1784" spans="1:1" x14ac:dyDescent="0.35">
      <c r="A1784"/>
    </row>
    <row r="1785" spans="1:1" x14ac:dyDescent="0.35">
      <c r="A1785"/>
    </row>
    <row r="1786" spans="1:1" x14ac:dyDescent="0.35">
      <c r="A1786"/>
    </row>
    <row r="1787" spans="1:1" x14ac:dyDescent="0.35">
      <c r="A1787"/>
    </row>
    <row r="1788" spans="1:1" x14ac:dyDescent="0.35">
      <c r="A1788"/>
    </row>
    <row r="1789" spans="1:1" x14ac:dyDescent="0.35">
      <c r="A1789"/>
    </row>
    <row r="1790" spans="1:1" x14ac:dyDescent="0.35">
      <c r="A1790"/>
    </row>
    <row r="1791" spans="1:1" x14ac:dyDescent="0.35">
      <c r="A1791"/>
    </row>
    <row r="1792" spans="1:1" x14ac:dyDescent="0.35">
      <c r="A1792"/>
    </row>
    <row r="1793" spans="1:1" x14ac:dyDescent="0.35">
      <c r="A1793"/>
    </row>
    <row r="1794" spans="1:1" x14ac:dyDescent="0.35">
      <c r="A1794"/>
    </row>
    <row r="1795" spans="1:1" x14ac:dyDescent="0.35">
      <c r="A1795"/>
    </row>
    <row r="1796" spans="1:1" x14ac:dyDescent="0.35">
      <c r="A1796"/>
    </row>
    <row r="1797" spans="1:1" x14ac:dyDescent="0.35">
      <c r="A1797"/>
    </row>
    <row r="1798" spans="1:1" x14ac:dyDescent="0.35">
      <c r="A1798"/>
    </row>
    <row r="1799" spans="1:1" x14ac:dyDescent="0.35">
      <c r="A1799"/>
    </row>
    <row r="1800" spans="1:1" x14ac:dyDescent="0.35">
      <c r="A1800"/>
    </row>
    <row r="1801" spans="1:1" x14ac:dyDescent="0.35">
      <c r="A1801"/>
    </row>
    <row r="1802" spans="1:1" x14ac:dyDescent="0.35">
      <c r="A1802"/>
    </row>
    <row r="1803" spans="1:1" x14ac:dyDescent="0.35">
      <c r="A1803"/>
    </row>
    <row r="1804" spans="1:1" x14ac:dyDescent="0.35">
      <c r="A1804"/>
    </row>
    <row r="1805" spans="1:1" x14ac:dyDescent="0.35">
      <c r="A1805"/>
    </row>
    <row r="1806" spans="1:1" x14ac:dyDescent="0.35">
      <c r="A1806"/>
    </row>
    <row r="1807" spans="1:1" x14ac:dyDescent="0.35">
      <c r="A1807"/>
    </row>
    <row r="1808" spans="1:1" x14ac:dyDescent="0.35">
      <c r="A1808"/>
    </row>
    <row r="1809" spans="1:1" x14ac:dyDescent="0.35">
      <c r="A1809"/>
    </row>
    <row r="1810" spans="1:1" x14ac:dyDescent="0.35">
      <c r="A1810"/>
    </row>
    <row r="1811" spans="1:1" x14ac:dyDescent="0.35">
      <c r="A1811"/>
    </row>
    <row r="1812" spans="1:1" x14ac:dyDescent="0.35">
      <c r="A1812"/>
    </row>
    <row r="1813" spans="1:1" x14ac:dyDescent="0.35">
      <c r="A1813"/>
    </row>
    <row r="1814" spans="1:1" x14ac:dyDescent="0.35">
      <c r="A1814"/>
    </row>
    <row r="1815" spans="1:1" x14ac:dyDescent="0.35">
      <c r="A1815"/>
    </row>
    <row r="1816" spans="1:1" x14ac:dyDescent="0.35">
      <c r="A1816"/>
    </row>
    <row r="1817" spans="1:1" x14ac:dyDescent="0.35">
      <c r="A1817"/>
    </row>
    <row r="1818" spans="1:1" x14ac:dyDescent="0.35">
      <c r="A1818"/>
    </row>
    <row r="1819" spans="1:1" x14ac:dyDescent="0.35">
      <c r="A1819"/>
    </row>
    <row r="1820" spans="1:1" x14ac:dyDescent="0.35">
      <c r="A1820"/>
    </row>
    <row r="1821" spans="1:1" x14ac:dyDescent="0.35">
      <c r="A1821"/>
    </row>
    <row r="1822" spans="1:1" x14ac:dyDescent="0.35">
      <c r="A1822"/>
    </row>
    <row r="1823" spans="1:1" x14ac:dyDescent="0.35">
      <c r="A1823"/>
    </row>
    <row r="1824" spans="1:1" x14ac:dyDescent="0.35">
      <c r="A1824"/>
    </row>
    <row r="1825" spans="1:1" x14ac:dyDescent="0.35">
      <c r="A1825"/>
    </row>
    <row r="1826" spans="1:1" x14ac:dyDescent="0.35">
      <c r="A1826"/>
    </row>
    <row r="1827" spans="1:1" x14ac:dyDescent="0.35">
      <c r="A1827"/>
    </row>
    <row r="1828" spans="1:1" x14ac:dyDescent="0.35">
      <c r="A1828"/>
    </row>
    <row r="1829" spans="1:1" x14ac:dyDescent="0.35">
      <c r="A1829"/>
    </row>
    <row r="1830" spans="1:1" x14ac:dyDescent="0.35">
      <c r="A1830"/>
    </row>
    <row r="1831" spans="1:1" x14ac:dyDescent="0.35">
      <c r="A1831"/>
    </row>
    <row r="1832" spans="1:1" x14ac:dyDescent="0.35">
      <c r="A1832"/>
    </row>
    <row r="1833" spans="1:1" x14ac:dyDescent="0.35">
      <c r="A1833"/>
    </row>
    <row r="1834" spans="1:1" x14ac:dyDescent="0.35">
      <c r="A1834"/>
    </row>
    <row r="1835" spans="1:1" x14ac:dyDescent="0.35">
      <c r="A1835"/>
    </row>
    <row r="1836" spans="1:1" x14ac:dyDescent="0.35">
      <c r="A1836"/>
    </row>
    <row r="1837" spans="1:1" x14ac:dyDescent="0.35">
      <c r="A1837"/>
    </row>
    <row r="1838" spans="1:1" x14ac:dyDescent="0.35">
      <c r="A1838"/>
    </row>
    <row r="1839" spans="1:1" x14ac:dyDescent="0.35">
      <c r="A1839"/>
    </row>
    <row r="1840" spans="1:1" x14ac:dyDescent="0.35">
      <c r="A1840"/>
    </row>
    <row r="1841" spans="1:1" x14ac:dyDescent="0.35">
      <c r="A1841"/>
    </row>
    <row r="1842" spans="1:1" x14ac:dyDescent="0.35">
      <c r="A1842"/>
    </row>
    <row r="1843" spans="1:1" x14ac:dyDescent="0.35">
      <c r="A1843"/>
    </row>
    <row r="1844" spans="1:1" x14ac:dyDescent="0.35">
      <c r="A1844"/>
    </row>
    <row r="1845" spans="1:1" x14ac:dyDescent="0.35">
      <c r="A1845"/>
    </row>
    <row r="1846" spans="1:1" x14ac:dyDescent="0.35">
      <c r="A1846"/>
    </row>
    <row r="1847" spans="1:1" x14ac:dyDescent="0.35">
      <c r="A1847"/>
    </row>
    <row r="1848" spans="1:1" x14ac:dyDescent="0.35">
      <c r="A1848"/>
    </row>
    <row r="1849" spans="1:1" x14ac:dyDescent="0.35">
      <c r="A1849"/>
    </row>
    <row r="1850" spans="1:1" x14ac:dyDescent="0.35">
      <c r="A1850"/>
    </row>
    <row r="1851" spans="1:1" x14ac:dyDescent="0.35">
      <c r="A1851"/>
    </row>
    <row r="1852" spans="1:1" x14ac:dyDescent="0.35">
      <c r="A1852"/>
    </row>
    <row r="1853" spans="1:1" x14ac:dyDescent="0.35">
      <c r="A1853"/>
    </row>
    <row r="1854" spans="1:1" x14ac:dyDescent="0.35">
      <c r="A1854"/>
    </row>
    <row r="1855" spans="1:1" x14ac:dyDescent="0.35">
      <c r="A1855"/>
    </row>
    <row r="1856" spans="1:1" x14ac:dyDescent="0.35">
      <c r="A1856"/>
    </row>
    <row r="1857" spans="1:1" x14ac:dyDescent="0.35">
      <c r="A1857"/>
    </row>
    <row r="1858" spans="1:1" x14ac:dyDescent="0.35">
      <c r="A1858"/>
    </row>
    <row r="1859" spans="1:1" x14ac:dyDescent="0.35">
      <c r="A1859"/>
    </row>
    <row r="1860" spans="1:1" x14ac:dyDescent="0.35">
      <c r="A1860"/>
    </row>
    <row r="1861" spans="1:1" x14ac:dyDescent="0.35">
      <c r="A1861"/>
    </row>
    <row r="1862" spans="1:1" x14ac:dyDescent="0.35">
      <c r="A1862"/>
    </row>
    <row r="1863" spans="1:1" x14ac:dyDescent="0.35">
      <c r="A1863"/>
    </row>
    <row r="1864" spans="1:1" x14ac:dyDescent="0.35">
      <c r="A1864"/>
    </row>
    <row r="1865" spans="1:1" x14ac:dyDescent="0.35">
      <c r="A1865"/>
    </row>
    <row r="1866" spans="1:1" x14ac:dyDescent="0.35">
      <c r="A1866"/>
    </row>
    <row r="1867" spans="1:1" x14ac:dyDescent="0.35">
      <c r="A1867"/>
    </row>
    <row r="1868" spans="1:1" x14ac:dyDescent="0.35">
      <c r="A1868"/>
    </row>
    <row r="1869" spans="1:1" x14ac:dyDescent="0.35">
      <c r="A1869"/>
    </row>
    <row r="1870" spans="1:1" x14ac:dyDescent="0.35">
      <c r="A1870"/>
    </row>
    <row r="1871" spans="1:1" x14ac:dyDescent="0.35">
      <c r="A1871"/>
    </row>
    <row r="1872" spans="1:1" x14ac:dyDescent="0.35">
      <c r="A1872"/>
    </row>
    <row r="1873" spans="1:1" x14ac:dyDescent="0.35">
      <c r="A1873"/>
    </row>
    <row r="1874" spans="1:1" x14ac:dyDescent="0.35">
      <c r="A1874"/>
    </row>
    <row r="1875" spans="1:1" x14ac:dyDescent="0.35">
      <c r="A1875"/>
    </row>
    <row r="1876" spans="1:1" x14ac:dyDescent="0.35">
      <c r="A1876"/>
    </row>
    <row r="1877" spans="1:1" x14ac:dyDescent="0.35">
      <c r="A1877"/>
    </row>
    <row r="1878" spans="1:1" x14ac:dyDescent="0.35">
      <c r="A1878"/>
    </row>
    <row r="1879" spans="1:1" x14ac:dyDescent="0.35">
      <c r="A1879"/>
    </row>
    <row r="1880" spans="1:1" x14ac:dyDescent="0.35">
      <c r="A1880"/>
    </row>
    <row r="1881" spans="1:1" x14ac:dyDescent="0.35">
      <c r="A1881"/>
    </row>
    <row r="1882" spans="1:1" x14ac:dyDescent="0.35">
      <c r="A1882"/>
    </row>
    <row r="1883" spans="1:1" x14ac:dyDescent="0.35">
      <c r="A1883"/>
    </row>
    <row r="1884" spans="1:1" x14ac:dyDescent="0.35">
      <c r="A1884"/>
    </row>
    <row r="1885" spans="1:1" x14ac:dyDescent="0.35">
      <c r="A1885"/>
    </row>
    <row r="1886" spans="1:1" x14ac:dyDescent="0.35">
      <c r="A1886"/>
    </row>
    <row r="1887" spans="1:1" x14ac:dyDescent="0.35">
      <c r="A1887"/>
    </row>
    <row r="1888" spans="1:1" x14ac:dyDescent="0.35">
      <c r="A1888"/>
    </row>
    <row r="1889" spans="1:1" x14ac:dyDescent="0.35">
      <c r="A1889"/>
    </row>
    <row r="1890" spans="1:1" x14ac:dyDescent="0.35">
      <c r="A1890"/>
    </row>
    <row r="1891" spans="1:1" x14ac:dyDescent="0.35">
      <c r="A1891"/>
    </row>
    <row r="1892" spans="1:1" x14ac:dyDescent="0.35">
      <c r="A1892"/>
    </row>
    <row r="1893" spans="1:1" x14ac:dyDescent="0.35">
      <c r="A1893"/>
    </row>
    <row r="1894" spans="1:1" x14ac:dyDescent="0.35">
      <c r="A1894"/>
    </row>
    <row r="1895" spans="1:1" x14ac:dyDescent="0.35">
      <c r="A1895"/>
    </row>
    <row r="1896" spans="1:1" x14ac:dyDescent="0.35">
      <c r="A1896"/>
    </row>
    <row r="1897" spans="1:1" x14ac:dyDescent="0.35">
      <c r="A1897"/>
    </row>
    <row r="1898" spans="1:1" x14ac:dyDescent="0.35">
      <c r="A1898"/>
    </row>
    <row r="1899" spans="1:1" x14ac:dyDescent="0.35">
      <c r="A1899"/>
    </row>
    <row r="1900" spans="1:1" x14ac:dyDescent="0.35">
      <c r="A1900"/>
    </row>
    <row r="1901" spans="1:1" x14ac:dyDescent="0.35">
      <c r="A1901"/>
    </row>
    <row r="1902" spans="1:1" x14ac:dyDescent="0.35">
      <c r="A1902"/>
    </row>
    <row r="1903" spans="1:1" x14ac:dyDescent="0.35">
      <c r="A1903"/>
    </row>
    <row r="1904" spans="1:1" x14ac:dyDescent="0.35">
      <c r="A1904"/>
    </row>
    <row r="1905" spans="1:1" x14ac:dyDescent="0.35">
      <c r="A1905"/>
    </row>
    <row r="1906" spans="1:1" x14ac:dyDescent="0.35">
      <c r="A1906"/>
    </row>
    <row r="1907" spans="1:1" x14ac:dyDescent="0.35">
      <c r="A1907"/>
    </row>
    <row r="1908" spans="1:1" x14ac:dyDescent="0.35">
      <c r="A1908"/>
    </row>
    <row r="1909" spans="1:1" x14ac:dyDescent="0.35">
      <c r="A1909"/>
    </row>
    <row r="1910" spans="1:1" x14ac:dyDescent="0.35">
      <c r="A1910"/>
    </row>
    <row r="1911" spans="1:1" x14ac:dyDescent="0.35">
      <c r="A1911"/>
    </row>
    <row r="1912" spans="1:1" x14ac:dyDescent="0.35">
      <c r="A1912"/>
    </row>
    <row r="1913" spans="1:1" x14ac:dyDescent="0.35">
      <c r="A1913"/>
    </row>
    <row r="1914" spans="1:1" x14ac:dyDescent="0.35">
      <c r="A1914"/>
    </row>
    <row r="1915" spans="1:1" x14ac:dyDescent="0.35">
      <c r="A1915"/>
    </row>
    <row r="1916" spans="1:1" x14ac:dyDescent="0.35">
      <c r="A1916"/>
    </row>
    <row r="1917" spans="1:1" x14ac:dyDescent="0.35">
      <c r="A1917"/>
    </row>
    <row r="1918" spans="1:1" x14ac:dyDescent="0.35">
      <c r="A1918"/>
    </row>
    <row r="1919" spans="1:1" x14ac:dyDescent="0.35">
      <c r="A1919"/>
    </row>
    <row r="1920" spans="1:1" x14ac:dyDescent="0.35">
      <c r="A1920"/>
    </row>
    <row r="1921" spans="1:1" x14ac:dyDescent="0.35">
      <c r="A1921"/>
    </row>
    <row r="1922" spans="1:1" x14ac:dyDescent="0.35">
      <c r="A1922"/>
    </row>
    <row r="1923" spans="1:1" x14ac:dyDescent="0.35">
      <c r="A1923"/>
    </row>
    <row r="1924" spans="1:1" x14ac:dyDescent="0.35">
      <c r="A1924"/>
    </row>
    <row r="1925" spans="1:1" x14ac:dyDescent="0.35">
      <c r="A1925"/>
    </row>
    <row r="1926" spans="1:1" x14ac:dyDescent="0.35">
      <c r="A1926"/>
    </row>
    <row r="1927" spans="1:1" x14ac:dyDescent="0.35">
      <c r="A1927"/>
    </row>
    <row r="1928" spans="1:1" x14ac:dyDescent="0.35">
      <c r="A1928"/>
    </row>
    <row r="1929" spans="1:1" x14ac:dyDescent="0.35">
      <c r="A1929"/>
    </row>
    <row r="1930" spans="1:1" x14ac:dyDescent="0.35">
      <c r="A1930"/>
    </row>
    <row r="1931" spans="1:1" x14ac:dyDescent="0.35">
      <c r="A1931"/>
    </row>
    <row r="1932" spans="1:1" x14ac:dyDescent="0.35">
      <c r="A1932"/>
    </row>
    <row r="1933" spans="1:1" x14ac:dyDescent="0.35">
      <c r="A1933"/>
    </row>
    <row r="1934" spans="1:1" x14ac:dyDescent="0.35">
      <c r="A1934"/>
    </row>
    <row r="1935" spans="1:1" x14ac:dyDescent="0.35">
      <c r="A1935"/>
    </row>
    <row r="1936" spans="1:1" x14ac:dyDescent="0.35">
      <c r="A1936"/>
    </row>
    <row r="1937" spans="1:1" x14ac:dyDescent="0.35">
      <c r="A1937"/>
    </row>
    <row r="1938" spans="1:1" x14ac:dyDescent="0.35">
      <c r="A1938"/>
    </row>
    <row r="1939" spans="1:1" x14ac:dyDescent="0.35">
      <c r="A1939"/>
    </row>
    <row r="1940" spans="1:1" x14ac:dyDescent="0.35">
      <c r="A1940"/>
    </row>
    <row r="1941" spans="1:1" x14ac:dyDescent="0.35">
      <c r="A1941"/>
    </row>
    <row r="1942" spans="1:1" x14ac:dyDescent="0.35">
      <c r="A1942"/>
    </row>
    <row r="1943" spans="1:1" x14ac:dyDescent="0.35">
      <c r="A1943"/>
    </row>
    <row r="1944" spans="1:1" x14ac:dyDescent="0.35">
      <c r="A1944"/>
    </row>
    <row r="1945" spans="1:1" x14ac:dyDescent="0.35">
      <c r="A1945"/>
    </row>
    <row r="1946" spans="1:1" x14ac:dyDescent="0.35">
      <c r="A1946"/>
    </row>
    <row r="1947" spans="1:1" x14ac:dyDescent="0.35">
      <c r="A1947"/>
    </row>
    <row r="1948" spans="1:1" x14ac:dyDescent="0.35">
      <c r="A1948"/>
    </row>
    <row r="1949" spans="1:1" x14ac:dyDescent="0.35">
      <c r="A1949"/>
    </row>
    <row r="1950" spans="1:1" x14ac:dyDescent="0.35">
      <c r="A1950"/>
    </row>
    <row r="1951" spans="1:1" x14ac:dyDescent="0.35">
      <c r="A1951"/>
    </row>
    <row r="1952" spans="1:1" x14ac:dyDescent="0.35">
      <c r="A1952"/>
    </row>
    <row r="1953" spans="1:1" x14ac:dyDescent="0.35">
      <c r="A1953"/>
    </row>
    <row r="1954" spans="1:1" x14ac:dyDescent="0.35">
      <c r="A1954"/>
    </row>
    <row r="1955" spans="1:1" x14ac:dyDescent="0.35">
      <c r="A1955"/>
    </row>
    <row r="1956" spans="1:1" x14ac:dyDescent="0.35">
      <c r="A1956"/>
    </row>
    <row r="1957" spans="1:1" x14ac:dyDescent="0.35">
      <c r="A1957"/>
    </row>
    <row r="1958" spans="1:1" x14ac:dyDescent="0.35">
      <c r="A1958"/>
    </row>
    <row r="1959" spans="1:1" x14ac:dyDescent="0.35">
      <c r="A1959"/>
    </row>
    <row r="1960" spans="1:1" x14ac:dyDescent="0.35">
      <c r="A1960"/>
    </row>
    <row r="1961" spans="1:1" x14ac:dyDescent="0.35">
      <c r="A1961"/>
    </row>
    <row r="1962" spans="1:1" x14ac:dyDescent="0.35">
      <c r="A1962"/>
    </row>
    <row r="1963" spans="1:1" x14ac:dyDescent="0.35">
      <c r="A1963"/>
    </row>
    <row r="1964" spans="1:1" x14ac:dyDescent="0.35">
      <c r="A1964"/>
    </row>
    <row r="1965" spans="1:1" x14ac:dyDescent="0.35">
      <c r="A1965"/>
    </row>
    <row r="1966" spans="1:1" x14ac:dyDescent="0.35">
      <c r="A1966"/>
    </row>
    <row r="1967" spans="1:1" x14ac:dyDescent="0.35">
      <c r="A1967"/>
    </row>
    <row r="1968" spans="1:1" x14ac:dyDescent="0.35">
      <c r="A1968"/>
    </row>
    <row r="1969" spans="1:1" x14ac:dyDescent="0.35">
      <c r="A1969"/>
    </row>
    <row r="1970" spans="1:1" x14ac:dyDescent="0.35">
      <c r="A1970"/>
    </row>
    <row r="1971" spans="1:1" x14ac:dyDescent="0.35">
      <c r="A1971"/>
    </row>
    <row r="1972" spans="1:1" x14ac:dyDescent="0.35">
      <c r="A1972"/>
    </row>
    <row r="1973" spans="1:1" x14ac:dyDescent="0.35">
      <c r="A1973"/>
    </row>
    <row r="1974" spans="1:1" x14ac:dyDescent="0.35">
      <c r="A1974"/>
    </row>
    <row r="1975" spans="1:1" x14ac:dyDescent="0.35">
      <c r="A1975"/>
    </row>
    <row r="1976" spans="1:1" x14ac:dyDescent="0.35">
      <c r="A1976"/>
    </row>
    <row r="1977" spans="1:1" x14ac:dyDescent="0.35">
      <c r="A1977"/>
    </row>
    <row r="1978" spans="1:1" x14ac:dyDescent="0.35">
      <c r="A1978"/>
    </row>
    <row r="1979" spans="1:1" x14ac:dyDescent="0.35">
      <c r="A1979"/>
    </row>
    <row r="1980" spans="1:1" x14ac:dyDescent="0.35">
      <c r="A1980"/>
    </row>
    <row r="1981" spans="1:1" x14ac:dyDescent="0.35">
      <c r="A1981"/>
    </row>
    <row r="1982" spans="1:1" x14ac:dyDescent="0.35">
      <c r="A1982"/>
    </row>
    <row r="1983" spans="1:1" x14ac:dyDescent="0.35">
      <c r="A1983"/>
    </row>
    <row r="1984" spans="1:1" x14ac:dyDescent="0.35">
      <c r="A1984"/>
    </row>
    <row r="1985" spans="1:1" x14ac:dyDescent="0.35">
      <c r="A1985"/>
    </row>
    <row r="1986" spans="1:1" x14ac:dyDescent="0.35">
      <c r="A1986"/>
    </row>
    <row r="1987" spans="1:1" x14ac:dyDescent="0.35">
      <c r="A1987"/>
    </row>
    <row r="1988" spans="1:1" x14ac:dyDescent="0.35">
      <c r="A1988"/>
    </row>
    <row r="1989" spans="1:1" x14ac:dyDescent="0.35">
      <c r="A1989"/>
    </row>
    <row r="1990" spans="1:1" x14ac:dyDescent="0.35">
      <c r="A1990"/>
    </row>
    <row r="1991" spans="1:1" x14ac:dyDescent="0.35">
      <c r="A1991"/>
    </row>
    <row r="1992" spans="1:1" x14ac:dyDescent="0.35">
      <c r="A1992"/>
    </row>
    <row r="1993" spans="1:1" x14ac:dyDescent="0.35">
      <c r="A1993"/>
    </row>
    <row r="1994" spans="1:1" x14ac:dyDescent="0.35">
      <c r="A1994"/>
    </row>
    <row r="1995" spans="1:1" x14ac:dyDescent="0.35">
      <c r="A1995"/>
    </row>
    <row r="1996" spans="1:1" x14ac:dyDescent="0.35">
      <c r="A1996"/>
    </row>
    <row r="1997" spans="1:1" x14ac:dyDescent="0.35">
      <c r="A1997"/>
    </row>
    <row r="1998" spans="1:1" x14ac:dyDescent="0.35">
      <c r="A1998"/>
    </row>
    <row r="1999" spans="1:1" x14ac:dyDescent="0.35">
      <c r="A1999"/>
    </row>
    <row r="2000" spans="1:1" x14ac:dyDescent="0.35">
      <c r="A2000"/>
    </row>
    <row r="2001" spans="1:1" x14ac:dyDescent="0.35">
      <c r="A2001"/>
    </row>
    <row r="2002" spans="1:1" x14ac:dyDescent="0.35">
      <c r="A2002"/>
    </row>
    <row r="2003" spans="1:1" x14ac:dyDescent="0.35">
      <c r="A2003"/>
    </row>
    <row r="2004" spans="1:1" x14ac:dyDescent="0.35">
      <c r="A2004"/>
    </row>
    <row r="2005" spans="1:1" x14ac:dyDescent="0.35">
      <c r="A2005"/>
    </row>
    <row r="2006" spans="1:1" x14ac:dyDescent="0.35">
      <c r="A2006"/>
    </row>
    <row r="2007" spans="1:1" x14ac:dyDescent="0.35">
      <c r="A2007"/>
    </row>
    <row r="2008" spans="1:1" x14ac:dyDescent="0.35">
      <c r="A2008"/>
    </row>
    <row r="2009" spans="1:1" x14ac:dyDescent="0.35">
      <c r="A2009"/>
    </row>
    <row r="2010" spans="1:1" x14ac:dyDescent="0.35">
      <c r="A2010"/>
    </row>
    <row r="2011" spans="1:1" x14ac:dyDescent="0.35">
      <c r="A2011"/>
    </row>
    <row r="2012" spans="1:1" x14ac:dyDescent="0.35">
      <c r="A2012"/>
    </row>
    <row r="2013" spans="1:1" x14ac:dyDescent="0.35">
      <c r="A2013"/>
    </row>
    <row r="2014" spans="1:1" x14ac:dyDescent="0.35">
      <c r="A2014"/>
    </row>
    <row r="2015" spans="1:1" x14ac:dyDescent="0.35">
      <c r="A2015"/>
    </row>
    <row r="2016" spans="1:1" x14ac:dyDescent="0.35">
      <c r="A2016"/>
    </row>
    <row r="2017" spans="1:1" x14ac:dyDescent="0.35">
      <c r="A2017"/>
    </row>
    <row r="2018" spans="1:1" x14ac:dyDescent="0.35">
      <c r="A2018"/>
    </row>
    <row r="2019" spans="1:1" x14ac:dyDescent="0.35">
      <c r="A2019"/>
    </row>
    <row r="2020" spans="1:1" x14ac:dyDescent="0.35">
      <c r="A2020"/>
    </row>
    <row r="2021" spans="1:1" x14ac:dyDescent="0.35">
      <c r="A2021"/>
    </row>
    <row r="2022" spans="1:1" x14ac:dyDescent="0.35">
      <c r="A2022"/>
    </row>
    <row r="2023" spans="1:1" x14ac:dyDescent="0.35">
      <c r="A2023"/>
    </row>
    <row r="2024" spans="1:1" x14ac:dyDescent="0.35">
      <c r="A2024"/>
    </row>
    <row r="2025" spans="1:1" x14ac:dyDescent="0.35">
      <c r="A2025"/>
    </row>
    <row r="2026" spans="1:1" x14ac:dyDescent="0.35">
      <c r="A2026"/>
    </row>
    <row r="2027" spans="1:1" x14ac:dyDescent="0.35">
      <c r="A2027"/>
    </row>
    <row r="2028" spans="1:1" x14ac:dyDescent="0.35">
      <c r="A2028"/>
    </row>
    <row r="2029" spans="1:1" x14ac:dyDescent="0.35">
      <c r="A2029"/>
    </row>
    <row r="2030" spans="1:1" x14ac:dyDescent="0.35">
      <c r="A2030"/>
    </row>
    <row r="2031" spans="1:1" x14ac:dyDescent="0.35">
      <c r="A2031"/>
    </row>
    <row r="2032" spans="1:1" x14ac:dyDescent="0.35">
      <c r="A2032"/>
    </row>
    <row r="2033" spans="1:1" x14ac:dyDescent="0.35">
      <c r="A2033"/>
    </row>
    <row r="2034" spans="1:1" x14ac:dyDescent="0.35">
      <c r="A2034"/>
    </row>
    <row r="2035" spans="1:1" x14ac:dyDescent="0.35">
      <c r="A2035"/>
    </row>
    <row r="2036" spans="1:1" x14ac:dyDescent="0.35">
      <c r="A2036"/>
    </row>
    <row r="2037" spans="1:1" x14ac:dyDescent="0.35">
      <c r="A2037"/>
    </row>
    <row r="2038" spans="1:1" x14ac:dyDescent="0.35">
      <c r="A2038"/>
    </row>
    <row r="2039" spans="1:1" x14ac:dyDescent="0.35">
      <c r="A2039"/>
    </row>
    <row r="2040" spans="1:1" x14ac:dyDescent="0.35">
      <c r="A2040"/>
    </row>
    <row r="2041" spans="1:1" x14ac:dyDescent="0.35">
      <c r="A2041"/>
    </row>
    <row r="2042" spans="1:1" x14ac:dyDescent="0.35">
      <c r="A2042"/>
    </row>
    <row r="2043" spans="1:1" x14ac:dyDescent="0.35">
      <c r="A2043"/>
    </row>
    <row r="2044" spans="1:1" x14ac:dyDescent="0.35">
      <c r="A2044"/>
    </row>
    <row r="2045" spans="1:1" x14ac:dyDescent="0.35">
      <c r="A2045"/>
    </row>
    <row r="2046" spans="1:1" x14ac:dyDescent="0.35">
      <c r="A2046"/>
    </row>
    <row r="2047" spans="1:1" x14ac:dyDescent="0.35">
      <c r="A2047"/>
    </row>
    <row r="2048" spans="1:1" x14ac:dyDescent="0.35">
      <c r="A2048"/>
    </row>
    <row r="2049" spans="1:1" x14ac:dyDescent="0.35">
      <c r="A2049"/>
    </row>
    <row r="2050" spans="1:1" x14ac:dyDescent="0.35">
      <c r="A2050"/>
    </row>
    <row r="2051" spans="1:1" x14ac:dyDescent="0.35">
      <c r="A2051"/>
    </row>
    <row r="2052" spans="1:1" x14ac:dyDescent="0.35">
      <c r="A2052"/>
    </row>
    <row r="2053" spans="1:1" x14ac:dyDescent="0.35">
      <c r="A2053"/>
    </row>
    <row r="2054" spans="1:1" x14ac:dyDescent="0.35">
      <c r="A2054"/>
    </row>
    <row r="2055" spans="1:1" x14ac:dyDescent="0.35">
      <c r="A2055"/>
    </row>
    <row r="2056" spans="1:1" x14ac:dyDescent="0.35">
      <c r="A2056"/>
    </row>
    <row r="2057" spans="1:1" x14ac:dyDescent="0.35">
      <c r="A2057"/>
    </row>
    <row r="2058" spans="1:1" x14ac:dyDescent="0.35">
      <c r="A2058"/>
    </row>
    <row r="2059" spans="1:1" x14ac:dyDescent="0.35">
      <c r="A2059"/>
    </row>
    <row r="2060" spans="1:1" x14ac:dyDescent="0.35">
      <c r="A2060"/>
    </row>
    <row r="2061" spans="1:1" x14ac:dyDescent="0.35">
      <c r="A2061"/>
    </row>
    <row r="2062" spans="1:1" x14ac:dyDescent="0.35">
      <c r="A2062"/>
    </row>
    <row r="2063" spans="1:1" x14ac:dyDescent="0.35">
      <c r="A2063"/>
    </row>
    <row r="2064" spans="1:1" x14ac:dyDescent="0.35">
      <c r="A2064"/>
    </row>
    <row r="2065" spans="1:1" x14ac:dyDescent="0.35">
      <c r="A2065"/>
    </row>
    <row r="2066" spans="1:1" x14ac:dyDescent="0.35">
      <c r="A2066"/>
    </row>
    <row r="2067" spans="1:1" x14ac:dyDescent="0.35">
      <c r="A2067"/>
    </row>
    <row r="2068" spans="1:1" x14ac:dyDescent="0.35">
      <c r="A2068"/>
    </row>
    <row r="2069" spans="1:1" x14ac:dyDescent="0.35">
      <c r="A2069"/>
    </row>
    <row r="2070" spans="1:1" x14ac:dyDescent="0.35">
      <c r="A2070"/>
    </row>
    <row r="2071" spans="1:1" x14ac:dyDescent="0.35">
      <c r="A2071"/>
    </row>
    <row r="2072" spans="1:1" x14ac:dyDescent="0.35">
      <c r="A2072"/>
    </row>
    <row r="2073" spans="1:1" x14ac:dyDescent="0.35">
      <c r="A2073"/>
    </row>
    <row r="2074" spans="1:1" x14ac:dyDescent="0.35">
      <c r="A2074"/>
    </row>
    <row r="2075" spans="1:1" x14ac:dyDescent="0.35">
      <c r="A2075"/>
    </row>
    <row r="2076" spans="1:1" x14ac:dyDescent="0.35">
      <c r="A2076"/>
    </row>
    <row r="2077" spans="1:1" x14ac:dyDescent="0.35">
      <c r="A2077"/>
    </row>
    <row r="2078" spans="1:1" x14ac:dyDescent="0.35">
      <c r="A2078"/>
    </row>
    <row r="2079" spans="1:1" x14ac:dyDescent="0.35">
      <c r="A2079"/>
    </row>
    <row r="2080" spans="1:1" x14ac:dyDescent="0.35">
      <c r="A2080"/>
    </row>
    <row r="2081" spans="1:1" x14ac:dyDescent="0.35">
      <c r="A2081"/>
    </row>
    <row r="2082" spans="1:1" x14ac:dyDescent="0.35">
      <c r="A2082"/>
    </row>
    <row r="2083" spans="1:1" x14ac:dyDescent="0.35">
      <c r="A2083"/>
    </row>
    <row r="2084" spans="1:1" x14ac:dyDescent="0.35">
      <c r="A2084"/>
    </row>
    <row r="2085" spans="1:1" x14ac:dyDescent="0.35">
      <c r="A2085"/>
    </row>
    <row r="2086" spans="1:1" x14ac:dyDescent="0.35">
      <c r="A2086"/>
    </row>
    <row r="2087" spans="1:1" x14ac:dyDescent="0.35">
      <c r="A2087"/>
    </row>
    <row r="2088" spans="1:1" x14ac:dyDescent="0.35">
      <c r="A2088"/>
    </row>
    <row r="2089" spans="1:1" x14ac:dyDescent="0.35">
      <c r="A2089"/>
    </row>
    <row r="2090" spans="1:1" x14ac:dyDescent="0.35">
      <c r="A2090"/>
    </row>
    <row r="2091" spans="1:1" x14ac:dyDescent="0.35">
      <c r="A2091"/>
    </row>
    <row r="2092" spans="1:1" x14ac:dyDescent="0.35">
      <c r="A2092"/>
    </row>
    <row r="2093" spans="1:1" x14ac:dyDescent="0.35">
      <c r="A2093"/>
    </row>
    <row r="2094" spans="1:1" x14ac:dyDescent="0.35">
      <c r="A2094"/>
    </row>
    <row r="2095" spans="1:1" x14ac:dyDescent="0.35">
      <c r="A2095"/>
    </row>
    <row r="2096" spans="1:1" x14ac:dyDescent="0.35">
      <c r="A2096"/>
    </row>
    <row r="2097" spans="1:1" x14ac:dyDescent="0.35">
      <c r="A2097"/>
    </row>
    <row r="2098" spans="1:1" x14ac:dyDescent="0.35">
      <c r="A2098"/>
    </row>
    <row r="2099" spans="1:1" x14ac:dyDescent="0.35">
      <c r="A2099"/>
    </row>
    <row r="2100" spans="1:1" x14ac:dyDescent="0.35">
      <c r="A2100"/>
    </row>
    <row r="2101" spans="1:1" x14ac:dyDescent="0.35">
      <c r="A2101"/>
    </row>
    <row r="2102" spans="1:1" x14ac:dyDescent="0.35">
      <c r="A2102"/>
    </row>
    <row r="2103" spans="1:1" x14ac:dyDescent="0.35">
      <c r="A2103"/>
    </row>
    <row r="2104" spans="1:1" x14ac:dyDescent="0.35">
      <c r="A2104"/>
    </row>
    <row r="2105" spans="1:1" x14ac:dyDescent="0.35">
      <c r="A2105"/>
    </row>
    <row r="2106" spans="1:1" x14ac:dyDescent="0.35">
      <c r="A2106"/>
    </row>
    <row r="2107" spans="1:1" x14ac:dyDescent="0.35">
      <c r="A2107"/>
    </row>
    <row r="2108" spans="1:1" x14ac:dyDescent="0.35">
      <c r="A2108"/>
    </row>
    <row r="2109" spans="1:1" x14ac:dyDescent="0.35">
      <c r="A2109"/>
    </row>
    <row r="2110" spans="1:1" x14ac:dyDescent="0.35">
      <c r="A2110"/>
    </row>
    <row r="2111" spans="1:1" x14ac:dyDescent="0.35">
      <c r="A2111"/>
    </row>
    <row r="2112" spans="1:1" x14ac:dyDescent="0.35">
      <c r="A2112"/>
    </row>
    <row r="2113" spans="1:1" x14ac:dyDescent="0.35">
      <c r="A2113"/>
    </row>
    <row r="2114" spans="1:1" x14ac:dyDescent="0.35">
      <c r="A2114"/>
    </row>
    <row r="2115" spans="1:1" x14ac:dyDescent="0.35">
      <c r="A2115"/>
    </row>
    <row r="2116" spans="1:1" x14ac:dyDescent="0.35">
      <c r="A2116"/>
    </row>
    <row r="2117" spans="1:1" x14ac:dyDescent="0.35">
      <c r="A2117"/>
    </row>
    <row r="2118" spans="1:1" x14ac:dyDescent="0.35">
      <c r="A2118"/>
    </row>
    <row r="2119" spans="1:1" x14ac:dyDescent="0.35">
      <c r="A2119"/>
    </row>
    <row r="2120" spans="1:1" x14ac:dyDescent="0.35">
      <c r="A2120"/>
    </row>
    <row r="2121" spans="1:1" x14ac:dyDescent="0.35">
      <c r="A2121"/>
    </row>
    <row r="2122" spans="1:1" x14ac:dyDescent="0.35">
      <c r="A2122"/>
    </row>
    <row r="2123" spans="1:1" x14ac:dyDescent="0.35">
      <c r="A2123"/>
    </row>
    <row r="2124" spans="1:1" x14ac:dyDescent="0.35">
      <c r="A2124"/>
    </row>
    <row r="2125" spans="1:1" x14ac:dyDescent="0.35">
      <c r="A2125"/>
    </row>
    <row r="2126" spans="1:1" x14ac:dyDescent="0.35">
      <c r="A2126"/>
    </row>
    <row r="2127" spans="1:1" x14ac:dyDescent="0.35">
      <c r="A2127"/>
    </row>
    <row r="2128" spans="1:1" x14ac:dyDescent="0.35">
      <c r="A2128"/>
    </row>
    <row r="2129" spans="1:1" x14ac:dyDescent="0.35">
      <c r="A2129"/>
    </row>
    <row r="2130" spans="1:1" x14ac:dyDescent="0.35">
      <c r="A2130"/>
    </row>
    <row r="2131" spans="1:1" x14ac:dyDescent="0.35">
      <c r="A2131"/>
    </row>
    <row r="2132" spans="1:1" x14ac:dyDescent="0.35">
      <c r="A2132"/>
    </row>
    <row r="2133" spans="1:1" x14ac:dyDescent="0.35">
      <c r="A2133"/>
    </row>
    <row r="2134" spans="1:1" x14ac:dyDescent="0.35">
      <c r="A2134"/>
    </row>
    <row r="2135" spans="1:1" x14ac:dyDescent="0.35">
      <c r="A2135"/>
    </row>
    <row r="2136" spans="1:1" x14ac:dyDescent="0.35">
      <c r="A2136"/>
    </row>
    <row r="2137" spans="1:1" x14ac:dyDescent="0.35">
      <c r="A2137"/>
    </row>
    <row r="2138" spans="1:1" x14ac:dyDescent="0.35">
      <c r="A2138"/>
    </row>
    <row r="2139" spans="1:1" x14ac:dyDescent="0.35">
      <c r="A2139"/>
    </row>
    <row r="2140" spans="1:1" x14ac:dyDescent="0.35">
      <c r="A2140"/>
    </row>
    <row r="2141" spans="1:1" x14ac:dyDescent="0.35">
      <c r="A2141"/>
    </row>
    <row r="2142" spans="1:1" x14ac:dyDescent="0.35">
      <c r="A2142"/>
    </row>
    <row r="2143" spans="1:1" x14ac:dyDescent="0.35">
      <c r="A2143"/>
    </row>
    <row r="2144" spans="1:1" x14ac:dyDescent="0.35">
      <c r="A2144"/>
    </row>
    <row r="2145" spans="1:1" x14ac:dyDescent="0.35">
      <c r="A2145"/>
    </row>
    <row r="2146" spans="1:1" x14ac:dyDescent="0.35">
      <c r="A2146"/>
    </row>
    <row r="2147" spans="1:1" x14ac:dyDescent="0.35">
      <c r="A2147"/>
    </row>
    <row r="2148" spans="1:1" x14ac:dyDescent="0.35">
      <c r="A2148"/>
    </row>
    <row r="2149" spans="1:1" x14ac:dyDescent="0.35">
      <c r="A2149"/>
    </row>
    <row r="2150" spans="1:1" x14ac:dyDescent="0.35">
      <c r="A2150"/>
    </row>
    <row r="2151" spans="1:1" x14ac:dyDescent="0.35">
      <c r="A2151"/>
    </row>
    <row r="2152" spans="1:1" x14ac:dyDescent="0.35">
      <c r="A2152"/>
    </row>
    <row r="2153" spans="1:1" x14ac:dyDescent="0.35">
      <c r="A2153"/>
    </row>
    <row r="2154" spans="1:1" x14ac:dyDescent="0.35">
      <c r="A2154"/>
    </row>
    <row r="2155" spans="1:1" x14ac:dyDescent="0.35">
      <c r="A2155"/>
    </row>
    <row r="2156" spans="1:1" x14ac:dyDescent="0.35">
      <c r="A2156"/>
    </row>
    <row r="2157" spans="1:1" x14ac:dyDescent="0.35">
      <c r="A2157"/>
    </row>
    <row r="2158" spans="1:1" x14ac:dyDescent="0.35">
      <c r="A2158"/>
    </row>
    <row r="2159" spans="1:1" x14ac:dyDescent="0.35">
      <c r="A2159"/>
    </row>
    <row r="2160" spans="1:1" x14ac:dyDescent="0.35">
      <c r="A2160"/>
    </row>
    <row r="2161" spans="1:1" x14ac:dyDescent="0.35">
      <c r="A2161"/>
    </row>
    <row r="2162" spans="1:1" x14ac:dyDescent="0.35">
      <c r="A2162"/>
    </row>
    <row r="2163" spans="1:1" x14ac:dyDescent="0.35">
      <c r="A2163"/>
    </row>
    <row r="2164" spans="1:1" x14ac:dyDescent="0.35">
      <c r="A2164"/>
    </row>
    <row r="2165" spans="1:1" x14ac:dyDescent="0.35">
      <c r="A2165"/>
    </row>
    <row r="2166" spans="1:1" x14ac:dyDescent="0.35">
      <c r="A2166"/>
    </row>
    <row r="2167" spans="1:1" x14ac:dyDescent="0.35">
      <c r="A2167"/>
    </row>
    <row r="2168" spans="1:1" x14ac:dyDescent="0.35">
      <c r="A2168"/>
    </row>
    <row r="2169" spans="1:1" x14ac:dyDescent="0.35">
      <c r="A2169"/>
    </row>
    <row r="2170" spans="1:1" x14ac:dyDescent="0.35">
      <c r="A2170"/>
    </row>
    <row r="2171" spans="1:1" x14ac:dyDescent="0.35">
      <c r="A2171"/>
    </row>
    <row r="2172" spans="1:1" x14ac:dyDescent="0.35">
      <c r="A2172"/>
    </row>
    <row r="2173" spans="1:1" x14ac:dyDescent="0.35">
      <c r="A2173"/>
    </row>
    <row r="2174" spans="1:1" x14ac:dyDescent="0.35">
      <c r="A2174"/>
    </row>
    <row r="2175" spans="1:1" x14ac:dyDescent="0.35">
      <c r="A2175"/>
    </row>
    <row r="2176" spans="1:1" x14ac:dyDescent="0.35">
      <c r="A2176"/>
    </row>
    <row r="2177" spans="1:1" x14ac:dyDescent="0.35">
      <c r="A2177"/>
    </row>
    <row r="2178" spans="1:1" x14ac:dyDescent="0.35">
      <c r="A2178"/>
    </row>
    <row r="2179" spans="1:1" x14ac:dyDescent="0.35">
      <c r="A2179"/>
    </row>
    <row r="2180" spans="1:1" x14ac:dyDescent="0.35">
      <c r="A2180"/>
    </row>
    <row r="2181" spans="1:1" x14ac:dyDescent="0.35">
      <c r="A2181"/>
    </row>
    <row r="2182" spans="1:1" x14ac:dyDescent="0.35">
      <c r="A2182"/>
    </row>
    <row r="2183" spans="1:1" x14ac:dyDescent="0.35">
      <c r="A2183"/>
    </row>
    <row r="2184" spans="1:1" x14ac:dyDescent="0.35">
      <c r="A2184"/>
    </row>
    <row r="2185" spans="1:1" x14ac:dyDescent="0.35">
      <c r="A2185"/>
    </row>
    <row r="2186" spans="1:1" x14ac:dyDescent="0.35">
      <c r="A2186"/>
    </row>
    <row r="2187" spans="1:1" x14ac:dyDescent="0.35">
      <c r="A2187"/>
    </row>
    <row r="2188" spans="1:1" x14ac:dyDescent="0.35">
      <c r="A2188"/>
    </row>
    <row r="2189" spans="1:1" x14ac:dyDescent="0.35">
      <c r="A2189"/>
    </row>
    <row r="2190" spans="1:1" x14ac:dyDescent="0.35">
      <c r="A2190"/>
    </row>
    <row r="2191" spans="1:1" x14ac:dyDescent="0.35">
      <c r="A2191"/>
    </row>
    <row r="2192" spans="1:1" x14ac:dyDescent="0.35">
      <c r="A2192"/>
    </row>
    <row r="2193" spans="1:1" x14ac:dyDescent="0.35">
      <c r="A2193"/>
    </row>
    <row r="2194" spans="1:1" x14ac:dyDescent="0.35">
      <c r="A2194"/>
    </row>
    <row r="2195" spans="1:1" x14ac:dyDescent="0.35">
      <c r="A2195"/>
    </row>
    <row r="2196" spans="1:1" x14ac:dyDescent="0.35">
      <c r="A2196"/>
    </row>
    <row r="2197" spans="1:1" x14ac:dyDescent="0.35">
      <c r="A2197"/>
    </row>
    <row r="2198" spans="1:1" x14ac:dyDescent="0.35">
      <c r="A2198"/>
    </row>
    <row r="2199" spans="1:1" x14ac:dyDescent="0.35">
      <c r="A2199"/>
    </row>
    <row r="2200" spans="1:1" x14ac:dyDescent="0.35">
      <c r="A2200"/>
    </row>
    <row r="2201" spans="1:1" x14ac:dyDescent="0.35">
      <c r="A2201"/>
    </row>
    <row r="2202" spans="1:1" x14ac:dyDescent="0.35">
      <c r="A2202"/>
    </row>
    <row r="2203" spans="1:1" x14ac:dyDescent="0.35">
      <c r="A2203"/>
    </row>
    <row r="2204" spans="1:1" x14ac:dyDescent="0.35">
      <c r="A2204"/>
    </row>
    <row r="2205" spans="1:1" x14ac:dyDescent="0.35">
      <c r="A2205"/>
    </row>
    <row r="2206" spans="1:1" x14ac:dyDescent="0.35">
      <c r="A2206"/>
    </row>
    <row r="2207" spans="1:1" x14ac:dyDescent="0.35">
      <c r="A2207"/>
    </row>
    <row r="2208" spans="1:1" x14ac:dyDescent="0.35">
      <c r="A2208"/>
    </row>
    <row r="2209" spans="1:1" x14ac:dyDescent="0.35">
      <c r="A2209"/>
    </row>
    <row r="2210" spans="1:1" x14ac:dyDescent="0.35">
      <c r="A2210"/>
    </row>
    <row r="2211" spans="1:1" x14ac:dyDescent="0.35">
      <c r="A2211"/>
    </row>
    <row r="2212" spans="1:1" x14ac:dyDescent="0.35">
      <c r="A2212"/>
    </row>
    <row r="2213" spans="1:1" x14ac:dyDescent="0.35">
      <c r="A2213"/>
    </row>
    <row r="2214" spans="1:1" x14ac:dyDescent="0.35">
      <c r="A2214"/>
    </row>
    <row r="2215" spans="1:1" x14ac:dyDescent="0.35">
      <c r="A2215"/>
    </row>
    <row r="2216" spans="1:1" x14ac:dyDescent="0.35">
      <c r="A2216"/>
    </row>
    <row r="2217" spans="1:1" x14ac:dyDescent="0.35">
      <c r="A2217"/>
    </row>
    <row r="2218" spans="1:1" x14ac:dyDescent="0.35">
      <c r="A2218"/>
    </row>
    <row r="2219" spans="1:1" x14ac:dyDescent="0.35">
      <c r="A2219"/>
    </row>
    <row r="2220" spans="1:1" x14ac:dyDescent="0.35">
      <c r="A2220"/>
    </row>
    <row r="2221" spans="1:1" x14ac:dyDescent="0.35">
      <c r="A2221"/>
    </row>
    <row r="2222" spans="1:1" x14ac:dyDescent="0.35">
      <c r="A2222"/>
    </row>
    <row r="2223" spans="1:1" x14ac:dyDescent="0.35">
      <c r="A2223"/>
    </row>
    <row r="2224" spans="1:1" x14ac:dyDescent="0.35">
      <c r="A2224"/>
    </row>
    <row r="2225" spans="1:1" x14ac:dyDescent="0.35">
      <c r="A2225"/>
    </row>
    <row r="2226" spans="1:1" x14ac:dyDescent="0.35">
      <c r="A2226"/>
    </row>
    <row r="2227" spans="1:1" x14ac:dyDescent="0.35">
      <c r="A2227"/>
    </row>
    <row r="2228" spans="1:1" x14ac:dyDescent="0.35">
      <c r="A2228"/>
    </row>
    <row r="2229" spans="1:1" x14ac:dyDescent="0.35">
      <c r="A2229"/>
    </row>
    <row r="2230" spans="1:1" x14ac:dyDescent="0.35">
      <c r="A2230"/>
    </row>
    <row r="2231" spans="1:1" x14ac:dyDescent="0.35">
      <c r="A2231"/>
    </row>
    <row r="2232" spans="1:1" x14ac:dyDescent="0.35">
      <c r="A2232"/>
    </row>
    <row r="2233" spans="1:1" x14ac:dyDescent="0.35">
      <c r="A2233"/>
    </row>
    <row r="2234" spans="1:1" x14ac:dyDescent="0.35">
      <c r="A2234"/>
    </row>
    <row r="2235" spans="1:1" x14ac:dyDescent="0.35">
      <c r="A2235"/>
    </row>
    <row r="2236" spans="1:1" x14ac:dyDescent="0.35">
      <c r="A2236"/>
    </row>
    <row r="2237" spans="1:1" x14ac:dyDescent="0.35">
      <c r="A2237"/>
    </row>
    <row r="2238" spans="1:1" x14ac:dyDescent="0.35">
      <c r="A2238"/>
    </row>
    <row r="2239" spans="1:1" x14ac:dyDescent="0.35">
      <c r="A2239"/>
    </row>
    <row r="2240" spans="1:1" x14ac:dyDescent="0.35">
      <c r="A2240"/>
    </row>
    <row r="2241" spans="1:1" x14ac:dyDescent="0.35">
      <c r="A2241"/>
    </row>
    <row r="2242" spans="1:1" x14ac:dyDescent="0.35">
      <c r="A2242"/>
    </row>
    <row r="2243" spans="1:1" x14ac:dyDescent="0.35">
      <c r="A2243"/>
    </row>
    <row r="2244" spans="1:1" x14ac:dyDescent="0.35">
      <c r="A2244"/>
    </row>
    <row r="2245" spans="1:1" x14ac:dyDescent="0.35">
      <c r="A2245"/>
    </row>
    <row r="2246" spans="1:1" x14ac:dyDescent="0.35">
      <c r="A2246"/>
    </row>
    <row r="2247" spans="1:1" x14ac:dyDescent="0.35">
      <c r="A2247"/>
    </row>
    <row r="2248" spans="1:1" x14ac:dyDescent="0.35">
      <c r="A2248"/>
    </row>
    <row r="2249" spans="1:1" x14ac:dyDescent="0.35">
      <c r="A2249"/>
    </row>
    <row r="2250" spans="1:1" x14ac:dyDescent="0.35">
      <c r="A2250"/>
    </row>
    <row r="2251" spans="1:1" x14ac:dyDescent="0.35">
      <c r="A2251"/>
    </row>
    <row r="2252" spans="1:1" x14ac:dyDescent="0.35">
      <c r="A2252"/>
    </row>
    <row r="2253" spans="1:1" x14ac:dyDescent="0.35">
      <c r="A2253"/>
    </row>
    <row r="2254" spans="1:1" x14ac:dyDescent="0.35">
      <c r="A2254"/>
    </row>
    <row r="2255" spans="1:1" x14ac:dyDescent="0.35">
      <c r="A2255"/>
    </row>
    <row r="2256" spans="1:1" x14ac:dyDescent="0.35">
      <c r="A2256"/>
    </row>
    <row r="2257" spans="1:1" x14ac:dyDescent="0.35">
      <c r="A2257"/>
    </row>
    <row r="2258" spans="1:1" x14ac:dyDescent="0.35">
      <c r="A2258"/>
    </row>
    <row r="2259" spans="1:1" x14ac:dyDescent="0.35">
      <c r="A2259"/>
    </row>
    <row r="2260" spans="1:1" x14ac:dyDescent="0.35">
      <c r="A2260"/>
    </row>
    <row r="2261" spans="1:1" x14ac:dyDescent="0.35">
      <c r="A2261"/>
    </row>
    <row r="2262" spans="1:1" x14ac:dyDescent="0.35">
      <c r="A2262"/>
    </row>
    <row r="2263" spans="1:1" x14ac:dyDescent="0.35">
      <c r="A2263"/>
    </row>
    <row r="2264" spans="1:1" x14ac:dyDescent="0.35">
      <c r="A2264"/>
    </row>
    <row r="2265" spans="1:1" x14ac:dyDescent="0.35">
      <c r="A2265"/>
    </row>
    <row r="2266" spans="1:1" x14ac:dyDescent="0.35">
      <c r="A2266"/>
    </row>
    <row r="2267" spans="1:1" x14ac:dyDescent="0.35">
      <c r="A2267"/>
    </row>
    <row r="2268" spans="1:1" x14ac:dyDescent="0.35">
      <c r="A2268"/>
    </row>
    <row r="2269" spans="1:1" x14ac:dyDescent="0.35">
      <c r="A2269"/>
    </row>
    <row r="2270" spans="1:1" x14ac:dyDescent="0.35">
      <c r="A2270"/>
    </row>
    <row r="2271" spans="1:1" x14ac:dyDescent="0.35">
      <c r="A2271"/>
    </row>
    <row r="2272" spans="1:1" x14ac:dyDescent="0.35">
      <c r="A2272"/>
    </row>
    <row r="2273" spans="1:1" x14ac:dyDescent="0.35">
      <c r="A2273"/>
    </row>
    <row r="2274" spans="1:1" x14ac:dyDescent="0.35">
      <c r="A2274"/>
    </row>
    <row r="2275" spans="1:1" x14ac:dyDescent="0.35">
      <c r="A2275"/>
    </row>
    <row r="2276" spans="1:1" x14ac:dyDescent="0.35">
      <c r="A2276"/>
    </row>
    <row r="2277" spans="1:1" x14ac:dyDescent="0.35">
      <c r="A2277"/>
    </row>
    <row r="2278" spans="1:1" x14ac:dyDescent="0.35">
      <c r="A2278"/>
    </row>
    <row r="2279" spans="1:1" x14ac:dyDescent="0.35">
      <c r="A2279"/>
    </row>
    <row r="2280" spans="1:1" x14ac:dyDescent="0.35">
      <c r="A2280"/>
    </row>
    <row r="2281" spans="1:1" x14ac:dyDescent="0.35">
      <c r="A2281"/>
    </row>
    <row r="2282" spans="1:1" x14ac:dyDescent="0.35">
      <c r="A2282"/>
    </row>
    <row r="2283" spans="1:1" x14ac:dyDescent="0.35">
      <c r="A2283"/>
    </row>
    <row r="2284" spans="1:1" x14ac:dyDescent="0.35">
      <c r="A2284"/>
    </row>
    <row r="2285" spans="1:1" x14ac:dyDescent="0.35">
      <c r="A2285"/>
    </row>
    <row r="2286" spans="1:1" x14ac:dyDescent="0.35">
      <c r="A2286"/>
    </row>
    <row r="2287" spans="1:1" x14ac:dyDescent="0.35">
      <c r="A2287"/>
    </row>
    <row r="2288" spans="1:1" x14ac:dyDescent="0.35">
      <c r="A2288"/>
    </row>
    <row r="2289" spans="1:1" x14ac:dyDescent="0.35">
      <c r="A2289"/>
    </row>
    <row r="2290" spans="1:1" x14ac:dyDescent="0.35">
      <c r="A2290"/>
    </row>
    <row r="2291" spans="1:1" x14ac:dyDescent="0.35">
      <c r="A2291"/>
    </row>
    <row r="2292" spans="1:1" x14ac:dyDescent="0.35">
      <c r="A2292"/>
    </row>
    <row r="2293" spans="1:1" x14ac:dyDescent="0.35">
      <c r="A2293"/>
    </row>
    <row r="2294" spans="1:1" x14ac:dyDescent="0.35">
      <c r="A2294"/>
    </row>
    <row r="2295" spans="1:1" x14ac:dyDescent="0.35">
      <c r="A2295"/>
    </row>
    <row r="2296" spans="1:1" x14ac:dyDescent="0.35">
      <c r="A2296"/>
    </row>
    <row r="2297" spans="1:1" x14ac:dyDescent="0.35">
      <c r="A2297"/>
    </row>
    <row r="2298" spans="1:1" x14ac:dyDescent="0.35">
      <c r="A2298"/>
    </row>
    <row r="2299" spans="1:1" x14ac:dyDescent="0.35">
      <c r="A2299"/>
    </row>
    <row r="2300" spans="1:1" x14ac:dyDescent="0.35">
      <c r="A2300"/>
    </row>
    <row r="2301" spans="1:1" x14ac:dyDescent="0.35">
      <c r="A2301"/>
    </row>
    <row r="2302" spans="1:1" x14ac:dyDescent="0.35">
      <c r="A2302"/>
    </row>
    <row r="2303" spans="1:1" x14ac:dyDescent="0.35">
      <c r="A2303"/>
    </row>
    <row r="2304" spans="1:1" x14ac:dyDescent="0.35">
      <c r="A2304"/>
    </row>
    <row r="2305" spans="1:1" x14ac:dyDescent="0.35">
      <c r="A2305"/>
    </row>
    <row r="2306" spans="1:1" x14ac:dyDescent="0.35">
      <c r="A2306"/>
    </row>
    <row r="2307" spans="1:1" x14ac:dyDescent="0.35">
      <c r="A2307"/>
    </row>
    <row r="2308" spans="1:1" x14ac:dyDescent="0.35">
      <c r="A2308"/>
    </row>
    <row r="2309" spans="1:1" x14ac:dyDescent="0.35">
      <c r="A2309"/>
    </row>
    <row r="2310" spans="1:1" x14ac:dyDescent="0.35">
      <c r="A2310"/>
    </row>
    <row r="2311" spans="1:1" x14ac:dyDescent="0.35">
      <c r="A2311"/>
    </row>
    <row r="2312" spans="1:1" x14ac:dyDescent="0.35">
      <c r="A2312"/>
    </row>
    <row r="2313" spans="1:1" x14ac:dyDescent="0.35">
      <c r="A2313"/>
    </row>
    <row r="2314" spans="1:1" x14ac:dyDescent="0.35">
      <c r="A2314"/>
    </row>
    <row r="2315" spans="1:1" x14ac:dyDescent="0.35">
      <c r="A2315"/>
    </row>
    <row r="2316" spans="1:1" x14ac:dyDescent="0.35">
      <c r="A2316"/>
    </row>
    <row r="2317" spans="1:1" x14ac:dyDescent="0.35">
      <c r="A2317"/>
    </row>
    <row r="2318" spans="1:1" x14ac:dyDescent="0.35">
      <c r="A2318"/>
    </row>
    <row r="2319" spans="1:1" x14ac:dyDescent="0.35">
      <c r="A2319"/>
    </row>
    <row r="2320" spans="1:1" x14ac:dyDescent="0.35">
      <c r="A2320"/>
    </row>
    <row r="2321" spans="1:1" x14ac:dyDescent="0.35">
      <c r="A2321"/>
    </row>
    <row r="2322" spans="1:1" x14ac:dyDescent="0.35">
      <c r="A2322"/>
    </row>
    <row r="2323" spans="1:1" x14ac:dyDescent="0.35">
      <c r="A2323"/>
    </row>
    <row r="2324" spans="1:1" x14ac:dyDescent="0.35">
      <c r="A2324"/>
    </row>
    <row r="2325" spans="1:1" x14ac:dyDescent="0.35">
      <c r="A2325"/>
    </row>
    <row r="2326" spans="1:1" x14ac:dyDescent="0.35">
      <c r="A2326"/>
    </row>
    <row r="2327" spans="1:1" x14ac:dyDescent="0.35">
      <c r="A2327"/>
    </row>
    <row r="2328" spans="1:1" x14ac:dyDescent="0.35">
      <c r="A2328"/>
    </row>
    <row r="2329" spans="1:1" x14ac:dyDescent="0.35">
      <c r="A2329"/>
    </row>
    <row r="2330" spans="1:1" x14ac:dyDescent="0.35">
      <c r="A2330"/>
    </row>
    <row r="2331" spans="1:1" x14ac:dyDescent="0.35">
      <c r="A2331"/>
    </row>
    <row r="2332" spans="1:1" x14ac:dyDescent="0.35">
      <c r="A2332"/>
    </row>
    <row r="2333" spans="1:1" x14ac:dyDescent="0.35">
      <c r="A2333"/>
    </row>
    <row r="2334" spans="1:1" x14ac:dyDescent="0.35">
      <c r="A2334"/>
    </row>
    <row r="2335" spans="1:1" x14ac:dyDescent="0.35">
      <c r="A2335"/>
    </row>
    <row r="2336" spans="1:1" x14ac:dyDescent="0.35">
      <c r="A2336"/>
    </row>
    <row r="2337" spans="1:1" x14ac:dyDescent="0.35">
      <c r="A2337"/>
    </row>
    <row r="2338" spans="1:1" x14ac:dyDescent="0.35">
      <c r="A2338"/>
    </row>
    <row r="2339" spans="1:1" x14ac:dyDescent="0.35">
      <c r="A2339"/>
    </row>
    <row r="2340" spans="1:1" x14ac:dyDescent="0.35">
      <c r="A2340"/>
    </row>
    <row r="2341" spans="1:1" x14ac:dyDescent="0.35">
      <c r="A2341"/>
    </row>
    <row r="2342" spans="1:1" x14ac:dyDescent="0.35">
      <c r="A2342"/>
    </row>
    <row r="2343" spans="1:1" x14ac:dyDescent="0.35">
      <c r="A2343"/>
    </row>
    <row r="2344" spans="1:1" x14ac:dyDescent="0.35">
      <c r="A2344"/>
    </row>
    <row r="2345" spans="1:1" x14ac:dyDescent="0.35">
      <c r="A2345"/>
    </row>
    <row r="2346" spans="1:1" x14ac:dyDescent="0.35">
      <c r="A2346"/>
    </row>
    <row r="2347" spans="1:1" x14ac:dyDescent="0.35">
      <c r="A2347"/>
    </row>
    <row r="2348" spans="1:1" x14ac:dyDescent="0.35">
      <c r="A2348"/>
    </row>
    <row r="2349" spans="1:1" x14ac:dyDescent="0.35">
      <c r="A2349"/>
    </row>
    <row r="2350" spans="1:1" x14ac:dyDescent="0.35">
      <c r="A2350"/>
    </row>
    <row r="2351" spans="1:1" x14ac:dyDescent="0.35">
      <c r="A2351"/>
    </row>
    <row r="2352" spans="1:1" x14ac:dyDescent="0.35">
      <c r="A2352"/>
    </row>
    <row r="2353" spans="1:1" x14ac:dyDescent="0.35">
      <c r="A2353"/>
    </row>
    <row r="2354" spans="1:1" x14ac:dyDescent="0.35">
      <c r="A2354"/>
    </row>
    <row r="2355" spans="1:1" x14ac:dyDescent="0.35">
      <c r="A2355"/>
    </row>
    <row r="2356" spans="1:1" x14ac:dyDescent="0.35">
      <c r="A2356"/>
    </row>
    <row r="2357" spans="1:1" x14ac:dyDescent="0.35">
      <c r="A2357"/>
    </row>
    <row r="2358" spans="1:1" x14ac:dyDescent="0.35">
      <c r="A2358"/>
    </row>
    <row r="2359" spans="1:1" x14ac:dyDescent="0.35">
      <c r="A2359"/>
    </row>
    <row r="2360" spans="1:1" x14ac:dyDescent="0.35">
      <c r="A2360"/>
    </row>
    <row r="2361" spans="1:1" x14ac:dyDescent="0.35">
      <c r="A2361"/>
    </row>
    <row r="2362" spans="1:1" x14ac:dyDescent="0.35">
      <c r="A2362"/>
    </row>
    <row r="2363" spans="1:1" x14ac:dyDescent="0.35">
      <c r="A2363"/>
    </row>
    <row r="2364" spans="1:1" x14ac:dyDescent="0.35">
      <c r="A2364"/>
    </row>
    <row r="2365" spans="1:1" x14ac:dyDescent="0.35">
      <c r="A2365"/>
    </row>
    <row r="2366" spans="1:1" x14ac:dyDescent="0.35">
      <c r="A2366"/>
    </row>
    <row r="2367" spans="1:1" x14ac:dyDescent="0.35">
      <c r="A2367"/>
    </row>
    <row r="2368" spans="1:1" x14ac:dyDescent="0.35">
      <c r="A2368"/>
    </row>
    <row r="2369" spans="1:1" x14ac:dyDescent="0.35">
      <c r="A2369"/>
    </row>
    <row r="2370" spans="1:1" x14ac:dyDescent="0.35">
      <c r="A2370"/>
    </row>
    <row r="2371" spans="1:1" x14ac:dyDescent="0.35">
      <c r="A2371"/>
    </row>
    <row r="2372" spans="1:1" x14ac:dyDescent="0.35">
      <c r="A2372"/>
    </row>
    <row r="2373" spans="1:1" x14ac:dyDescent="0.35">
      <c r="A2373"/>
    </row>
    <row r="2374" spans="1:1" x14ac:dyDescent="0.35">
      <c r="A2374"/>
    </row>
    <row r="2375" spans="1:1" x14ac:dyDescent="0.35">
      <c r="A2375"/>
    </row>
    <row r="2376" spans="1:1" x14ac:dyDescent="0.35">
      <c r="A2376"/>
    </row>
    <row r="2377" spans="1:1" x14ac:dyDescent="0.35">
      <c r="A2377"/>
    </row>
    <row r="2378" spans="1:1" x14ac:dyDescent="0.35">
      <c r="A2378"/>
    </row>
    <row r="2379" spans="1:1" x14ac:dyDescent="0.35">
      <c r="A2379"/>
    </row>
    <row r="2380" spans="1:1" x14ac:dyDescent="0.35">
      <c r="A2380"/>
    </row>
    <row r="2381" spans="1:1" x14ac:dyDescent="0.35">
      <c r="A2381"/>
    </row>
    <row r="2382" spans="1:1" x14ac:dyDescent="0.35">
      <c r="A2382"/>
    </row>
    <row r="2383" spans="1:1" x14ac:dyDescent="0.35">
      <c r="A2383"/>
    </row>
    <row r="2384" spans="1:1" x14ac:dyDescent="0.35">
      <c r="A2384"/>
    </row>
    <row r="2385" spans="1:1" x14ac:dyDescent="0.35">
      <c r="A2385"/>
    </row>
    <row r="2386" spans="1:1" x14ac:dyDescent="0.35">
      <c r="A2386"/>
    </row>
    <row r="2387" spans="1:1" x14ac:dyDescent="0.35">
      <c r="A2387"/>
    </row>
    <row r="2388" spans="1:1" x14ac:dyDescent="0.35">
      <c r="A2388"/>
    </row>
    <row r="2389" spans="1:1" x14ac:dyDescent="0.35">
      <c r="A2389"/>
    </row>
    <row r="2390" spans="1:1" x14ac:dyDescent="0.35">
      <c r="A2390"/>
    </row>
    <row r="2391" spans="1:1" x14ac:dyDescent="0.35">
      <c r="A2391"/>
    </row>
    <row r="2392" spans="1:1" x14ac:dyDescent="0.35">
      <c r="A2392"/>
    </row>
    <row r="2393" spans="1:1" x14ac:dyDescent="0.35">
      <c r="A2393"/>
    </row>
    <row r="2394" spans="1:1" x14ac:dyDescent="0.35">
      <c r="A2394"/>
    </row>
    <row r="2395" spans="1:1" x14ac:dyDescent="0.35">
      <c r="A2395"/>
    </row>
    <row r="2396" spans="1:1" x14ac:dyDescent="0.35">
      <c r="A2396"/>
    </row>
    <row r="2397" spans="1:1" x14ac:dyDescent="0.35">
      <c r="A2397"/>
    </row>
    <row r="2398" spans="1:1" x14ac:dyDescent="0.35">
      <c r="A2398"/>
    </row>
    <row r="2399" spans="1:1" x14ac:dyDescent="0.35">
      <c r="A2399"/>
    </row>
    <row r="2400" spans="1:1" x14ac:dyDescent="0.35">
      <c r="A2400"/>
    </row>
    <row r="2401" spans="1:1" x14ac:dyDescent="0.35">
      <c r="A2401"/>
    </row>
    <row r="2402" spans="1:1" x14ac:dyDescent="0.35">
      <c r="A2402"/>
    </row>
    <row r="2403" spans="1:1" x14ac:dyDescent="0.35">
      <c r="A2403"/>
    </row>
    <row r="2404" spans="1:1" x14ac:dyDescent="0.35">
      <c r="A2404"/>
    </row>
    <row r="2405" spans="1:1" x14ac:dyDescent="0.35">
      <c r="A2405"/>
    </row>
    <row r="2406" spans="1:1" x14ac:dyDescent="0.35">
      <c r="A2406"/>
    </row>
    <row r="2407" spans="1:1" x14ac:dyDescent="0.35">
      <c r="A2407"/>
    </row>
    <row r="2408" spans="1:1" x14ac:dyDescent="0.35">
      <c r="A2408"/>
    </row>
    <row r="2409" spans="1:1" x14ac:dyDescent="0.35">
      <c r="A2409"/>
    </row>
    <row r="2410" spans="1:1" x14ac:dyDescent="0.35">
      <c r="A2410"/>
    </row>
    <row r="2411" spans="1:1" x14ac:dyDescent="0.35">
      <c r="A2411"/>
    </row>
    <row r="2412" spans="1:1" x14ac:dyDescent="0.35">
      <c r="A2412"/>
    </row>
    <row r="2413" spans="1:1" x14ac:dyDescent="0.35">
      <c r="A2413"/>
    </row>
    <row r="2414" spans="1:1" x14ac:dyDescent="0.35">
      <c r="A2414"/>
    </row>
    <row r="2415" spans="1:1" x14ac:dyDescent="0.35">
      <c r="A2415"/>
    </row>
    <row r="2416" spans="1:1" x14ac:dyDescent="0.35">
      <c r="A2416"/>
    </row>
    <row r="2417" spans="1:1" x14ac:dyDescent="0.35">
      <c r="A2417"/>
    </row>
    <row r="2418" spans="1:1" x14ac:dyDescent="0.35">
      <c r="A2418"/>
    </row>
    <row r="2419" spans="1:1" x14ac:dyDescent="0.35">
      <c r="A2419"/>
    </row>
    <row r="2420" spans="1:1" x14ac:dyDescent="0.35">
      <c r="A2420"/>
    </row>
    <row r="2421" spans="1:1" x14ac:dyDescent="0.35">
      <c r="A2421"/>
    </row>
    <row r="2422" spans="1:1" x14ac:dyDescent="0.35">
      <c r="A2422"/>
    </row>
    <row r="2423" spans="1:1" x14ac:dyDescent="0.35">
      <c r="A2423"/>
    </row>
    <row r="2424" spans="1:1" x14ac:dyDescent="0.35">
      <c r="A2424"/>
    </row>
    <row r="2425" spans="1:1" x14ac:dyDescent="0.35">
      <c r="A2425"/>
    </row>
    <row r="2426" spans="1:1" x14ac:dyDescent="0.35">
      <c r="A2426"/>
    </row>
    <row r="2427" spans="1:1" x14ac:dyDescent="0.35">
      <c r="A2427"/>
    </row>
    <row r="2428" spans="1:1" x14ac:dyDescent="0.35">
      <c r="A2428"/>
    </row>
    <row r="2429" spans="1:1" x14ac:dyDescent="0.35">
      <c r="A2429"/>
    </row>
    <row r="2430" spans="1:1" x14ac:dyDescent="0.35">
      <c r="A2430"/>
    </row>
    <row r="2431" spans="1:1" x14ac:dyDescent="0.35">
      <c r="A2431"/>
    </row>
    <row r="2432" spans="1:1" x14ac:dyDescent="0.35">
      <c r="A2432"/>
    </row>
    <row r="2433" spans="1:1" x14ac:dyDescent="0.35">
      <c r="A2433"/>
    </row>
    <row r="2434" spans="1:1" x14ac:dyDescent="0.35">
      <c r="A2434"/>
    </row>
    <row r="2435" spans="1:1" x14ac:dyDescent="0.35">
      <c r="A2435"/>
    </row>
    <row r="2436" spans="1:1" x14ac:dyDescent="0.35">
      <c r="A2436"/>
    </row>
    <row r="2437" spans="1:1" x14ac:dyDescent="0.35">
      <c r="A2437"/>
    </row>
    <row r="2438" spans="1:1" x14ac:dyDescent="0.35">
      <c r="A2438"/>
    </row>
    <row r="2439" spans="1:1" x14ac:dyDescent="0.35">
      <c r="A2439"/>
    </row>
    <row r="2440" spans="1:1" x14ac:dyDescent="0.35">
      <c r="A2440"/>
    </row>
    <row r="2441" spans="1:1" x14ac:dyDescent="0.35">
      <c r="A2441"/>
    </row>
    <row r="2442" spans="1:1" x14ac:dyDescent="0.35">
      <c r="A2442"/>
    </row>
    <row r="2443" spans="1:1" x14ac:dyDescent="0.35">
      <c r="A2443"/>
    </row>
    <row r="2444" spans="1:1" x14ac:dyDescent="0.35">
      <c r="A2444"/>
    </row>
    <row r="2445" spans="1:1" x14ac:dyDescent="0.35">
      <c r="A2445"/>
    </row>
    <row r="2446" spans="1:1" x14ac:dyDescent="0.35">
      <c r="A2446"/>
    </row>
    <row r="2447" spans="1:1" x14ac:dyDescent="0.35">
      <c r="A2447"/>
    </row>
    <row r="2448" spans="1:1" x14ac:dyDescent="0.35">
      <c r="A2448"/>
    </row>
    <row r="2449" spans="1:1" x14ac:dyDescent="0.35">
      <c r="A2449"/>
    </row>
    <row r="2450" spans="1:1" x14ac:dyDescent="0.35">
      <c r="A2450"/>
    </row>
    <row r="2451" spans="1:1" x14ac:dyDescent="0.35">
      <c r="A2451"/>
    </row>
    <row r="2452" spans="1:1" x14ac:dyDescent="0.35">
      <c r="A2452"/>
    </row>
    <row r="2453" spans="1:1" x14ac:dyDescent="0.35">
      <c r="A2453"/>
    </row>
    <row r="2454" spans="1:1" x14ac:dyDescent="0.35">
      <c r="A2454"/>
    </row>
    <row r="2455" spans="1:1" x14ac:dyDescent="0.35">
      <c r="A2455"/>
    </row>
    <row r="2456" spans="1:1" x14ac:dyDescent="0.35">
      <c r="A2456"/>
    </row>
    <row r="2457" spans="1:1" x14ac:dyDescent="0.35">
      <c r="A2457"/>
    </row>
    <row r="2458" spans="1:1" x14ac:dyDescent="0.35">
      <c r="A2458"/>
    </row>
    <row r="2459" spans="1:1" x14ac:dyDescent="0.35">
      <c r="A2459"/>
    </row>
    <row r="2460" spans="1:1" x14ac:dyDescent="0.35">
      <c r="A2460"/>
    </row>
    <row r="2461" spans="1:1" x14ac:dyDescent="0.35">
      <c r="A2461"/>
    </row>
    <row r="2462" spans="1:1" x14ac:dyDescent="0.35">
      <c r="A2462"/>
    </row>
    <row r="2463" spans="1:1" x14ac:dyDescent="0.35">
      <c r="A2463"/>
    </row>
    <row r="2464" spans="1:1" x14ac:dyDescent="0.35">
      <c r="A2464"/>
    </row>
    <row r="2465" spans="1:1" x14ac:dyDescent="0.35">
      <c r="A2465"/>
    </row>
    <row r="2466" spans="1:1" x14ac:dyDescent="0.35">
      <c r="A2466"/>
    </row>
    <row r="2467" spans="1:1" x14ac:dyDescent="0.35">
      <c r="A2467"/>
    </row>
    <row r="2468" spans="1:1" x14ac:dyDescent="0.35">
      <c r="A2468"/>
    </row>
    <row r="2469" spans="1:1" x14ac:dyDescent="0.35">
      <c r="A2469"/>
    </row>
    <row r="2470" spans="1:1" x14ac:dyDescent="0.35">
      <c r="A2470"/>
    </row>
    <row r="2471" spans="1:1" x14ac:dyDescent="0.35">
      <c r="A2471"/>
    </row>
    <row r="2472" spans="1:1" x14ac:dyDescent="0.35">
      <c r="A2472"/>
    </row>
    <row r="2473" spans="1:1" x14ac:dyDescent="0.35">
      <c r="A2473"/>
    </row>
    <row r="2474" spans="1:1" x14ac:dyDescent="0.35">
      <c r="A2474"/>
    </row>
    <row r="2475" spans="1:1" x14ac:dyDescent="0.35">
      <c r="A2475"/>
    </row>
    <row r="2476" spans="1:1" x14ac:dyDescent="0.35">
      <c r="A2476"/>
    </row>
    <row r="2477" spans="1:1" x14ac:dyDescent="0.35">
      <c r="A2477"/>
    </row>
    <row r="2478" spans="1:1" x14ac:dyDescent="0.35">
      <c r="A2478"/>
    </row>
    <row r="2479" spans="1:1" x14ac:dyDescent="0.35">
      <c r="A2479"/>
    </row>
    <row r="2480" spans="1:1" x14ac:dyDescent="0.35">
      <c r="A2480"/>
    </row>
    <row r="2481" spans="1:1" x14ac:dyDescent="0.35">
      <c r="A2481"/>
    </row>
    <row r="2482" spans="1:1" x14ac:dyDescent="0.35">
      <c r="A2482"/>
    </row>
    <row r="2483" spans="1:1" x14ac:dyDescent="0.35">
      <c r="A2483"/>
    </row>
    <row r="2484" spans="1:1" x14ac:dyDescent="0.35">
      <c r="A2484"/>
    </row>
    <row r="2485" spans="1:1" x14ac:dyDescent="0.35">
      <c r="A2485"/>
    </row>
    <row r="2486" spans="1:1" x14ac:dyDescent="0.35">
      <c r="A2486"/>
    </row>
    <row r="2487" spans="1:1" x14ac:dyDescent="0.35">
      <c r="A2487"/>
    </row>
    <row r="2488" spans="1:1" x14ac:dyDescent="0.35">
      <c r="A2488"/>
    </row>
    <row r="2489" spans="1:1" x14ac:dyDescent="0.35">
      <c r="A2489"/>
    </row>
    <row r="2490" spans="1:1" x14ac:dyDescent="0.35">
      <c r="A2490"/>
    </row>
    <row r="2491" spans="1:1" x14ac:dyDescent="0.35">
      <c r="A2491"/>
    </row>
    <row r="2492" spans="1:1" x14ac:dyDescent="0.35">
      <c r="A2492"/>
    </row>
    <row r="2493" spans="1:1" x14ac:dyDescent="0.35">
      <c r="A2493"/>
    </row>
    <row r="2494" spans="1:1" x14ac:dyDescent="0.35">
      <c r="A2494"/>
    </row>
    <row r="2495" spans="1:1" x14ac:dyDescent="0.35">
      <c r="A2495"/>
    </row>
    <row r="2496" spans="1:1" x14ac:dyDescent="0.35">
      <c r="A2496"/>
    </row>
    <row r="2497" spans="1:1" x14ac:dyDescent="0.35">
      <c r="A2497"/>
    </row>
    <row r="2498" spans="1:1" x14ac:dyDescent="0.35">
      <c r="A2498"/>
    </row>
    <row r="2499" spans="1:1" x14ac:dyDescent="0.35">
      <c r="A2499"/>
    </row>
    <row r="2500" spans="1:1" x14ac:dyDescent="0.35">
      <c r="A2500"/>
    </row>
    <row r="2501" spans="1:1" x14ac:dyDescent="0.35">
      <c r="A2501"/>
    </row>
    <row r="2502" spans="1:1" x14ac:dyDescent="0.35">
      <c r="A2502"/>
    </row>
    <row r="2503" spans="1:1" x14ac:dyDescent="0.35">
      <c r="A2503"/>
    </row>
    <row r="2504" spans="1:1" x14ac:dyDescent="0.35">
      <c r="A2504"/>
    </row>
    <row r="2505" spans="1:1" x14ac:dyDescent="0.35">
      <c r="A2505"/>
    </row>
    <row r="2506" spans="1:1" x14ac:dyDescent="0.35">
      <c r="A2506"/>
    </row>
    <row r="2507" spans="1:1" x14ac:dyDescent="0.35">
      <c r="A2507"/>
    </row>
    <row r="2508" spans="1:1" x14ac:dyDescent="0.35">
      <c r="A2508"/>
    </row>
    <row r="2509" spans="1:1" x14ac:dyDescent="0.35">
      <c r="A2509"/>
    </row>
    <row r="2510" spans="1:1" x14ac:dyDescent="0.35">
      <c r="A2510"/>
    </row>
    <row r="2511" spans="1:1" x14ac:dyDescent="0.35">
      <c r="A2511"/>
    </row>
    <row r="2512" spans="1:1" x14ac:dyDescent="0.35">
      <c r="A2512"/>
    </row>
    <row r="2513" spans="1:1" x14ac:dyDescent="0.35">
      <c r="A2513"/>
    </row>
    <row r="2514" spans="1:1" x14ac:dyDescent="0.35">
      <c r="A2514"/>
    </row>
    <row r="2515" spans="1:1" x14ac:dyDescent="0.35">
      <c r="A2515"/>
    </row>
    <row r="2516" spans="1:1" x14ac:dyDescent="0.35">
      <c r="A2516"/>
    </row>
    <row r="2517" spans="1:1" x14ac:dyDescent="0.35">
      <c r="A2517"/>
    </row>
    <row r="2518" spans="1:1" x14ac:dyDescent="0.35">
      <c r="A2518"/>
    </row>
    <row r="2519" spans="1:1" x14ac:dyDescent="0.35">
      <c r="A2519"/>
    </row>
    <row r="2520" spans="1:1" x14ac:dyDescent="0.35">
      <c r="A2520"/>
    </row>
    <row r="2521" spans="1:1" x14ac:dyDescent="0.35">
      <c r="A2521"/>
    </row>
    <row r="2522" spans="1:1" x14ac:dyDescent="0.35">
      <c r="A2522"/>
    </row>
    <row r="2523" spans="1:1" x14ac:dyDescent="0.35">
      <c r="A2523"/>
    </row>
    <row r="2524" spans="1:1" x14ac:dyDescent="0.35">
      <c r="A2524"/>
    </row>
    <row r="2525" spans="1:1" x14ac:dyDescent="0.35">
      <c r="A2525"/>
    </row>
    <row r="2526" spans="1:1" x14ac:dyDescent="0.35">
      <c r="A2526"/>
    </row>
    <row r="2527" spans="1:1" x14ac:dyDescent="0.35">
      <c r="A2527"/>
    </row>
    <row r="2528" spans="1:1" x14ac:dyDescent="0.35">
      <c r="A2528"/>
    </row>
    <row r="2529" spans="1:1" x14ac:dyDescent="0.35">
      <c r="A2529"/>
    </row>
    <row r="2530" spans="1:1" x14ac:dyDescent="0.35">
      <c r="A2530"/>
    </row>
    <row r="2531" spans="1:1" x14ac:dyDescent="0.35">
      <c r="A2531"/>
    </row>
    <row r="2532" spans="1:1" x14ac:dyDescent="0.35">
      <c r="A2532"/>
    </row>
    <row r="2533" spans="1:1" x14ac:dyDescent="0.35">
      <c r="A2533"/>
    </row>
    <row r="2534" spans="1:1" x14ac:dyDescent="0.35">
      <c r="A2534"/>
    </row>
    <row r="2535" spans="1:1" x14ac:dyDescent="0.35">
      <c r="A2535"/>
    </row>
    <row r="2536" spans="1:1" x14ac:dyDescent="0.35">
      <c r="A2536"/>
    </row>
    <row r="2537" spans="1:1" x14ac:dyDescent="0.35">
      <c r="A2537"/>
    </row>
    <row r="2538" spans="1:1" x14ac:dyDescent="0.35">
      <c r="A2538"/>
    </row>
    <row r="2539" spans="1:1" x14ac:dyDescent="0.35">
      <c r="A2539"/>
    </row>
    <row r="2540" spans="1:1" x14ac:dyDescent="0.35">
      <c r="A2540"/>
    </row>
    <row r="2541" spans="1:1" x14ac:dyDescent="0.35">
      <c r="A2541"/>
    </row>
    <row r="2542" spans="1:1" x14ac:dyDescent="0.35">
      <c r="A2542"/>
    </row>
    <row r="2543" spans="1:1" x14ac:dyDescent="0.35">
      <c r="A2543"/>
    </row>
    <row r="2544" spans="1:1" x14ac:dyDescent="0.35">
      <c r="A2544"/>
    </row>
    <row r="2545" spans="1:1" x14ac:dyDescent="0.35">
      <c r="A2545"/>
    </row>
    <row r="2546" spans="1:1" x14ac:dyDescent="0.35">
      <c r="A2546"/>
    </row>
    <row r="2547" spans="1:1" x14ac:dyDescent="0.35">
      <c r="A2547"/>
    </row>
    <row r="2548" spans="1:1" x14ac:dyDescent="0.35">
      <c r="A2548"/>
    </row>
    <row r="2549" spans="1:1" x14ac:dyDescent="0.35">
      <c r="A2549"/>
    </row>
    <row r="2550" spans="1:1" x14ac:dyDescent="0.35">
      <c r="A2550"/>
    </row>
    <row r="2551" spans="1:1" x14ac:dyDescent="0.35">
      <c r="A2551"/>
    </row>
    <row r="2552" spans="1:1" x14ac:dyDescent="0.35">
      <c r="A2552"/>
    </row>
    <row r="2553" spans="1:1" x14ac:dyDescent="0.35">
      <c r="A2553"/>
    </row>
    <row r="2554" spans="1:1" x14ac:dyDescent="0.35">
      <c r="A2554"/>
    </row>
    <row r="2555" spans="1:1" x14ac:dyDescent="0.35">
      <c r="A2555"/>
    </row>
    <row r="2556" spans="1:1" x14ac:dyDescent="0.35">
      <c r="A2556"/>
    </row>
    <row r="2557" spans="1:1" x14ac:dyDescent="0.35">
      <c r="A2557"/>
    </row>
    <row r="2558" spans="1:1" x14ac:dyDescent="0.35">
      <c r="A2558"/>
    </row>
    <row r="2559" spans="1:1" x14ac:dyDescent="0.35">
      <c r="A2559"/>
    </row>
    <row r="2560" spans="1:1" x14ac:dyDescent="0.35">
      <c r="A2560"/>
    </row>
    <row r="2561" spans="1:1" x14ac:dyDescent="0.35">
      <c r="A2561"/>
    </row>
    <row r="2562" spans="1:1" x14ac:dyDescent="0.35">
      <c r="A2562"/>
    </row>
    <row r="2563" spans="1:1" x14ac:dyDescent="0.35">
      <c r="A2563"/>
    </row>
    <row r="2564" spans="1:1" x14ac:dyDescent="0.35">
      <c r="A2564"/>
    </row>
    <row r="2565" spans="1:1" x14ac:dyDescent="0.35">
      <c r="A2565"/>
    </row>
    <row r="2566" spans="1:1" x14ac:dyDescent="0.35">
      <c r="A2566"/>
    </row>
    <row r="2567" spans="1:1" x14ac:dyDescent="0.35">
      <c r="A2567"/>
    </row>
    <row r="2568" spans="1:1" x14ac:dyDescent="0.35">
      <c r="A2568"/>
    </row>
    <row r="2569" spans="1:1" x14ac:dyDescent="0.35">
      <c r="A2569"/>
    </row>
    <row r="2570" spans="1:1" x14ac:dyDescent="0.35">
      <c r="A2570"/>
    </row>
    <row r="2571" spans="1:1" x14ac:dyDescent="0.35">
      <c r="A2571"/>
    </row>
    <row r="2572" spans="1:1" x14ac:dyDescent="0.35">
      <c r="A2572"/>
    </row>
    <row r="2573" spans="1:1" x14ac:dyDescent="0.35">
      <c r="A2573"/>
    </row>
    <row r="2574" spans="1:1" x14ac:dyDescent="0.35">
      <c r="A2574"/>
    </row>
    <row r="2575" spans="1:1" x14ac:dyDescent="0.35">
      <c r="A2575"/>
    </row>
    <row r="2576" spans="1:1" x14ac:dyDescent="0.35">
      <c r="A2576"/>
    </row>
    <row r="2577" spans="1:1" x14ac:dyDescent="0.35">
      <c r="A2577"/>
    </row>
    <row r="2578" spans="1:1" x14ac:dyDescent="0.35">
      <c r="A2578"/>
    </row>
    <row r="2579" spans="1:1" x14ac:dyDescent="0.35">
      <c r="A2579"/>
    </row>
    <row r="2580" spans="1:1" x14ac:dyDescent="0.35">
      <c r="A2580"/>
    </row>
    <row r="2581" spans="1:1" x14ac:dyDescent="0.35">
      <c r="A2581"/>
    </row>
    <row r="2582" spans="1:1" x14ac:dyDescent="0.35">
      <c r="A2582"/>
    </row>
    <row r="2583" spans="1:1" x14ac:dyDescent="0.35">
      <c r="A2583"/>
    </row>
    <row r="2584" spans="1:1" x14ac:dyDescent="0.35">
      <c r="A2584"/>
    </row>
    <row r="2585" spans="1:1" x14ac:dyDescent="0.35">
      <c r="A2585"/>
    </row>
    <row r="2586" spans="1:1" x14ac:dyDescent="0.35">
      <c r="A2586"/>
    </row>
    <row r="2587" spans="1:1" x14ac:dyDescent="0.35">
      <c r="A2587"/>
    </row>
    <row r="2588" spans="1:1" x14ac:dyDescent="0.35">
      <c r="A2588"/>
    </row>
    <row r="2589" spans="1:1" x14ac:dyDescent="0.35">
      <c r="A2589"/>
    </row>
    <row r="2590" spans="1:1" x14ac:dyDescent="0.35">
      <c r="A2590"/>
    </row>
    <row r="2591" spans="1:1" x14ac:dyDescent="0.35">
      <c r="A2591"/>
    </row>
    <row r="2592" spans="1:1" x14ac:dyDescent="0.35">
      <c r="A2592"/>
    </row>
    <row r="2593" spans="1:1" x14ac:dyDescent="0.35">
      <c r="A2593"/>
    </row>
    <row r="2594" spans="1:1" x14ac:dyDescent="0.35">
      <c r="A2594"/>
    </row>
    <row r="2595" spans="1:1" x14ac:dyDescent="0.35">
      <c r="A2595"/>
    </row>
    <row r="2596" spans="1:1" x14ac:dyDescent="0.35">
      <c r="A2596"/>
    </row>
    <row r="2597" spans="1:1" x14ac:dyDescent="0.35">
      <c r="A2597"/>
    </row>
    <row r="2598" spans="1:1" x14ac:dyDescent="0.35">
      <c r="A2598"/>
    </row>
    <row r="2599" spans="1:1" x14ac:dyDescent="0.35">
      <c r="A2599"/>
    </row>
    <row r="2600" spans="1:1" x14ac:dyDescent="0.35">
      <c r="A2600"/>
    </row>
    <row r="2601" spans="1:1" x14ac:dyDescent="0.35">
      <c r="A2601"/>
    </row>
    <row r="2602" spans="1:1" x14ac:dyDescent="0.35">
      <c r="A2602"/>
    </row>
    <row r="2603" spans="1:1" x14ac:dyDescent="0.35">
      <c r="A2603"/>
    </row>
    <row r="2604" spans="1:1" x14ac:dyDescent="0.35">
      <c r="A2604"/>
    </row>
    <row r="2605" spans="1:1" x14ac:dyDescent="0.35">
      <c r="A2605"/>
    </row>
    <row r="2606" spans="1:1" x14ac:dyDescent="0.35">
      <c r="A2606"/>
    </row>
    <row r="2607" spans="1:1" x14ac:dyDescent="0.35">
      <c r="A2607"/>
    </row>
    <row r="2608" spans="1:1" x14ac:dyDescent="0.35">
      <c r="A2608"/>
    </row>
    <row r="2609" spans="1:1" x14ac:dyDescent="0.35">
      <c r="A2609"/>
    </row>
    <row r="2610" spans="1:1" x14ac:dyDescent="0.35">
      <c r="A2610"/>
    </row>
    <row r="2611" spans="1:1" x14ac:dyDescent="0.35">
      <c r="A2611"/>
    </row>
    <row r="2612" spans="1:1" x14ac:dyDescent="0.35">
      <c r="A2612"/>
    </row>
    <row r="2613" spans="1:1" x14ac:dyDescent="0.35">
      <c r="A2613"/>
    </row>
    <row r="2614" spans="1:1" x14ac:dyDescent="0.35">
      <c r="A2614"/>
    </row>
    <row r="2615" spans="1:1" x14ac:dyDescent="0.35">
      <c r="A2615"/>
    </row>
    <row r="2616" spans="1:1" x14ac:dyDescent="0.35">
      <c r="A2616"/>
    </row>
    <row r="2617" spans="1:1" x14ac:dyDescent="0.35">
      <c r="A2617"/>
    </row>
    <row r="2618" spans="1:1" x14ac:dyDescent="0.35">
      <c r="A2618"/>
    </row>
    <row r="2619" spans="1:1" x14ac:dyDescent="0.35">
      <c r="A2619"/>
    </row>
    <row r="2620" spans="1:1" x14ac:dyDescent="0.35">
      <c r="A2620"/>
    </row>
    <row r="2621" spans="1:1" x14ac:dyDescent="0.35">
      <c r="A2621"/>
    </row>
    <row r="2622" spans="1:1" x14ac:dyDescent="0.35">
      <c r="A2622"/>
    </row>
    <row r="2623" spans="1:1" x14ac:dyDescent="0.35">
      <c r="A2623"/>
    </row>
    <row r="2624" spans="1:1" x14ac:dyDescent="0.35">
      <c r="A2624"/>
    </row>
    <row r="2625" spans="1:1" x14ac:dyDescent="0.35">
      <c r="A2625"/>
    </row>
    <row r="2626" spans="1:1" x14ac:dyDescent="0.35">
      <c r="A2626"/>
    </row>
    <row r="2627" spans="1:1" x14ac:dyDescent="0.35">
      <c r="A2627"/>
    </row>
    <row r="2628" spans="1:1" x14ac:dyDescent="0.35">
      <c r="A2628"/>
    </row>
    <row r="2629" spans="1:1" x14ac:dyDescent="0.35">
      <c r="A2629"/>
    </row>
    <row r="2630" spans="1:1" x14ac:dyDescent="0.35">
      <c r="A2630"/>
    </row>
    <row r="2631" spans="1:1" x14ac:dyDescent="0.35">
      <c r="A2631"/>
    </row>
    <row r="2632" spans="1:1" x14ac:dyDescent="0.35">
      <c r="A2632"/>
    </row>
    <row r="2633" spans="1:1" x14ac:dyDescent="0.35">
      <c r="A2633"/>
    </row>
    <row r="2634" spans="1:1" x14ac:dyDescent="0.35">
      <c r="A2634"/>
    </row>
    <row r="2635" spans="1:1" x14ac:dyDescent="0.35">
      <c r="A2635"/>
    </row>
    <row r="2636" spans="1:1" x14ac:dyDescent="0.35">
      <c r="A2636"/>
    </row>
    <row r="2637" spans="1:1" x14ac:dyDescent="0.35">
      <c r="A2637"/>
    </row>
    <row r="2638" spans="1:1" x14ac:dyDescent="0.35">
      <c r="A2638"/>
    </row>
    <row r="2639" spans="1:1" x14ac:dyDescent="0.35">
      <c r="A2639"/>
    </row>
    <row r="2640" spans="1:1" x14ac:dyDescent="0.35">
      <c r="A2640"/>
    </row>
    <row r="2641" spans="1:1" x14ac:dyDescent="0.35">
      <c r="A2641"/>
    </row>
    <row r="2642" spans="1:1" x14ac:dyDescent="0.35">
      <c r="A2642"/>
    </row>
    <row r="2643" spans="1:1" x14ac:dyDescent="0.35">
      <c r="A2643"/>
    </row>
    <row r="2644" spans="1:1" x14ac:dyDescent="0.35">
      <c r="A2644"/>
    </row>
    <row r="2645" spans="1:1" x14ac:dyDescent="0.35">
      <c r="A2645"/>
    </row>
    <row r="2646" spans="1:1" x14ac:dyDescent="0.35">
      <c r="A2646"/>
    </row>
    <row r="2647" spans="1:1" x14ac:dyDescent="0.35">
      <c r="A2647"/>
    </row>
    <row r="2648" spans="1:1" x14ac:dyDescent="0.35">
      <c r="A2648"/>
    </row>
    <row r="2649" spans="1:1" x14ac:dyDescent="0.35">
      <c r="A2649"/>
    </row>
    <row r="2650" spans="1:1" x14ac:dyDescent="0.35">
      <c r="A2650"/>
    </row>
    <row r="2651" spans="1:1" x14ac:dyDescent="0.35">
      <c r="A2651"/>
    </row>
    <row r="2652" spans="1:1" x14ac:dyDescent="0.35">
      <c r="A2652"/>
    </row>
    <row r="2653" spans="1:1" x14ac:dyDescent="0.35">
      <c r="A2653"/>
    </row>
    <row r="2654" spans="1:1" x14ac:dyDescent="0.35">
      <c r="A2654"/>
    </row>
    <row r="2655" spans="1:1" x14ac:dyDescent="0.35">
      <c r="A2655"/>
    </row>
    <row r="2656" spans="1:1" x14ac:dyDescent="0.35">
      <c r="A2656"/>
    </row>
    <row r="2657" spans="1:1" x14ac:dyDescent="0.35">
      <c r="A2657"/>
    </row>
    <row r="2658" spans="1:1" x14ac:dyDescent="0.35">
      <c r="A2658"/>
    </row>
    <row r="2659" spans="1:1" x14ac:dyDescent="0.35">
      <c r="A2659"/>
    </row>
    <row r="2660" spans="1:1" x14ac:dyDescent="0.35">
      <c r="A2660"/>
    </row>
    <row r="2661" spans="1:1" x14ac:dyDescent="0.35">
      <c r="A2661"/>
    </row>
    <row r="2662" spans="1:1" x14ac:dyDescent="0.35">
      <c r="A2662"/>
    </row>
    <row r="2663" spans="1:1" x14ac:dyDescent="0.35">
      <c r="A2663"/>
    </row>
    <row r="2664" spans="1:1" x14ac:dyDescent="0.35">
      <c r="A2664"/>
    </row>
    <row r="2665" spans="1:1" x14ac:dyDescent="0.35">
      <c r="A2665"/>
    </row>
    <row r="2666" spans="1:1" x14ac:dyDescent="0.35">
      <c r="A2666"/>
    </row>
    <row r="2667" spans="1:1" x14ac:dyDescent="0.35">
      <c r="A2667"/>
    </row>
    <row r="2668" spans="1:1" x14ac:dyDescent="0.35">
      <c r="A2668"/>
    </row>
    <row r="2669" spans="1:1" x14ac:dyDescent="0.35">
      <c r="A2669"/>
    </row>
    <row r="2670" spans="1:1" x14ac:dyDescent="0.35">
      <c r="A2670"/>
    </row>
    <row r="2671" spans="1:1" x14ac:dyDescent="0.35">
      <c r="A2671"/>
    </row>
    <row r="2672" spans="1:1" x14ac:dyDescent="0.35">
      <c r="A2672"/>
    </row>
    <row r="2673" spans="1:1" x14ac:dyDescent="0.35">
      <c r="A2673"/>
    </row>
    <row r="2674" spans="1:1" x14ac:dyDescent="0.35">
      <c r="A2674"/>
    </row>
    <row r="2675" spans="1:1" x14ac:dyDescent="0.35">
      <c r="A2675"/>
    </row>
    <row r="2676" spans="1:1" x14ac:dyDescent="0.35">
      <c r="A2676"/>
    </row>
    <row r="2677" spans="1:1" x14ac:dyDescent="0.35">
      <c r="A2677"/>
    </row>
    <row r="2678" spans="1:1" x14ac:dyDescent="0.35">
      <c r="A2678"/>
    </row>
    <row r="2679" spans="1:1" x14ac:dyDescent="0.35">
      <c r="A2679"/>
    </row>
    <row r="2680" spans="1:1" x14ac:dyDescent="0.35">
      <c r="A2680"/>
    </row>
    <row r="2681" spans="1:1" x14ac:dyDescent="0.35">
      <c r="A2681"/>
    </row>
    <row r="2682" spans="1:1" x14ac:dyDescent="0.35">
      <c r="A2682"/>
    </row>
    <row r="2683" spans="1:1" x14ac:dyDescent="0.35">
      <c r="A2683"/>
    </row>
    <row r="2684" spans="1:1" x14ac:dyDescent="0.35">
      <c r="A2684"/>
    </row>
    <row r="2685" spans="1:1" x14ac:dyDescent="0.35">
      <c r="A2685"/>
    </row>
    <row r="2686" spans="1:1" x14ac:dyDescent="0.35">
      <c r="A2686"/>
    </row>
    <row r="2687" spans="1:1" x14ac:dyDescent="0.35">
      <c r="A2687"/>
    </row>
    <row r="2688" spans="1:1" x14ac:dyDescent="0.35">
      <c r="A2688"/>
    </row>
    <row r="2689" spans="1:1" x14ac:dyDescent="0.35">
      <c r="A2689"/>
    </row>
    <row r="2690" spans="1:1" x14ac:dyDescent="0.35">
      <c r="A2690"/>
    </row>
    <row r="2691" spans="1:1" x14ac:dyDescent="0.35">
      <c r="A2691"/>
    </row>
    <row r="2692" spans="1:1" x14ac:dyDescent="0.35">
      <c r="A2692"/>
    </row>
    <row r="2693" spans="1:1" x14ac:dyDescent="0.35">
      <c r="A2693"/>
    </row>
    <row r="2694" spans="1:1" x14ac:dyDescent="0.35">
      <c r="A2694"/>
    </row>
    <row r="2695" spans="1:1" x14ac:dyDescent="0.35">
      <c r="A2695"/>
    </row>
    <row r="2696" spans="1:1" x14ac:dyDescent="0.35">
      <c r="A2696"/>
    </row>
    <row r="2697" spans="1:1" x14ac:dyDescent="0.35">
      <c r="A2697"/>
    </row>
    <row r="2698" spans="1:1" x14ac:dyDescent="0.35">
      <c r="A2698"/>
    </row>
    <row r="2699" spans="1:1" x14ac:dyDescent="0.35">
      <c r="A2699"/>
    </row>
    <row r="2700" spans="1:1" x14ac:dyDescent="0.35">
      <c r="A2700"/>
    </row>
    <row r="2701" spans="1:1" x14ac:dyDescent="0.35">
      <c r="A2701"/>
    </row>
    <row r="2702" spans="1:1" x14ac:dyDescent="0.35">
      <c r="A2702"/>
    </row>
    <row r="2703" spans="1:1" x14ac:dyDescent="0.35">
      <c r="A2703"/>
    </row>
    <row r="2704" spans="1:1" x14ac:dyDescent="0.35">
      <c r="A2704"/>
    </row>
    <row r="2705" spans="1:1" x14ac:dyDescent="0.35">
      <c r="A2705"/>
    </row>
    <row r="2706" spans="1:1" x14ac:dyDescent="0.35">
      <c r="A2706"/>
    </row>
    <row r="2707" spans="1:1" x14ac:dyDescent="0.35">
      <c r="A2707"/>
    </row>
    <row r="2708" spans="1:1" x14ac:dyDescent="0.35">
      <c r="A2708"/>
    </row>
    <row r="2709" spans="1:1" x14ac:dyDescent="0.35">
      <c r="A2709"/>
    </row>
    <row r="2710" spans="1:1" x14ac:dyDescent="0.35">
      <c r="A2710"/>
    </row>
    <row r="2711" spans="1:1" x14ac:dyDescent="0.35">
      <c r="A2711"/>
    </row>
    <row r="2712" spans="1:1" x14ac:dyDescent="0.35">
      <c r="A2712"/>
    </row>
    <row r="2713" spans="1:1" x14ac:dyDescent="0.35">
      <c r="A2713"/>
    </row>
    <row r="2714" spans="1:1" x14ac:dyDescent="0.35">
      <c r="A2714"/>
    </row>
    <row r="2715" spans="1:1" x14ac:dyDescent="0.35">
      <c r="A2715"/>
    </row>
    <row r="2716" spans="1:1" x14ac:dyDescent="0.35">
      <c r="A2716"/>
    </row>
    <row r="2717" spans="1:1" x14ac:dyDescent="0.35">
      <c r="A2717"/>
    </row>
    <row r="2718" spans="1:1" x14ac:dyDescent="0.35">
      <c r="A2718"/>
    </row>
    <row r="2719" spans="1:1" x14ac:dyDescent="0.35">
      <c r="A2719"/>
    </row>
    <row r="2720" spans="1:1" x14ac:dyDescent="0.35">
      <c r="A2720"/>
    </row>
    <row r="2721" spans="1:1" x14ac:dyDescent="0.35">
      <c r="A2721"/>
    </row>
    <row r="2722" spans="1:1" x14ac:dyDescent="0.35">
      <c r="A2722"/>
    </row>
    <row r="2723" spans="1:1" x14ac:dyDescent="0.35">
      <c r="A2723"/>
    </row>
    <row r="2724" spans="1:1" x14ac:dyDescent="0.35">
      <c r="A2724"/>
    </row>
    <row r="2725" spans="1:1" x14ac:dyDescent="0.35">
      <c r="A2725"/>
    </row>
    <row r="2726" spans="1:1" x14ac:dyDescent="0.35">
      <c r="A2726"/>
    </row>
    <row r="2727" spans="1:1" x14ac:dyDescent="0.35">
      <c r="A2727"/>
    </row>
    <row r="2728" spans="1:1" x14ac:dyDescent="0.35">
      <c r="A2728"/>
    </row>
    <row r="2729" spans="1:1" x14ac:dyDescent="0.35">
      <c r="A2729"/>
    </row>
    <row r="2730" spans="1:1" x14ac:dyDescent="0.35">
      <c r="A2730"/>
    </row>
    <row r="2731" spans="1:1" x14ac:dyDescent="0.35">
      <c r="A2731"/>
    </row>
    <row r="2732" spans="1:1" x14ac:dyDescent="0.35">
      <c r="A2732"/>
    </row>
    <row r="2733" spans="1:1" x14ac:dyDescent="0.35">
      <c r="A2733"/>
    </row>
    <row r="2734" spans="1:1" x14ac:dyDescent="0.35">
      <c r="A2734"/>
    </row>
    <row r="2735" spans="1:1" x14ac:dyDescent="0.35">
      <c r="A2735"/>
    </row>
    <row r="2736" spans="1:1" x14ac:dyDescent="0.35">
      <c r="A2736"/>
    </row>
    <row r="2737" spans="1:1" x14ac:dyDescent="0.35">
      <c r="A2737"/>
    </row>
    <row r="2738" spans="1:1" x14ac:dyDescent="0.35">
      <c r="A2738"/>
    </row>
    <row r="2739" spans="1:1" x14ac:dyDescent="0.35">
      <c r="A2739"/>
    </row>
    <row r="2740" spans="1:1" x14ac:dyDescent="0.35">
      <c r="A2740"/>
    </row>
    <row r="2741" spans="1:1" x14ac:dyDescent="0.35">
      <c r="A2741"/>
    </row>
    <row r="2742" spans="1:1" x14ac:dyDescent="0.35">
      <c r="A2742"/>
    </row>
    <row r="2743" spans="1:1" x14ac:dyDescent="0.35">
      <c r="A2743"/>
    </row>
    <row r="2744" spans="1:1" x14ac:dyDescent="0.35">
      <c r="A2744"/>
    </row>
    <row r="2745" spans="1:1" x14ac:dyDescent="0.35">
      <c r="A2745"/>
    </row>
    <row r="2746" spans="1:1" x14ac:dyDescent="0.35">
      <c r="A2746"/>
    </row>
    <row r="2747" spans="1:1" x14ac:dyDescent="0.35">
      <c r="A2747"/>
    </row>
    <row r="2748" spans="1:1" x14ac:dyDescent="0.35">
      <c r="A2748"/>
    </row>
    <row r="2749" spans="1:1" x14ac:dyDescent="0.35">
      <c r="A2749"/>
    </row>
    <row r="2750" spans="1:1" x14ac:dyDescent="0.35">
      <c r="A2750"/>
    </row>
    <row r="2751" spans="1:1" x14ac:dyDescent="0.35">
      <c r="A2751"/>
    </row>
    <row r="2752" spans="1:1" x14ac:dyDescent="0.35">
      <c r="A2752"/>
    </row>
    <row r="2753" spans="1:1" x14ac:dyDescent="0.35">
      <c r="A2753"/>
    </row>
    <row r="2754" spans="1:1" x14ac:dyDescent="0.35">
      <c r="A2754"/>
    </row>
    <row r="2755" spans="1:1" x14ac:dyDescent="0.35">
      <c r="A2755"/>
    </row>
    <row r="2756" spans="1:1" x14ac:dyDescent="0.35">
      <c r="A2756"/>
    </row>
    <row r="2757" spans="1:1" x14ac:dyDescent="0.35">
      <c r="A2757"/>
    </row>
    <row r="2758" spans="1:1" x14ac:dyDescent="0.35">
      <c r="A2758"/>
    </row>
    <row r="2759" spans="1:1" x14ac:dyDescent="0.35">
      <c r="A2759"/>
    </row>
    <row r="2760" spans="1:1" x14ac:dyDescent="0.35">
      <c r="A2760"/>
    </row>
    <row r="2761" spans="1:1" x14ac:dyDescent="0.35">
      <c r="A2761"/>
    </row>
    <row r="2762" spans="1:1" x14ac:dyDescent="0.35">
      <c r="A2762"/>
    </row>
    <row r="2763" spans="1:1" x14ac:dyDescent="0.35">
      <c r="A2763"/>
    </row>
    <row r="2764" spans="1:1" x14ac:dyDescent="0.35">
      <c r="A2764"/>
    </row>
    <row r="2765" spans="1:1" x14ac:dyDescent="0.35">
      <c r="A2765"/>
    </row>
    <row r="2766" spans="1:1" x14ac:dyDescent="0.35">
      <c r="A2766"/>
    </row>
    <row r="2767" spans="1:1" x14ac:dyDescent="0.35">
      <c r="A2767"/>
    </row>
    <row r="2768" spans="1:1" x14ac:dyDescent="0.35">
      <c r="A2768"/>
    </row>
    <row r="2769" spans="1:1" x14ac:dyDescent="0.35">
      <c r="A2769"/>
    </row>
    <row r="2770" spans="1:1" x14ac:dyDescent="0.35">
      <c r="A2770"/>
    </row>
    <row r="2771" spans="1:1" x14ac:dyDescent="0.35">
      <c r="A2771"/>
    </row>
    <row r="2772" spans="1:1" x14ac:dyDescent="0.35">
      <c r="A2772"/>
    </row>
    <row r="2773" spans="1:1" x14ac:dyDescent="0.35">
      <c r="A2773"/>
    </row>
    <row r="2774" spans="1:1" x14ac:dyDescent="0.35">
      <c r="A2774"/>
    </row>
    <row r="2775" spans="1:1" x14ac:dyDescent="0.35">
      <c r="A2775"/>
    </row>
    <row r="2776" spans="1:1" x14ac:dyDescent="0.35">
      <c r="A2776"/>
    </row>
    <row r="2777" spans="1:1" x14ac:dyDescent="0.35">
      <c r="A2777"/>
    </row>
    <row r="2778" spans="1:1" x14ac:dyDescent="0.35">
      <c r="A2778"/>
    </row>
    <row r="2779" spans="1:1" x14ac:dyDescent="0.35">
      <c r="A2779"/>
    </row>
    <row r="2780" spans="1:1" x14ac:dyDescent="0.35">
      <c r="A2780"/>
    </row>
    <row r="2781" spans="1:1" x14ac:dyDescent="0.35">
      <c r="A2781"/>
    </row>
    <row r="2782" spans="1:1" x14ac:dyDescent="0.35">
      <c r="A2782"/>
    </row>
    <row r="2783" spans="1:1" x14ac:dyDescent="0.35">
      <c r="A2783"/>
    </row>
    <row r="2784" spans="1:1" x14ac:dyDescent="0.35">
      <c r="A2784"/>
    </row>
    <row r="2785" spans="1:1" x14ac:dyDescent="0.35">
      <c r="A2785"/>
    </row>
    <row r="2786" spans="1:1" x14ac:dyDescent="0.35">
      <c r="A2786"/>
    </row>
    <row r="2787" spans="1:1" x14ac:dyDescent="0.35">
      <c r="A2787"/>
    </row>
    <row r="2788" spans="1:1" x14ac:dyDescent="0.35">
      <c r="A2788"/>
    </row>
    <row r="2789" spans="1:1" x14ac:dyDescent="0.35">
      <c r="A2789"/>
    </row>
    <row r="2790" spans="1:1" x14ac:dyDescent="0.35">
      <c r="A2790"/>
    </row>
    <row r="2791" spans="1:1" x14ac:dyDescent="0.35">
      <c r="A2791"/>
    </row>
    <row r="2792" spans="1:1" x14ac:dyDescent="0.35">
      <c r="A2792"/>
    </row>
    <row r="2793" spans="1:1" x14ac:dyDescent="0.35">
      <c r="A2793"/>
    </row>
    <row r="2794" spans="1:1" x14ac:dyDescent="0.35">
      <c r="A2794"/>
    </row>
    <row r="2795" spans="1:1" x14ac:dyDescent="0.35">
      <c r="A2795"/>
    </row>
    <row r="2796" spans="1:1" x14ac:dyDescent="0.35">
      <c r="A2796"/>
    </row>
    <row r="2797" spans="1:1" x14ac:dyDescent="0.35">
      <c r="A2797"/>
    </row>
    <row r="2798" spans="1:1" x14ac:dyDescent="0.35">
      <c r="A2798"/>
    </row>
    <row r="2799" spans="1:1" x14ac:dyDescent="0.35">
      <c r="A2799"/>
    </row>
    <row r="2800" spans="1:1" x14ac:dyDescent="0.35">
      <c r="A2800"/>
    </row>
    <row r="2801" spans="1:1" x14ac:dyDescent="0.35">
      <c r="A2801"/>
    </row>
    <row r="2802" spans="1:1" x14ac:dyDescent="0.35">
      <c r="A2802"/>
    </row>
    <row r="2803" spans="1:1" x14ac:dyDescent="0.35">
      <c r="A2803"/>
    </row>
    <row r="2804" spans="1:1" x14ac:dyDescent="0.35">
      <c r="A2804"/>
    </row>
    <row r="2805" spans="1:1" x14ac:dyDescent="0.35">
      <c r="A2805"/>
    </row>
    <row r="2806" spans="1:1" x14ac:dyDescent="0.35">
      <c r="A2806"/>
    </row>
    <row r="2807" spans="1:1" x14ac:dyDescent="0.35">
      <c r="A2807"/>
    </row>
    <row r="2808" spans="1:1" x14ac:dyDescent="0.35">
      <c r="A2808"/>
    </row>
    <row r="2809" spans="1:1" x14ac:dyDescent="0.35">
      <c r="A2809"/>
    </row>
    <row r="2810" spans="1:1" x14ac:dyDescent="0.35">
      <c r="A2810"/>
    </row>
    <row r="2811" spans="1:1" x14ac:dyDescent="0.35">
      <c r="A2811"/>
    </row>
    <row r="2812" spans="1:1" x14ac:dyDescent="0.35">
      <c r="A2812"/>
    </row>
    <row r="2813" spans="1:1" x14ac:dyDescent="0.35">
      <c r="A2813"/>
    </row>
    <row r="2814" spans="1:1" x14ac:dyDescent="0.35">
      <c r="A2814"/>
    </row>
    <row r="2815" spans="1:1" x14ac:dyDescent="0.35">
      <c r="A2815"/>
    </row>
    <row r="2816" spans="1:1" x14ac:dyDescent="0.35">
      <c r="A2816"/>
    </row>
    <row r="2817" spans="1:1" x14ac:dyDescent="0.35">
      <c r="A2817"/>
    </row>
    <row r="2818" spans="1:1" x14ac:dyDescent="0.35">
      <c r="A2818"/>
    </row>
    <row r="2819" spans="1:1" x14ac:dyDescent="0.35">
      <c r="A2819"/>
    </row>
    <row r="2820" spans="1:1" x14ac:dyDescent="0.35">
      <c r="A2820"/>
    </row>
    <row r="2821" spans="1:1" x14ac:dyDescent="0.35">
      <c r="A2821"/>
    </row>
    <row r="2822" spans="1:1" x14ac:dyDescent="0.35">
      <c r="A2822"/>
    </row>
    <row r="2823" spans="1:1" x14ac:dyDescent="0.35">
      <c r="A2823"/>
    </row>
    <row r="2824" spans="1:1" x14ac:dyDescent="0.35">
      <c r="A2824"/>
    </row>
    <row r="2825" spans="1:1" x14ac:dyDescent="0.35">
      <c r="A2825"/>
    </row>
    <row r="2826" spans="1:1" x14ac:dyDescent="0.35">
      <c r="A2826"/>
    </row>
    <row r="2827" spans="1:1" x14ac:dyDescent="0.35">
      <c r="A2827"/>
    </row>
    <row r="2828" spans="1:1" x14ac:dyDescent="0.35">
      <c r="A2828"/>
    </row>
    <row r="2829" spans="1:1" x14ac:dyDescent="0.35">
      <c r="A2829"/>
    </row>
    <row r="2830" spans="1:1" x14ac:dyDescent="0.35">
      <c r="A2830"/>
    </row>
    <row r="2831" spans="1:1" x14ac:dyDescent="0.35">
      <c r="A2831"/>
    </row>
    <row r="2832" spans="1:1" x14ac:dyDescent="0.35">
      <c r="A2832"/>
    </row>
    <row r="2833" spans="1:1" x14ac:dyDescent="0.35">
      <c r="A2833"/>
    </row>
    <row r="2834" spans="1:1" x14ac:dyDescent="0.35">
      <c r="A2834"/>
    </row>
    <row r="2835" spans="1:1" x14ac:dyDescent="0.35">
      <c r="A2835"/>
    </row>
    <row r="2836" spans="1:1" x14ac:dyDescent="0.35">
      <c r="A2836"/>
    </row>
    <row r="2837" spans="1:1" x14ac:dyDescent="0.35">
      <c r="A2837"/>
    </row>
    <row r="2838" spans="1:1" x14ac:dyDescent="0.35">
      <c r="A2838"/>
    </row>
    <row r="2839" spans="1:1" x14ac:dyDescent="0.35">
      <c r="A2839"/>
    </row>
    <row r="2840" spans="1:1" x14ac:dyDescent="0.35">
      <c r="A2840"/>
    </row>
    <row r="2841" spans="1:1" x14ac:dyDescent="0.35">
      <c r="A2841"/>
    </row>
    <row r="2842" spans="1:1" x14ac:dyDescent="0.35">
      <c r="A2842"/>
    </row>
    <row r="2843" spans="1:1" x14ac:dyDescent="0.35">
      <c r="A2843"/>
    </row>
    <row r="2844" spans="1:1" x14ac:dyDescent="0.35">
      <c r="A2844"/>
    </row>
    <row r="2845" spans="1:1" x14ac:dyDescent="0.35">
      <c r="A2845"/>
    </row>
    <row r="2846" spans="1:1" x14ac:dyDescent="0.35">
      <c r="A2846"/>
    </row>
    <row r="2847" spans="1:1" x14ac:dyDescent="0.35">
      <c r="A2847"/>
    </row>
    <row r="2848" spans="1:1" x14ac:dyDescent="0.35">
      <c r="A2848"/>
    </row>
    <row r="2849" spans="1:1" x14ac:dyDescent="0.35">
      <c r="A2849"/>
    </row>
    <row r="2850" spans="1:1" x14ac:dyDescent="0.35">
      <c r="A2850"/>
    </row>
    <row r="2851" spans="1:1" x14ac:dyDescent="0.35">
      <c r="A2851"/>
    </row>
    <row r="2852" spans="1:1" x14ac:dyDescent="0.35">
      <c r="A2852"/>
    </row>
    <row r="2853" spans="1:1" x14ac:dyDescent="0.35">
      <c r="A2853"/>
    </row>
    <row r="2854" spans="1:1" x14ac:dyDescent="0.35">
      <c r="A2854"/>
    </row>
    <row r="2855" spans="1:1" x14ac:dyDescent="0.35">
      <c r="A2855"/>
    </row>
    <row r="2856" spans="1:1" x14ac:dyDescent="0.35">
      <c r="A2856"/>
    </row>
    <row r="2857" spans="1:1" x14ac:dyDescent="0.35">
      <c r="A2857"/>
    </row>
    <row r="2858" spans="1:1" x14ac:dyDescent="0.35">
      <c r="A2858"/>
    </row>
    <row r="2859" spans="1:1" x14ac:dyDescent="0.35">
      <c r="A2859"/>
    </row>
    <row r="2860" spans="1:1" x14ac:dyDescent="0.35">
      <c r="A2860"/>
    </row>
    <row r="2861" spans="1:1" x14ac:dyDescent="0.35">
      <c r="A2861"/>
    </row>
    <row r="2862" spans="1:1" x14ac:dyDescent="0.35">
      <c r="A2862"/>
    </row>
    <row r="2863" spans="1:1" x14ac:dyDescent="0.35">
      <c r="A2863"/>
    </row>
    <row r="2864" spans="1:1" x14ac:dyDescent="0.35">
      <c r="A2864"/>
    </row>
    <row r="2865" spans="1:1" x14ac:dyDescent="0.35">
      <c r="A2865"/>
    </row>
    <row r="2866" spans="1:1" x14ac:dyDescent="0.35">
      <c r="A2866"/>
    </row>
    <row r="2867" spans="1:1" x14ac:dyDescent="0.35">
      <c r="A2867"/>
    </row>
    <row r="2868" spans="1:1" x14ac:dyDescent="0.35">
      <c r="A2868"/>
    </row>
    <row r="2869" spans="1:1" x14ac:dyDescent="0.35">
      <c r="A2869"/>
    </row>
    <row r="2870" spans="1:1" x14ac:dyDescent="0.35">
      <c r="A2870"/>
    </row>
    <row r="2871" spans="1:1" x14ac:dyDescent="0.35">
      <c r="A2871"/>
    </row>
    <row r="2872" spans="1:1" x14ac:dyDescent="0.35">
      <c r="A2872"/>
    </row>
    <row r="2873" spans="1:1" x14ac:dyDescent="0.35">
      <c r="A2873"/>
    </row>
    <row r="2874" spans="1:1" x14ac:dyDescent="0.35">
      <c r="A2874"/>
    </row>
    <row r="2875" spans="1:1" x14ac:dyDescent="0.35">
      <c r="A2875"/>
    </row>
    <row r="2876" spans="1:1" x14ac:dyDescent="0.35">
      <c r="A2876"/>
    </row>
    <row r="2877" spans="1:1" x14ac:dyDescent="0.35">
      <c r="A2877"/>
    </row>
    <row r="2878" spans="1:1" x14ac:dyDescent="0.35">
      <c r="A2878"/>
    </row>
    <row r="2879" spans="1:1" x14ac:dyDescent="0.35">
      <c r="A2879"/>
    </row>
    <row r="2880" spans="1:1" x14ac:dyDescent="0.35">
      <c r="A2880"/>
    </row>
    <row r="2881" spans="1:1" x14ac:dyDescent="0.35">
      <c r="A2881"/>
    </row>
    <row r="2882" spans="1:1" x14ac:dyDescent="0.35">
      <c r="A2882"/>
    </row>
    <row r="2883" spans="1:1" x14ac:dyDescent="0.35">
      <c r="A2883"/>
    </row>
    <row r="2884" spans="1:1" x14ac:dyDescent="0.35">
      <c r="A2884"/>
    </row>
    <row r="2885" spans="1:1" x14ac:dyDescent="0.35">
      <c r="A2885"/>
    </row>
    <row r="2886" spans="1:1" x14ac:dyDescent="0.35">
      <c r="A2886"/>
    </row>
    <row r="2887" spans="1:1" x14ac:dyDescent="0.35">
      <c r="A2887"/>
    </row>
    <row r="2888" spans="1:1" x14ac:dyDescent="0.35">
      <c r="A2888"/>
    </row>
    <row r="2889" spans="1:1" x14ac:dyDescent="0.35">
      <c r="A2889"/>
    </row>
    <row r="2890" spans="1:1" x14ac:dyDescent="0.35">
      <c r="A2890"/>
    </row>
    <row r="2891" spans="1:1" x14ac:dyDescent="0.35">
      <c r="A2891"/>
    </row>
    <row r="2892" spans="1:1" x14ac:dyDescent="0.35">
      <c r="A2892"/>
    </row>
    <row r="2893" spans="1:1" x14ac:dyDescent="0.35">
      <c r="A2893"/>
    </row>
    <row r="2894" spans="1:1" x14ac:dyDescent="0.35">
      <c r="A2894"/>
    </row>
    <row r="2895" spans="1:1" x14ac:dyDescent="0.35">
      <c r="A2895"/>
    </row>
    <row r="2896" spans="1:1" x14ac:dyDescent="0.35">
      <c r="A2896"/>
    </row>
    <row r="2897" spans="1:1" x14ac:dyDescent="0.35">
      <c r="A2897"/>
    </row>
    <row r="2898" spans="1:1" x14ac:dyDescent="0.35">
      <c r="A2898"/>
    </row>
    <row r="2899" spans="1:1" x14ac:dyDescent="0.35">
      <c r="A2899"/>
    </row>
    <row r="2900" spans="1:1" x14ac:dyDescent="0.35">
      <c r="A2900"/>
    </row>
    <row r="2901" spans="1:1" x14ac:dyDescent="0.35">
      <c r="A2901"/>
    </row>
    <row r="2902" spans="1:1" x14ac:dyDescent="0.35">
      <c r="A2902"/>
    </row>
    <row r="2903" spans="1:1" x14ac:dyDescent="0.35">
      <c r="A2903"/>
    </row>
    <row r="2904" spans="1:1" x14ac:dyDescent="0.35">
      <c r="A2904"/>
    </row>
    <row r="2905" spans="1:1" x14ac:dyDescent="0.35">
      <c r="A2905"/>
    </row>
    <row r="2906" spans="1:1" x14ac:dyDescent="0.35">
      <c r="A2906"/>
    </row>
    <row r="2907" spans="1:1" x14ac:dyDescent="0.35">
      <c r="A2907"/>
    </row>
    <row r="2908" spans="1:1" x14ac:dyDescent="0.35">
      <c r="A2908"/>
    </row>
    <row r="2909" spans="1:1" x14ac:dyDescent="0.35">
      <c r="A2909"/>
    </row>
    <row r="2910" spans="1:1" x14ac:dyDescent="0.35">
      <c r="A2910"/>
    </row>
    <row r="2911" spans="1:1" x14ac:dyDescent="0.35">
      <c r="A2911"/>
    </row>
    <row r="2912" spans="1:1" x14ac:dyDescent="0.35">
      <c r="A2912"/>
    </row>
    <row r="2913" spans="1:1" x14ac:dyDescent="0.35">
      <c r="A2913"/>
    </row>
    <row r="2914" spans="1:1" x14ac:dyDescent="0.35">
      <c r="A2914"/>
    </row>
    <row r="2915" spans="1:1" x14ac:dyDescent="0.35">
      <c r="A2915"/>
    </row>
    <row r="2916" spans="1:1" x14ac:dyDescent="0.35">
      <c r="A2916"/>
    </row>
    <row r="2917" spans="1:1" x14ac:dyDescent="0.35">
      <c r="A2917"/>
    </row>
    <row r="2918" spans="1:1" x14ac:dyDescent="0.35">
      <c r="A2918"/>
    </row>
    <row r="2919" spans="1:1" x14ac:dyDescent="0.35">
      <c r="A2919"/>
    </row>
    <row r="2920" spans="1:1" x14ac:dyDescent="0.35">
      <c r="A2920"/>
    </row>
    <row r="2921" spans="1:1" x14ac:dyDescent="0.35">
      <c r="A2921"/>
    </row>
    <row r="2922" spans="1:1" x14ac:dyDescent="0.35">
      <c r="A2922"/>
    </row>
    <row r="2923" spans="1:1" x14ac:dyDescent="0.35">
      <c r="A2923"/>
    </row>
    <row r="2924" spans="1:1" x14ac:dyDescent="0.35">
      <c r="A2924"/>
    </row>
    <row r="2925" spans="1:1" x14ac:dyDescent="0.35">
      <c r="A2925"/>
    </row>
    <row r="2926" spans="1:1" x14ac:dyDescent="0.35">
      <c r="A2926"/>
    </row>
    <row r="2927" spans="1:1" x14ac:dyDescent="0.35">
      <c r="A2927"/>
    </row>
    <row r="2928" spans="1:1" x14ac:dyDescent="0.35">
      <c r="A2928"/>
    </row>
    <row r="2929" spans="1:1" x14ac:dyDescent="0.35">
      <c r="A2929"/>
    </row>
    <row r="2930" spans="1:1" x14ac:dyDescent="0.35">
      <c r="A2930"/>
    </row>
    <row r="2931" spans="1:1" x14ac:dyDescent="0.35">
      <c r="A2931"/>
    </row>
    <row r="2932" spans="1:1" x14ac:dyDescent="0.35">
      <c r="A2932"/>
    </row>
    <row r="2933" spans="1:1" x14ac:dyDescent="0.35">
      <c r="A2933"/>
    </row>
    <row r="2934" spans="1:1" x14ac:dyDescent="0.35">
      <c r="A2934"/>
    </row>
    <row r="2935" spans="1:1" x14ac:dyDescent="0.35">
      <c r="A2935"/>
    </row>
    <row r="2936" spans="1:1" x14ac:dyDescent="0.35">
      <c r="A2936"/>
    </row>
    <row r="2937" spans="1:1" x14ac:dyDescent="0.35">
      <c r="A2937"/>
    </row>
    <row r="2938" spans="1:1" x14ac:dyDescent="0.35">
      <c r="A2938"/>
    </row>
    <row r="2939" spans="1:1" x14ac:dyDescent="0.35">
      <c r="A2939"/>
    </row>
    <row r="2940" spans="1:1" x14ac:dyDescent="0.35">
      <c r="A2940"/>
    </row>
    <row r="2941" spans="1:1" x14ac:dyDescent="0.35">
      <c r="A2941"/>
    </row>
    <row r="2942" spans="1:1" x14ac:dyDescent="0.35">
      <c r="A2942"/>
    </row>
    <row r="2943" spans="1:1" x14ac:dyDescent="0.35">
      <c r="A2943"/>
    </row>
    <row r="2944" spans="1:1" x14ac:dyDescent="0.35">
      <c r="A2944"/>
    </row>
    <row r="2945" spans="1:1" x14ac:dyDescent="0.35">
      <c r="A2945"/>
    </row>
    <row r="2946" spans="1:1" x14ac:dyDescent="0.35">
      <c r="A2946"/>
    </row>
    <row r="2947" spans="1:1" x14ac:dyDescent="0.35">
      <c r="A2947"/>
    </row>
    <row r="2948" spans="1:1" x14ac:dyDescent="0.35">
      <c r="A2948"/>
    </row>
    <row r="2949" spans="1:1" x14ac:dyDescent="0.35">
      <c r="A2949"/>
    </row>
    <row r="2950" spans="1:1" x14ac:dyDescent="0.35">
      <c r="A2950"/>
    </row>
    <row r="2951" spans="1:1" x14ac:dyDescent="0.35">
      <c r="A2951"/>
    </row>
    <row r="2952" spans="1:1" x14ac:dyDescent="0.35">
      <c r="A2952"/>
    </row>
    <row r="2953" spans="1:1" x14ac:dyDescent="0.35">
      <c r="A2953"/>
    </row>
    <row r="2954" spans="1:1" x14ac:dyDescent="0.35">
      <c r="A2954"/>
    </row>
    <row r="2955" spans="1:1" x14ac:dyDescent="0.35">
      <c r="A2955"/>
    </row>
    <row r="2956" spans="1:1" x14ac:dyDescent="0.35">
      <c r="A2956"/>
    </row>
    <row r="2957" spans="1:1" x14ac:dyDescent="0.35">
      <c r="A2957"/>
    </row>
    <row r="2958" spans="1:1" x14ac:dyDescent="0.35">
      <c r="A2958"/>
    </row>
    <row r="2959" spans="1:1" x14ac:dyDescent="0.35">
      <c r="A2959"/>
    </row>
    <row r="2960" spans="1:1" x14ac:dyDescent="0.35">
      <c r="A2960"/>
    </row>
    <row r="2961" spans="1:1" x14ac:dyDescent="0.35">
      <c r="A2961"/>
    </row>
    <row r="2962" spans="1:1" x14ac:dyDescent="0.35">
      <c r="A2962"/>
    </row>
    <row r="2963" spans="1:1" x14ac:dyDescent="0.35">
      <c r="A2963"/>
    </row>
    <row r="2964" spans="1:1" x14ac:dyDescent="0.35">
      <c r="A2964"/>
    </row>
    <row r="2965" spans="1:1" x14ac:dyDescent="0.35">
      <c r="A2965"/>
    </row>
    <row r="2966" spans="1:1" x14ac:dyDescent="0.35">
      <c r="A2966"/>
    </row>
    <row r="2967" spans="1:1" x14ac:dyDescent="0.35">
      <c r="A2967"/>
    </row>
    <row r="2968" spans="1:1" x14ac:dyDescent="0.35">
      <c r="A2968"/>
    </row>
    <row r="2969" spans="1:1" x14ac:dyDescent="0.35">
      <c r="A2969"/>
    </row>
    <row r="2970" spans="1:1" x14ac:dyDescent="0.35">
      <c r="A2970"/>
    </row>
    <row r="2971" spans="1:1" x14ac:dyDescent="0.35">
      <c r="A2971"/>
    </row>
    <row r="2972" spans="1:1" x14ac:dyDescent="0.35">
      <c r="A2972"/>
    </row>
    <row r="2973" spans="1:1" x14ac:dyDescent="0.35">
      <c r="A2973"/>
    </row>
    <row r="2974" spans="1:1" x14ac:dyDescent="0.35">
      <c r="A2974"/>
    </row>
    <row r="2975" spans="1:1" x14ac:dyDescent="0.35">
      <c r="A2975"/>
    </row>
    <row r="2976" spans="1:1" x14ac:dyDescent="0.35">
      <c r="A2976"/>
    </row>
    <row r="2977" spans="1:1" x14ac:dyDescent="0.35">
      <c r="A2977"/>
    </row>
    <row r="2978" spans="1:1" x14ac:dyDescent="0.35">
      <c r="A2978"/>
    </row>
    <row r="2979" spans="1:1" x14ac:dyDescent="0.35">
      <c r="A2979"/>
    </row>
    <row r="2980" spans="1:1" x14ac:dyDescent="0.35">
      <c r="A2980"/>
    </row>
    <row r="2981" spans="1:1" x14ac:dyDescent="0.35">
      <c r="A2981"/>
    </row>
    <row r="2982" spans="1:1" x14ac:dyDescent="0.35">
      <c r="A2982"/>
    </row>
    <row r="2983" spans="1:1" x14ac:dyDescent="0.35">
      <c r="A2983"/>
    </row>
    <row r="2984" spans="1:1" x14ac:dyDescent="0.35">
      <c r="A2984"/>
    </row>
    <row r="2985" spans="1:1" x14ac:dyDescent="0.35">
      <c r="A2985"/>
    </row>
    <row r="2986" spans="1:1" x14ac:dyDescent="0.35">
      <c r="A2986"/>
    </row>
    <row r="2987" spans="1:1" x14ac:dyDescent="0.35">
      <c r="A2987"/>
    </row>
    <row r="2988" spans="1:1" x14ac:dyDescent="0.35">
      <c r="A2988"/>
    </row>
    <row r="2989" spans="1:1" x14ac:dyDescent="0.35">
      <c r="A2989"/>
    </row>
    <row r="2990" spans="1:1" x14ac:dyDescent="0.35">
      <c r="A2990"/>
    </row>
    <row r="2991" spans="1:1" x14ac:dyDescent="0.35">
      <c r="A2991"/>
    </row>
    <row r="2992" spans="1:1" x14ac:dyDescent="0.35">
      <c r="A2992"/>
    </row>
    <row r="2993" spans="1:1" x14ac:dyDescent="0.35">
      <c r="A2993"/>
    </row>
    <row r="2994" spans="1:1" x14ac:dyDescent="0.35">
      <c r="A2994"/>
    </row>
    <row r="2995" spans="1:1" x14ac:dyDescent="0.35">
      <c r="A2995"/>
    </row>
    <row r="2996" spans="1:1" x14ac:dyDescent="0.35">
      <c r="A2996"/>
    </row>
    <row r="2997" spans="1:1" x14ac:dyDescent="0.35">
      <c r="A2997"/>
    </row>
    <row r="2998" spans="1:1" x14ac:dyDescent="0.35">
      <c r="A2998"/>
    </row>
    <row r="2999" spans="1:1" x14ac:dyDescent="0.35">
      <c r="A2999"/>
    </row>
    <row r="3000" spans="1:1" x14ac:dyDescent="0.35">
      <c r="A3000"/>
    </row>
    <row r="3001" spans="1:1" x14ac:dyDescent="0.35">
      <c r="A3001"/>
    </row>
    <row r="3002" spans="1:1" x14ac:dyDescent="0.35">
      <c r="A3002"/>
    </row>
    <row r="3003" spans="1:1" x14ac:dyDescent="0.35">
      <c r="A3003"/>
    </row>
    <row r="3004" spans="1:1" x14ac:dyDescent="0.35">
      <c r="A3004"/>
    </row>
    <row r="3005" spans="1:1" x14ac:dyDescent="0.35">
      <c r="A3005"/>
    </row>
    <row r="3006" spans="1:1" x14ac:dyDescent="0.35">
      <c r="A3006"/>
    </row>
    <row r="3007" spans="1:1" x14ac:dyDescent="0.35">
      <c r="A3007"/>
    </row>
    <row r="3008" spans="1:1" x14ac:dyDescent="0.35">
      <c r="A3008"/>
    </row>
    <row r="3009" spans="1:1" x14ac:dyDescent="0.35">
      <c r="A3009"/>
    </row>
    <row r="3010" spans="1:1" x14ac:dyDescent="0.35">
      <c r="A3010"/>
    </row>
    <row r="3011" spans="1:1" x14ac:dyDescent="0.35">
      <c r="A3011"/>
    </row>
    <row r="3012" spans="1:1" x14ac:dyDescent="0.35">
      <c r="A3012"/>
    </row>
    <row r="3013" spans="1:1" x14ac:dyDescent="0.35">
      <c r="A3013"/>
    </row>
    <row r="3014" spans="1:1" x14ac:dyDescent="0.35">
      <c r="A3014"/>
    </row>
    <row r="3015" spans="1:1" x14ac:dyDescent="0.35">
      <c r="A3015"/>
    </row>
    <row r="3016" spans="1:1" x14ac:dyDescent="0.35">
      <c r="A3016"/>
    </row>
    <row r="3017" spans="1:1" x14ac:dyDescent="0.35">
      <c r="A3017"/>
    </row>
    <row r="3018" spans="1:1" x14ac:dyDescent="0.35">
      <c r="A3018"/>
    </row>
    <row r="3019" spans="1:1" x14ac:dyDescent="0.35">
      <c r="A3019"/>
    </row>
    <row r="3020" spans="1:1" x14ac:dyDescent="0.35">
      <c r="A3020"/>
    </row>
    <row r="3021" spans="1:1" x14ac:dyDescent="0.35">
      <c r="A3021"/>
    </row>
    <row r="3022" spans="1:1" x14ac:dyDescent="0.35">
      <c r="A3022"/>
    </row>
    <row r="3023" spans="1:1" x14ac:dyDescent="0.35">
      <c r="A3023"/>
    </row>
    <row r="3024" spans="1:1" x14ac:dyDescent="0.35">
      <c r="A3024"/>
    </row>
    <row r="3025" spans="1:1" x14ac:dyDescent="0.35">
      <c r="A3025"/>
    </row>
    <row r="3026" spans="1:1" x14ac:dyDescent="0.35">
      <c r="A3026"/>
    </row>
    <row r="3027" spans="1:1" x14ac:dyDescent="0.35">
      <c r="A3027"/>
    </row>
    <row r="3028" spans="1:1" x14ac:dyDescent="0.35">
      <c r="A3028"/>
    </row>
    <row r="3029" spans="1:1" x14ac:dyDescent="0.35">
      <c r="A3029"/>
    </row>
    <row r="3030" spans="1:1" x14ac:dyDescent="0.35">
      <c r="A3030"/>
    </row>
    <row r="3031" spans="1:1" x14ac:dyDescent="0.35">
      <c r="A3031"/>
    </row>
    <row r="3032" spans="1:1" x14ac:dyDescent="0.35">
      <c r="A3032"/>
    </row>
    <row r="3033" spans="1:1" x14ac:dyDescent="0.35">
      <c r="A3033"/>
    </row>
    <row r="3034" spans="1:1" x14ac:dyDescent="0.35">
      <c r="A3034"/>
    </row>
    <row r="3035" spans="1:1" x14ac:dyDescent="0.35">
      <c r="A3035"/>
    </row>
    <row r="3036" spans="1:1" x14ac:dyDescent="0.35">
      <c r="A3036"/>
    </row>
    <row r="3037" spans="1:1" x14ac:dyDescent="0.35">
      <c r="A3037"/>
    </row>
    <row r="3038" spans="1:1" x14ac:dyDescent="0.35">
      <c r="A3038"/>
    </row>
    <row r="3039" spans="1:1" x14ac:dyDescent="0.35">
      <c r="A3039"/>
    </row>
    <row r="3040" spans="1:1" x14ac:dyDescent="0.35">
      <c r="A3040"/>
    </row>
    <row r="3041" spans="1:1" x14ac:dyDescent="0.35">
      <c r="A3041"/>
    </row>
    <row r="3042" spans="1:1" x14ac:dyDescent="0.35">
      <c r="A3042"/>
    </row>
    <row r="3043" spans="1:1" x14ac:dyDescent="0.35">
      <c r="A3043"/>
    </row>
    <row r="3044" spans="1:1" x14ac:dyDescent="0.35">
      <c r="A3044"/>
    </row>
    <row r="3045" spans="1:1" x14ac:dyDescent="0.35">
      <c r="A3045"/>
    </row>
    <row r="3046" spans="1:1" x14ac:dyDescent="0.35">
      <c r="A3046"/>
    </row>
    <row r="3047" spans="1:1" x14ac:dyDescent="0.35">
      <c r="A3047"/>
    </row>
    <row r="3048" spans="1:1" x14ac:dyDescent="0.35">
      <c r="A3048"/>
    </row>
    <row r="3049" spans="1:1" x14ac:dyDescent="0.35">
      <c r="A3049"/>
    </row>
    <row r="3050" spans="1:1" x14ac:dyDescent="0.35">
      <c r="A3050"/>
    </row>
    <row r="3051" spans="1:1" x14ac:dyDescent="0.35">
      <c r="A3051"/>
    </row>
    <row r="3052" spans="1:1" x14ac:dyDescent="0.35">
      <c r="A3052"/>
    </row>
    <row r="3053" spans="1:1" x14ac:dyDescent="0.35">
      <c r="A3053"/>
    </row>
    <row r="3054" spans="1:1" x14ac:dyDescent="0.35">
      <c r="A3054"/>
    </row>
    <row r="3055" spans="1:1" x14ac:dyDescent="0.35">
      <c r="A3055"/>
    </row>
    <row r="3056" spans="1:1" x14ac:dyDescent="0.35">
      <c r="A3056"/>
    </row>
    <row r="3057" spans="1:1" x14ac:dyDescent="0.35">
      <c r="A3057"/>
    </row>
    <row r="3058" spans="1:1" x14ac:dyDescent="0.35">
      <c r="A3058"/>
    </row>
    <row r="3059" spans="1:1" x14ac:dyDescent="0.35">
      <c r="A3059"/>
    </row>
    <row r="3060" spans="1:1" x14ac:dyDescent="0.35">
      <c r="A3060"/>
    </row>
    <row r="3061" spans="1:1" x14ac:dyDescent="0.35">
      <c r="A3061"/>
    </row>
    <row r="3062" spans="1:1" x14ac:dyDescent="0.35">
      <c r="A3062"/>
    </row>
    <row r="3063" spans="1:1" x14ac:dyDescent="0.35">
      <c r="A3063"/>
    </row>
    <row r="3064" spans="1:1" x14ac:dyDescent="0.35">
      <c r="A3064"/>
    </row>
    <row r="3065" spans="1:1" x14ac:dyDescent="0.35">
      <c r="A3065"/>
    </row>
    <row r="3066" spans="1:1" x14ac:dyDescent="0.35">
      <c r="A3066"/>
    </row>
    <row r="3067" spans="1:1" x14ac:dyDescent="0.35">
      <c r="A3067"/>
    </row>
    <row r="3068" spans="1:1" x14ac:dyDescent="0.35">
      <c r="A3068"/>
    </row>
    <row r="3069" spans="1:1" x14ac:dyDescent="0.35">
      <c r="A3069"/>
    </row>
    <row r="3070" spans="1:1" x14ac:dyDescent="0.35">
      <c r="A3070"/>
    </row>
    <row r="3071" spans="1:1" x14ac:dyDescent="0.35">
      <c r="A3071"/>
    </row>
    <row r="3072" spans="1:1" x14ac:dyDescent="0.35">
      <c r="A3072"/>
    </row>
    <row r="3073" spans="1:1" x14ac:dyDescent="0.35">
      <c r="A3073"/>
    </row>
    <row r="3074" spans="1:1" x14ac:dyDescent="0.35">
      <c r="A3074"/>
    </row>
    <row r="3075" spans="1:1" x14ac:dyDescent="0.35">
      <c r="A3075"/>
    </row>
    <row r="3076" spans="1:1" x14ac:dyDescent="0.35">
      <c r="A3076"/>
    </row>
    <row r="3077" spans="1:1" x14ac:dyDescent="0.35">
      <c r="A3077"/>
    </row>
    <row r="3078" spans="1:1" x14ac:dyDescent="0.35">
      <c r="A3078"/>
    </row>
    <row r="3079" spans="1:1" x14ac:dyDescent="0.35">
      <c r="A3079"/>
    </row>
    <row r="3080" spans="1:1" x14ac:dyDescent="0.35">
      <c r="A3080"/>
    </row>
    <row r="3081" spans="1:1" x14ac:dyDescent="0.35">
      <c r="A3081"/>
    </row>
    <row r="3082" spans="1:1" x14ac:dyDescent="0.35">
      <c r="A3082"/>
    </row>
    <row r="3083" spans="1:1" x14ac:dyDescent="0.35">
      <c r="A3083"/>
    </row>
    <row r="3084" spans="1:1" x14ac:dyDescent="0.35">
      <c r="A3084"/>
    </row>
    <row r="3085" spans="1:1" x14ac:dyDescent="0.35">
      <c r="A3085"/>
    </row>
    <row r="3086" spans="1:1" x14ac:dyDescent="0.35">
      <c r="A3086"/>
    </row>
    <row r="3087" spans="1:1" x14ac:dyDescent="0.35">
      <c r="A3087"/>
    </row>
    <row r="3088" spans="1:1" x14ac:dyDescent="0.35">
      <c r="A3088"/>
    </row>
    <row r="3089" spans="1:1" x14ac:dyDescent="0.35">
      <c r="A3089"/>
    </row>
    <row r="3090" spans="1:1" x14ac:dyDescent="0.35">
      <c r="A3090"/>
    </row>
    <row r="3091" spans="1:1" x14ac:dyDescent="0.35">
      <c r="A3091"/>
    </row>
    <row r="3092" spans="1:1" x14ac:dyDescent="0.35">
      <c r="A3092"/>
    </row>
    <row r="3093" spans="1:1" x14ac:dyDescent="0.35">
      <c r="A3093"/>
    </row>
    <row r="3094" spans="1:1" x14ac:dyDescent="0.35">
      <c r="A3094"/>
    </row>
    <row r="3095" spans="1:1" x14ac:dyDescent="0.35">
      <c r="A3095"/>
    </row>
    <row r="3096" spans="1:1" x14ac:dyDescent="0.35">
      <c r="A3096"/>
    </row>
    <row r="3097" spans="1:1" x14ac:dyDescent="0.35">
      <c r="A3097"/>
    </row>
    <row r="3098" spans="1:1" x14ac:dyDescent="0.35">
      <c r="A3098"/>
    </row>
    <row r="3099" spans="1:1" x14ac:dyDescent="0.35">
      <c r="A3099"/>
    </row>
    <row r="3100" spans="1:1" x14ac:dyDescent="0.35">
      <c r="A3100"/>
    </row>
    <row r="3101" spans="1:1" x14ac:dyDescent="0.35">
      <c r="A3101"/>
    </row>
    <row r="3102" spans="1:1" x14ac:dyDescent="0.35">
      <c r="A3102"/>
    </row>
    <row r="3103" spans="1:1" x14ac:dyDescent="0.35">
      <c r="A3103"/>
    </row>
    <row r="3104" spans="1:1" x14ac:dyDescent="0.35">
      <c r="A3104"/>
    </row>
    <row r="3105" spans="1:1" x14ac:dyDescent="0.35">
      <c r="A3105"/>
    </row>
    <row r="3106" spans="1:1" x14ac:dyDescent="0.35">
      <c r="A3106"/>
    </row>
    <row r="3107" spans="1:1" x14ac:dyDescent="0.35">
      <c r="A3107"/>
    </row>
    <row r="3108" spans="1:1" x14ac:dyDescent="0.35">
      <c r="A3108"/>
    </row>
    <row r="3109" spans="1:1" x14ac:dyDescent="0.35">
      <c r="A3109"/>
    </row>
    <row r="3110" spans="1:1" x14ac:dyDescent="0.35">
      <c r="A3110"/>
    </row>
    <row r="3111" spans="1:1" x14ac:dyDescent="0.35">
      <c r="A3111"/>
    </row>
    <row r="3112" spans="1:1" x14ac:dyDescent="0.35">
      <c r="A3112"/>
    </row>
    <row r="3113" spans="1:1" x14ac:dyDescent="0.35">
      <c r="A3113"/>
    </row>
    <row r="3114" spans="1:1" x14ac:dyDescent="0.35">
      <c r="A3114"/>
    </row>
    <row r="3115" spans="1:1" x14ac:dyDescent="0.35">
      <c r="A3115"/>
    </row>
    <row r="3116" spans="1:1" x14ac:dyDescent="0.35">
      <c r="A3116"/>
    </row>
    <row r="3117" spans="1:1" x14ac:dyDescent="0.35">
      <c r="A3117"/>
    </row>
    <row r="3118" spans="1:1" x14ac:dyDescent="0.35">
      <c r="A3118"/>
    </row>
    <row r="3119" spans="1:1" x14ac:dyDescent="0.35">
      <c r="A3119"/>
    </row>
    <row r="3120" spans="1:1" x14ac:dyDescent="0.35">
      <c r="A3120"/>
    </row>
    <row r="3121" spans="1:1" x14ac:dyDescent="0.35">
      <c r="A3121"/>
    </row>
    <row r="3122" spans="1:1" x14ac:dyDescent="0.35">
      <c r="A3122"/>
    </row>
    <row r="3123" spans="1:1" x14ac:dyDescent="0.35">
      <c r="A3123"/>
    </row>
    <row r="3124" spans="1:1" x14ac:dyDescent="0.35">
      <c r="A3124"/>
    </row>
    <row r="3125" spans="1:1" x14ac:dyDescent="0.35">
      <c r="A3125"/>
    </row>
    <row r="3126" spans="1:1" x14ac:dyDescent="0.35">
      <c r="A3126"/>
    </row>
    <row r="3127" spans="1:1" x14ac:dyDescent="0.35">
      <c r="A3127"/>
    </row>
    <row r="3128" spans="1:1" x14ac:dyDescent="0.35">
      <c r="A3128"/>
    </row>
    <row r="3129" spans="1:1" x14ac:dyDescent="0.35">
      <c r="A3129"/>
    </row>
    <row r="3130" spans="1:1" x14ac:dyDescent="0.35">
      <c r="A3130"/>
    </row>
    <row r="3131" spans="1:1" x14ac:dyDescent="0.35">
      <c r="A3131"/>
    </row>
    <row r="3132" spans="1:1" x14ac:dyDescent="0.35">
      <c r="A3132"/>
    </row>
    <row r="3133" spans="1:1" x14ac:dyDescent="0.35">
      <c r="A3133"/>
    </row>
    <row r="3134" spans="1:1" x14ac:dyDescent="0.35">
      <c r="A3134"/>
    </row>
    <row r="3135" spans="1:1" x14ac:dyDescent="0.35">
      <c r="A3135"/>
    </row>
    <row r="3136" spans="1:1" x14ac:dyDescent="0.35">
      <c r="A3136"/>
    </row>
    <row r="3137" spans="1:1" x14ac:dyDescent="0.35">
      <c r="A3137"/>
    </row>
    <row r="3138" spans="1:1" x14ac:dyDescent="0.35">
      <c r="A3138"/>
    </row>
    <row r="3139" spans="1:1" x14ac:dyDescent="0.35">
      <c r="A3139"/>
    </row>
    <row r="3140" spans="1:1" x14ac:dyDescent="0.35">
      <c r="A3140"/>
    </row>
    <row r="3141" spans="1:1" x14ac:dyDescent="0.35">
      <c r="A3141"/>
    </row>
    <row r="3142" spans="1:1" x14ac:dyDescent="0.35">
      <c r="A3142"/>
    </row>
    <row r="3143" spans="1:1" x14ac:dyDescent="0.35">
      <c r="A3143"/>
    </row>
    <row r="3144" spans="1:1" x14ac:dyDescent="0.35">
      <c r="A3144"/>
    </row>
    <row r="3145" spans="1:1" x14ac:dyDescent="0.35">
      <c r="A3145"/>
    </row>
    <row r="3146" spans="1:1" x14ac:dyDescent="0.35">
      <c r="A3146"/>
    </row>
    <row r="3147" spans="1:1" x14ac:dyDescent="0.35">
      <c r="A3147"/>
    </row>
    <row r="3148" spans="1:1" x14ac:dyDescent="0.35">
      <c r="A3148"/>
    </row>
    <row r="3149" spans="1:1" x14ac:dyDescent="0.35">
      <c r="A3149"/>
    </row>
    <row r="3150" spans="1:1" x14ac:dyDescent="0.35">
      <c r="A3150"/>
    </row>
    <row r="3151" spans="1:1" x14ac:dyDescent="0.35">
      <c r="A3151"/>
    </row>
    <row r="3152" spans="1:1" x14ac:dyDescent="0.35">
      <c r="A3152"/>
    </row>
    <row r="3153" spans="1:1" x14ac:dyDescent="0.35">
      <c r="A3153"/>
    </row>
    <row r="3154" spans="1:1" x14ac:dyDescent="0.35">
      <c r="A3154"/>
    </row>
    <row r="3155" spans="1:1" x14ac:dyDescent="0.35">
      <c r="A3155"/>
    </row>
    <row r="3156" spans="1:1" x14ac:dyDescent="0.35">
      <c r="A3156"/>
    </row>
    <row r="3157" spans="1:1" x14ac:dyDescent="0.35">
      <c r="A3157"/>
    </row>
    <row r="3158" spans="1:1" x14ac:dyDescent="0.35">
      <c r="A3158"/>
    </row>
    <row r="3159" spans="1:1" x14ac:dyDescent="0.35">
      <c r="A3159"/>
    </row>
    <row r="3160" spans="1:1" x14ac:dyDescent="0.35">
      <c r="A3160"/>
    </row>
    <row r="3161" spans="1:1" x14ac:dyDescent="0.35">
      <c r="A3161"/>
    </row>
    <row r="3162" spans="1:1" x14ac:dyDescent="0.35">
      <c r="A3162"/>
    </row>
    <row r="3163" spans="1:1" x14ac:dyDescent="0.35">
      <c r="A3163"/>
    </row>
    <row r="3164" spans="1:1" x14ac:dyDescent="0.35">
      <c r="A3164"/>
    </row>
    <row r="3165" spans="1:1" x14ac:dyDescent="0.35">
      <c r="A3165"/>
    </row>
    <row r="3166" spans="1:1" x14ac:dyDescent="0.35">
      <c r="A3166"/>
    </row>
    <row r="3167" spans="1:1" x14ac:dyDescent="0.35">
      <c r="A3167"/>
    </row>
    <row r="3168" spans="1:1" x14ac:dyDescent="0.35">
      <c r="A3168"/>
    </row>
    <row r="3169" spans="1:1" x14ac:dyDescent="0.35">
      <c r="A3169"/>
    </row>
    <row r="3170" spans="1:1" x14ac:dyDescent="0.35">
      <c r="A3170"/>
    </row>
    <row r="3171" spans="1:1" x14ac:dyDescent="0.35">
      <c r="A3171"/>
    </row>
    <row r="3172" spans="1:1" x14ac:dyDescent="0.35">
      <c r="A3172"/>
    </row>
    <row r="3173" spans="1:1" x14ac:dyDescent="0.35">
      <c r="A3173"/>
    </row>
    <row r="3174" spans="1:1" x14ac:dyDescent="0.35">
      <c r="A3174"/>
    </row>
    <row r="3175" spans="1:1" x14ac:dyDescent="0.35">
      <c r="A3175"/>
    </row>
    <row r="3176" spans="1:1" x14ac:dyDescent="0.35">
      <c r="A3176"/>
    </row>
    <row r="3177" spans="1:1" x14ac:dyDescent="0.35">
      <c r="A3177"/>
    </row>
    <row r="3178" spans="1:1" x14ac:dyDescent="0.35">
      <c r="A3178"/>
    </row>
    <row r="3179" spans="1:1" x14ac:dyDescent="0.35">
      <c r="A3179"/>
    </row>
    <row r="3180" spans="1:1" x14ac:dyDescent="0.35">
      <c r="A3180"/>
    </row>
    <row r="3181" spans="1:1" x14ac:dyDescent="0.35">
      <c r="A3181"/>
    </row>
    <row r="3182" spans="1:1" x14ac:dyDescent="0.35">
      <c r="A3182"/>
    </row>
    <row r="3183" spans="1:1" x14ac:dyDescent="0.35">
      <c r="A3183"/>
    </row>
    <row r="3184" spans="1:1" x14ac:dyDescent="0.35">
      <c r="A3184"/>
    </row>
    <row r="3185" spans="1:1" x14ac:dyDescent="0.35">
      <c r="A3185"/>
    </row>
    <row r="3186" spans="1:1" x14ac:dyDescent="0.35">
      <c r="A3186"/>
    </row>
    <row r="3187" spans="1:1" x14ac:dyDescent="0.35">
      <c r="A3187"/>
    </row>
    <row r="3188" spans="1:1" x14ac:dyDescent="0.35">
      <c r="A3188"/>
    </row>
    <row r="3189" spans="1:1" x14ac:dyDescent="0.35">
      <c r="A3189"/>
    </row>
    <row r="3190" spans="1:1" x14ac:dyDescent="0.35">
      <c r="A3190"/>
    </row>
    <row r="3191" spans="1:1" x14ac:dyDescent="0.35">
      <c r="A3191"/>
    </row>
    <row r="3192" spans="1:1" x14ac:dyDescent="0.35">
      <c r="A3192"/>
    </row>
    <row r="3193" spans="1:1" x14ac:dyDescent="0.35">
      <c r="A3193"/>
    </row>
    <row r="3194" spans="1:1" x14ac:dyDescent="0.35">
      <c r="A3194"/>
    </row>
    <row r="3195" spans="1:1" x14ac:dyDescent="0.35">
      <c r="A3195"/>
    </row>
    <row r="3196" spans="1:1" x14ac:dyDescent="0.35">
      <c r="A3196"/>
    </row>
    <row r="3197" spans="1:1" x14ac:dyDescent="0.35">
      <c r="A3197"/>
    </row>
    <row r="3198" spans="1:1" x14ac:dyDescent="0.35">
      <c r="A3198"/>
    </row>
    <row r="3199" spans="1:1" x14ac:dyDescent="0.35">
      <c r="A3199"/>
    </row>
    <row r="3200" spans="1:1" x14ac:dyDescent="0.35">
      <c r="A3200"/>
    </row>
    <row r="3201" spans="1:1" x14ac:dyDescent="0.35">
      <c r="A3201"/>
    </row>
    <row r="3202" spans="1:1" x14ac:dyDescent="0.35">
      <c r="A3202"/>
    </row>
    <row r="3203" spans="1:1" x14ac:dyDescent="0.35">
      <c r="A3203"/>
    </row>
    <row r="3204" spans="1:1" x14ac:dyDescent="0.35">
      <c r="A3204"/>
    </row>
    <row r="3205" spans="1:1" x14ac:dyDescent="0.35">
      <c r="A3205"/>
    </row>
    <row r="3206" spans="1:1" x14ac:dyDescent="0.35">
      <c r="A3206"/>
    </row>
    <row r="3207" spans="1:1" x14ac:dyDescent="0.35">
      <c r="A3207"/>
    </row>
    <row r="3208" spans="1:1" x14ac:dyDescent="0.35">
      <c r="A3208"/>
    </row>
    <row r="3209" spans="1:1" x14ac:dyDescent="0.35">
      <c r="A3209"/>
    </row>
    <row r="3210" spans="1:1" x14ac:dyDescent="0.35">
      <c r="A3210"/>
    </row>
    <row r="3211" spans="1:1" x14ac:dyDescent="0.35">
      <c r="A3211"/>
    </row>
    <row r="3212" spans="1:1" x14ac:dyDescent="0.35">
      <c r="A3212"/>
    </row>
    <row r="3213" spans="1:1" x14ac:dyDescent="0.35">
      <c r="A3213"/>
    </row>
    <row r="3214" spans="1:1" x14ac:dyDescent="0.35">
      <c r="A3214"/>
    </row>
    <row r="3215" spans="1:1" x14ac:dyDescent="0.35">
      <c r="A3215"/>
    </row>
    <row r="3216" spans="1:1" x14ac:dyDescent="0.35">
      <c r="A3216"/>
    </row>
    <row r="3217" spans="1:1" x14ac:dyDescent="0.35">
      <c r="A3217"/>
    </row>
    <row r="3218" spans="1:1" x14ac:dyDescent="0.35">
      <c r="A3218"/>
    </row>
    <row r="3219" spans="1:1" x14ac:dyDescent="0.35">
      <c r="A3219"/>
    </row>
    <row r="3220" spans="1:1" x14ac:dyDescent="0.35">
      <c r="A3220"/>
    </row>
    <row r="3221" spans="1:1" x14ac:dyDescent="0.35">
      <c r="A3221"/>
    </row>
    <row r="3222" spans="1:1" x14ac:dyDescent="0.35">
      <c r="A3222"/>
    </row>
    <row r="3223" spans="1:1" x14ac:dyDescent="0.35">
      <c r="A3223"/>
    </row>
    <row r="3224" spans="1:1" x14ac:dyDescent="0.35">
      <c r="A3224"/>
    </row>
    <row r="3225" spans="1:1" x14ac:dyDescent="0.35">
      <c r="A3225"/>
    </row>
    <row r="3226" spans="1:1" x14ac:dyDescent="0.35">
      <c r="A3226"/>
    </row>
    <row r="3227" spans="1:1" x14ac:dyDescent="0.35">
      <c r="A3227"/>
    </row>
    <row r="3228" spans="1:1" x14ac:dyDescent="0.35">
      <c r="A3228"/>
    </row>
    <row r="3229" spans="1:1" x14ac:dyDescent="0.35">
      <c r="A3229"/>
    </row>
    <row r="3230" spans="1:1" x14ac:dyDescent="0.35">
      <c r="A3230"/>
    </row>
    <row r="3231" spans="1:1" x14ac:dyDescent="0.35">
      <c r="A3231"/>
    </row>
    <row r="3232" spans="1:1" x14ac:dyDescent="0.35">
      <c r="A3232"/>
    </row>
    <row r="3233" spans="1:1" x14ac:dyDescent="0.35">
      <c r="A3233"/>
    </row>
    <row r="3234" spans="1:1" x14ac:dyDescent="0.35">
      <c r="A3234"/>
    </row>
    <row r="3235" spans="1:1" x14ac:dyDescent="0.35">
      <c r="A3235"/>
    </row>
    <row r="3236" spans="1:1" x14ac:dyDescent="0.35">
      <c r="A3236"/>
    </row>
    <row r="3237" spans="1:1" x14ac:dyDescent="0.35">
      <c r="A3237"/>
    </row>
    <row r="3238" spans="1:1" x14ac:dyDescent="0.35">
      <c r="A3238"/>
    </row>
    <row r="3239" spans="1:1" x14ac:dyDescent="0.35">
      <c r="A3239"/>
    </row>
    <row r="3240" spans="1:1" x14ac:dyDescent="0.35">
      <c r="A3240"/>
    </row>
    <row r="3241" spans="1:1" x14ac:dyDescent="0.35">
      <c r="A3241"/>
    </row>
    <row r="3242" spans="1:1" x14ac:dyDescent="0.35">
      <c r="A3242"/>
    </row>
    <row r="3243" spans="1:1" x14ac:dyDescent="0.35">
      <c r="A3243"/>
    </row>
    <row r="3244" spans="1:1" x14ac:dyDescent="0.35">
      <c r="A3244"/>
    </row>
    <row r="3245" spans="1:1" x14ac:dyDescent="0.35">
      <c r="A3245"/>
    </row>
    <row r="3246" spans="1:1" x14ac:dyDescent="0.35">
      <c r="A3246"/>
    </row>
    <row r="3247" spans="1:1" x14ac:dyDescent="0.35">
      <c r="A3247"/>
    </row>
    <row r="3248" spans="1:1" x14ac:dyDescent="0.35">
      <c r="A3248"/>
    </row>
    <row r="3249" spans="1:1" x14ac:dyDescent="0.35">
      <c r="A3249"/>
    </row>
    <row r="3250" spans="1:1" x14ac:dyDescent="0.35">
      <c r="A3250"/>
    </row>
    <row r="3251" spans="1:1" x14ac:dyDescent="0.35">
      <c r="A3251"/>
    </row>
    <row r="3252" spans="1:1" x14ac:dyDescent="0.35">
      <c r="A3252"/>
    </row>
    <row r="3253" spans="1:1" x14ac:dyDescent="0.35">
      <c r="A3253"/>
    </row>
    <row r="3254" spans="1:1" x14ac:dyDescent="0.35">
      <c r="A3254"/>
    </row>
    <row r="3255" spans="1:1" x14ac:dyDescent="0.35">
      <c r="A3255"/>
    </row>
    <row r="3256" spans="1:1" x14ac:dyDescent="0.35">
      <c r="A3256"/>
    </row>
    <row r="3257" spans="1:1" x14ac:dyDescent="0.35">
      <c r="A3257"/>
    </row>
    <row r="3258" spans="1:1" x14ac:dyDescent="0.35">
      <c r="A3258"/>
    </row>
    <row r="3259" spans="1:1" x14ac:dyDescent="0.35">
      <c r="A3259"/>
    </row>
    <row r="3260" spans="1:1" x14ac:dyDescent="0.35">
      <c r="A3260"/>
    </row>
    <row r="3261" spans="1:1" x14ac:dyDescent="0.35">
      <c r="A3261"/>
    </row>
    <row r="3262" spans="1:1" x14ac:dyDescent="0.35">
      <c r="A3262"/>
    </row>
    <row r="3263" spans="1:1" x14ac:dyDescent="0.35">
      <c r="A3263"/>
    </row>
    <row r="3264" spans="1:1" x14ac:dyDescent="0.35">
      <c r="A3264"/>
    </row>
    <row r="3265" spans="1:1" x14ac:dyDescent="0.35">
      <c r="A3265"/>
    </row>
    <row r="3266" spans="1:1" x14ac:dyDescent="0.35">
      <c r="A3266"/>
    </row>
    <row r="3267" spans="1:1" x14ac:dyDescent="0.35">
      <c r="A3267"/>
    </row>
    <row r="3268" spans="1:1" x14ac:dyDescent="0.35">
      <c r="A3268"/>
    </row>
    <row r="3269" spans="1:1" x14ac:dyDescent="0.35">
      <c r="A3269"/>
    </row>
    <row r="3270" spans="1:1" x14ac:dyDescent="0.35">
      <c r="A3270"/>
    </row>
    <row r="3271" spans="1:1" x14ac:dyDescent="0.35">
      <c r="A3271"/>
    </row>
    <row r="3272" spans="1:1" x14ac:dyDescent="0.35">
      <c r="A3272"/>
    </row>
    <row r="3273" spans="1:1" x14ac:dyDescent="0.35">
      <c r="A3273"/>
    </row>
    <row r="3274" spans="1:1" x14ac:dyDescent="0.35">
      <c r="A3274"/>
    </row>
    <row r="3275" spans="1:1" x14ac:dyDescent="0.35">
      <c r="A3275"/>
    </row>
    <row r="3276" spans="1:1" x14ac:dyDescent="0.35">
      <c r="A3276"/>
    </row>
    <row r="3277" spans="1:1" x14ac:dyDescent="0.35">
      <c r="A3277"/>
    </row>
    <row r="3278" spans="1:1" x14ac:dyDescent="0.35">
      <c r="A3278"/>
    </row>
    <row r="3279" spans="1:1" x14ac:dyDescent="0.35">
      <c r="A3279"/>
    </row>
    <row r="3280" spans="1:1" x14ac:dyDescent="0.35">
      <c r="A3280"/>
    </row>
    <row r="3281" spans="1:1" x14ac:dyDescent="0.35">
      <c r="A3281"/>
    </row>
    <row r="3282" spans="1:1" x14ac:dyDescent="0.35">
      <c r="A3282"/>
    </row>
    <row r="3283" spans="1:1" x14ac:dyDescent="0.35">
      <c r="A3283"/>
    </row>
    <row r="3284" spans="1:1" x14ac:dyDescent="0.35">
      <c r="A3284"/>
    </row>
    <row r="3285" spans="1:1" x14ac:dyDescent="0.35">
      <c r="A3285"/>
    </row>
    <row r="3286" spans="1:1" x14ac:dyDescent="0.35">
      <c r="A3286"/>
    </row>
    <row r="3287" spans="1:1" x14ac:dyDescent="0.35">
      <c r="A3287"/>
    </row>
    <row r="3288" spans="1:1" x14ac:dyDescent="0.35">
      <c r="A3288"/>
    </row>
    <row r="3289" spans="1:1" x14ac:dyDescent="0.35">
      <c r="A3289"/>
    </row>
    <row r="3290" spans="1:1" x14ac:dyDescent="0.35">
      <c r="A3290"/>
    </row>
    <row r="3291" spans="1:1" x14ac:dyDescent="0.35">
      <c r="A3291"/>
    </row>
    <row r="3292" spans="1:1" x14ac:dyDescent="0.35">
      <c r="A3292"/>
    </row>
    <row r="3293" spans="1:1" x14ac:dyDescent="0.35">
      <c r="A3293"/>
    </row>
    <row r="3294" spans="1:1" x14ac:dyDescent="0.35">
      <c r="A3294"/>
    </row>
    <row r="3295" spans="1:1" x14ac:dyDescent="0.35">
      <c r="A3295"/>
    </row>
    <row r="3296" spans="1:1" x14ac:dyDescent="0.35">
      <c r="A3296"/>
    </row>
    <row r="3297" spans="1:1" x14ac:dyDescent="0.35">
      <c r="A3297"/>
    </row>
    <row r="3298" spans="1:1" x14ac:dyDescent="0.35">
      <c r="A3298"/>
    </row>
    <row r="3299" spans="1:1" x14ac:dyDescent="0.35">
      <c r="A3299"/>
    </row>
    <row r="3300" spans="1:1" x14ac:dyDescent="0.35">
      <c r="A3300"/>
    </row>
    <row r="3301" spans="1:1" x14ac:dyDescent="0.35">
      <c r="A3301"/>
    </row>
    <row r="3302" spans="1:1" x14ac:dyDescent="0.35">
      <c r="A3302"/>
    </row>
    <row r="3303" spans="1:1" x14ac:dyDescent="0.35">
      <c r="A3303"/>
    </row>
    <row r="3304" spans="1:1" x14ac:dyDescent="0.35">
      <c r="A3304"/>
    </row>
    <row r="3305" spans="1:1" x14ac:dyDescent="0.35">
      <c r="A3305"/>
    </row>
    <row r="3306" spans="1:1" x14ac:dyDescent="0.35">
      <c r="A3306"/>
    </row>
    <row r="3307" spans="1:1" x14ac:dyDescent="0.35">
      <c r="A3307"/>
    </row>
    <row r="3308" spans="1:1" x14ac:dyDescent="0.35">
      <c r="A3308"/>
    </row>
    <row r="3309" spans="1:1" x14ac:dyDescent="0.35">
      <c r="A3309"/>
    </row>
    <row r="3310" spans="1:1" x14ac:dyDescent="0.35">
      <c r="A3310"/>
    </row>
    <row r="3311" spans="1:1" x14ac:dyDescent="0.35">
      <c r="A3311"/>
    </row>
    <row r="3312" spans="1:1" x14ac:dyDescent="0.35">
      <c r="A3312"/>
    </row>
    <row r="3313" spans="1:1" x14ac:dyDescent="0.35">
      <c r="A3313"/>
    </row>
    <row r="3314" spans="1:1" x14ac:dyDescent="0.35">
      <c r="A3314"/>
    </row>
    <row r="3315" spans="1:1" x14ac:dyDescent="0.35">
      <c r="A3315"/>
    </row>
    <row r="3316" spans="1:1" x14ac:dyDescent="0.35">
      <c r="A3316"/>
    </row>
    <row r="3317" spans="1:1" x14ac:dyDescent="0.35">
      <c r="A3317"/>
    </row>
    <row r="3318" spans="1:1" x14ac:dyDescent="0.35">
      <c r="A3318"/>
    </row>
    <row r="3319" spans="1:1" x14ac:dyDescent="0.35">
      <c r="A3319"/>
    </row>
    <row r="3320" spans="1:1" x14ac:dyDescent="0.35">
      <c r="A3320"/>
    </row>
    <row r="3321" spans="1:1" x14ac:dyDescent="0.35">
      <c r="A3321"/>
    </row>
    <row r="3322" spans="1:1" x14ac:dyDescent="0.35">
      <c r="A3322"/>
    </row>
    <row r="3323" spans="1:1" x14ac:dyDescent="0.35">
      <c r="A3323"/>
    </row>
    <row r="3324" spans="1:1" x14ac:dyDescent="0.35">
      <c r="A3324"/>
    </row>
    <row r="3325" spans="1:1" x14ac:dyDescent="0.35">
      <c r="A3325"/>
    </row>
    <row r="3326" spans="1:1" x14ac:dyDescent="0.35">
      <c r="A3326"/>
    </row>
    <row r="3327" spans="1:1" x14ac:dyDescent="0.35">
      <c r="A3327"/>
    </row>
    <row r="3328" spans="1:1" x14ac:dyDescent="0.35">
      <c r="A3328"/>
    </row>
    <row r="3329" spans="1:1" x14ac:dyDescent="0.35">
      <c r="A3329"/>
    </row>
    <row r="3330" spans="1:1" x14ac:dyDescent="0.35">
      <c r="A3330"/>
    </row>
    <row r="3331" spans="1:1" x14ac:dyDescent="0.35">
      <c r="A3331"/>
    </row>
    <row r="3332" spans="1:1" x14ac:dyDescent="0.35">
      <c r="A3332"/>
    </row>
    <row r="3333" spans="1:1" x14ac:dyDescent="0.35">
      <c r="A3333"/>
    </row>
    <row r="3334" spans="1:1" x14ac:dyDescent="0.35">
      <c r="A3334"/>
    </row>
    <row r="3335" spans="1:1" x14ac:dyDescent="0.35">
      <c r="A3335"/>
    </row>
    <row r="3336" spans="1:1" x14ac:dyDescent="0.35">
      <c r="A3336"/>
    </row>
    <row r="3337" spans="1:1" x14ac:dyDescent="0.35">
      <c r="A3337"/>
    </row>
    <row r="3338" spans="1:1" x14ac:dyDescent="0.35">
      <c r="A3338"/>
    </row>
    <row r="3339" spans="1:1" x14ac:dyDescent="0.35">
      <c r="A3339"/>
    </row>
    <row r="3340" spans="1:1" x14ac:dyDescent="0.35">
      <c r="A3340"/>
    </row>
    <row r="3341" spans="1:1" x14ac:dyDescent="0.35">
      <c r="A3341"/>
    </row>
    <row r="3342" spans="1:1" x14ac:dyDescent="0.35">
      <c r="A3342"/>
    </row>
    <row r="3343" spans="1:1" x14ac:dyDescent="0.35">
      <c r="A3343"/>
    </row>
    <row r="3344" spans="1:1" x14ac:dyDescent="0.35">
      <c r="A3344"/>
    </row>
    <row r="3345" spans="1:1" x14ac:dyDescent="0.35">
      <c r="A3345"/>
    </row>
    <row r="3346" spans="1:1" x14ac:dyDescent="0.35">
      <c r="A3346"/>
    </row>
    <row r="3347" spans="1:1" x14ac:dyDescent="0.35">
      <c r="A3347"/>
    </row>
    <row r="3348" spans="1:1" x14ac:dyDescent="0.35">
      <c r="A3348"/>
    </row>
    <row r="3349" spans="1:1" x14ac:dyDescent="0.35">
      <c r="A3349"/>
    </row>
    <row r="3350" spans="1:1" x14ac:dyDescent="0.35">
      <c r="A3350"/>
    </row>
    <row r="3351" spans="1:1" x14ac:dyDescent="0.35">
      <c r="A3351"/>
    </row>
    <row r="3352" spans="1:1" x14ac:dyDescent="0.35">
      <c r="A3352"/>
    </row>
    <row r="3353" spans="1:1" x14ac:dyDescent="0.35">
      <c r="A3353"/>
    </row>
    <row r="3354" spans="1:1" x14ac:dyDescent="0.35">
      <c r="A3354"/>
    </row>
    <row r="3355" spans="1:1" x14ac:dyDescent="0.35">
      <c r="A3355"/>
    </row>
    <row r="3356" spans="1:1" x14ac:dyDescent="0.35">
      <c r="A3356"/>
    </row>
    <row r="3357" spans="1:1" x14ac:dyDescent="0.35">
      <c r="A3357"/>
    </row>
    <row r="3358" spans="1:1" x14ac:dyDescent="0.35">
      <c r="A3358"/>
    </row>
    <row r="3359" spans="1:1" x14ac:dyDescent="0.35">
      <c r="A3359"/>
    </row>
    <row r="3360" spans="1:1" x14ac:dyDescent="0.35">
      <c r="A3360"/>
    </row>
    <row r="3361" spans="1:1" x14ac:dyDescent="0.35">
      <c r="A3361"/>
    </row>
    <row r="3362" spans="1:1" x14ac:dyDescent="0.35">
      <c r="A3362"/>
    </row>
    <row r="3363" spans="1:1" x14ac:dyDescent="0.35">
      <c r="A3363"/>
    </row>
    <row r="3364" spans="1:1" x14ac:dyDescent="0.35">
      <c r="A3364"/>
    </row>
    <row r="3365" spans="1:1" x14ac:dyDescent="0.35">
      <c r="A3365"/>
    </row>
    <row r="3366" spans="1:1" x14ac:dyDescent="0.35">
      <c r="A3366"/>
    </row>
    <row r="3367" spans="1:1" x14ac:dyDescent="0.35">
      <c r="A3367"/>
    </row>
    <row r="3368" spans="1:1" x14ac:dyDescent="0.35">
      <c r="A3368"/>
    </row>
    <row r="3369" spans="1:1" x14ac:dyDescent="0.35">
      <c r="A3369"/>
    </row>
    <row r="3370" spans="1:1" x14ac:dyDescent="0.35">
      <c r="A3370"/>
    </row>
    <row r="3371" spans="1:1" x14ac:dyDescent="0.35">
      <c r="A3371"/>
    </row>
    <row r="3372" spans="1:1" x14ac:dyDescent="0.35">
      <c r="A3372"/>
    </row>
    <row r="3373" spans="1:1" x14ac:dyDescent="0.35">
      <c r="A3373"/>
    </row>
    <row r="3374" spans="1:1" x14ac:dyDescent="0.35">
      <c r="A3374"/>
    </row>
    <row r="3375" spans="1:1" x14ac:dyDescent="0.35">
      <c r="A3375"/>
    </row>
    <row r="3376" spans="1:1" x14ac:dyDescent="0.35">
      <c r="A3376"/>
    </row>
    <row r="3377" spans="1:1" x14ac:dyDescent="0.35">
      <c r="A3377"/>
    </row>
    <row r="3378" spans="1:1" x14ac:dyDescent="0.35">
      <c r="A3378"/>
    </row>
    <row r="3379" spans="1:1" x14ac:dyDescent="0.35">
      <c r="A3379"/>
    </row>
    <row r="3380" spans="1:1" x14ac:dyDescent="0.35">
      <c r="A3380"/>
    </row>
    <row r="3381" spans="1:1" x14ac:dyDescent="0.35">
      <c r="A3381"/>
    </row>
    <row r="3382" spans="1:1" x14ac:dyDescent="0.35">
      <c r="A3382"/>
    </row>
    <row r="3383" spans="1:1" x14ac:dyDescent="0.35">
      <c r="A3383"/>
    </row>
    <row r="3384" spans="1:1" x14ac:dyDescent="0.35">
      <c r="A3384"/>
    </row>
    <row r="3385" spans="1:1" x14ac:dyDescent="0.35">
      <c r="A3385"/>
    </row>
    <row r="3386" spans="1:1" x14ac:dyDescent="0.35">
      <c r="A3386"/>
    </row>
    <row r="3387" spans="1:1" x14ac:dyDescent="0.35">
      <c r="A3387"/>
    </row>
    <row r="3388" spans="1:1" x14ac:dyDescent="0.35">
      <c r="A3388"/>
    </row>
    <row r="3389" spans="1:1" x14ac:dyDescent="0.35">
      <c r="A3389"/>
    </row>
    <row r="3390" spans="1:1" x14ac:dyDescent="0.35">
      <c r="A3390"/>
    </row>
    <row r="3391" spans="1:1" x14ac:dyDescent="0.35">
      <c r="A3391"/>
    </row>
    <row r="3392" spans="1:1" x14ac:dyDescent="0.35">
      <c r="A3392"/>
    </row>
    <row r="3393" spans="1:1" x14ac:dyDescent="0.35">
      <c r="A3393"/>
    </row>
    <row r="3394" spans="1:1" x14ac:dyDescent="0.35">
      <c r="A3394"/>
    </row>
    <row r="3395" spans="1:1" x14ac:dyDescent="0.35">
      <c r="A3395"/>
    </row>
    <row r="3396" spans="1:1" x14ac:dyDescent="0.35">
      <c r="A3396"/>
    </row>
    <row r="3397" spans="1:1" x14ac:dyDescent="0.35">
      <c r="A3397"/>
    </row>
    <row r="3398" spans="1:1" x14ac:dyDescent="0.35">
      <c r="A3398"/>
    </row>
    <row r="3399" spans="1:1" x14ac:dyDescent="0.35">
      <c r="A3399"/>
    </row>
    <row r="3400" spans="1:1" x14ac:dyDescent="0.35">
      <c r="A3400"/>
    </row>
    <row r="3401" spans="1:1" x14ac:dyDescent="0.35">
      <c r="A3401"/>
    </row>
    <row r="3402" spans="1:1" x14ac:dyDescent="0.35">
      <c r="A3402"/>
    </row>
    <row r="3403" spans="1:1" x14ac:dyDescent="0.35">
      <c r="A3403"/>
    </row>
    <row r="3404" spans="1:1" x14ac:dyDescent="0.35">
      <c r="A3404"/>
    </row>
    <row r="3405" spans="1:1" x14ac:dyDescent="0.35">
      <c r="A3405"/>
    </row>
    <row r="3406" spans="1:1" x14ac:dyDescent="0.35">
      <c r="A3406"/>
    </row>
    <row r="3407" spans="1:1" x14ac:dyDescent="0.35">
      <c r="A3407"/>
    </row>
    <row r="3408" spans="1:1" x14ac:dyDescent="0.35">
      <c r="A3408"/>
    </row>
    <row r="3409" spans="1:1" x14ac:dyDescent="0.35">
      <c r="A3409"/>
    </row>
    <row r="3410" spans="1:1" x14ac:dyDescent="0.35">
      <c r="A3410"/>
    </row>
    <row r="3411" spans="1:1" x14ac:dyDescent="0.35">
      <c r="A3411"/>
    </row>
    <row r="3412" spans="1:1" x14ac:dyDescent="0.35">
      <c r="A3412"/>
    </row>
    <row r="3413" spans="1:1" x14ac:dyDescent="0.35">
      <c r="A3413"/>
    </row>
    <row r="3414" spans="1:1" x14ac:dyDescent="0.35">
      <c r="A3414"/>
    </row>
    <row r="3415" spans="1:1" x14ac:dyDescent="0.35">
      <c r="A3415"/>
    </row>
    <row r="3416" spans="1:1" x14ac:dyDescent="0.35">
      <c r="A3416"/>
    </row>
    <row r="3417" spans="1:1" x14ac:dyDescent="0.35">
      <c r="A3417"/>
    </row>
    <row r="3418" spans="1:1" x14ac:dyDescent="0.35">
      <c r="A3418"/>
    </row>
    <row r="3419" spans="1:1" x14ac:dyDescent="0.35">
      <c r="A3419"/>
    </row>
    <row r="3420" spans="1:1" x14ac:dyDescent="0.35">
      <c r="A3420"/>
    </row>
    <row r="3421" spans="1:1" x14ac:dyDescent="0.35">
      <c r="A3421"/>
    </row>
    <row r="3422" spans="1:1" x14ac:dyDescent="0.35">
      <c r="A3422"/>
    </row>
    <row r="3423" spans="1:1" x14ac:dyDescent="0.35">
      <c r="A3423"/>
    </row>
    <row r="3424" spans="1:1" x14ac:dyDescent="0.35">
      <c r="A3424"/>
    </row>
    <row r="3425" spans="1:1" x14ac:dyDescent="0.35">
      <c r="A3425"/>
    </row>
    <row r="3426" spans="1:1" x14ac:dyDescent="0.35">
      <c r="A3426"/>
    </row>
    <row r="3427" spans="1:1" x14ac:dyDescent="0.35">
      <c r="A3427"/>
    </row>
    <row r="3428" spans="1:1" x14ac:dyDescent="0.35">
      <c r="A3428"/>
    </row>
    <row r="3429" spans="1:1" x14ac:dyDescent="0.35">
      <c r="A3429"/>
    </row>
    <row r="3430" spans="1:1" x14ac:dyDescent="0.35">
      <c r="A3430"/>
    </row>
    <row r="3431" spans="1:1" x14ac:dyDescent="0.35">
      <c r="A3431"/>
    </row>
    <row r="3432" spans="1:1" x14ac:dyDescent="0.35">
      <c r="A3432"/>
    </row>
    <row r="3433" spans="1:1" x14ac:dyDescent="0.35">
      <c r="A3433"/>
    </row>
    <row r="3434" spans="1:1" x14ac:dyDescent="0.35">
      <c r="A3434"/>
    </row>
    <row r="3435" spans="1:1" x14ac:dyDescent="0.35">
      <c r="A3435"/>
    </row>
    <row r="3436" spans="1:1" x14ac:dyDescent="0.35">
      <c r="A3436"/>
    </row>
    <row r="3437" spans="1:1" x14ac:dyDescent="0.35">
      <c r="A3437"/>
    </row>
    <row r="3438" spans="1:1" x14ac:dyDescent="0.35">
      <c r="A3438"/>
    </row>
    <row r="3439" spans="1:1" x14ac:dyDescent="0.35">
      <c r="A3439"/>
    </row>
    <row r="3440" spans="1:1" x14ac:dyDescent="0.35">
      <c r="A3440"/>
    </row>
    <row r="3441" spans="1:1" x14ac:dyDescent="0.35">
      <c r="A3441"/>
    </row>
    <row r="3442" spans="1:1" x14ac:dyDescent="0.35">
      <c r="A3442"/>
    </row>
    <row r="3443" spans="1:1" x14ac:dyDescent="0.35">
      <c r="A3443"/>
    </row>
    <row r="3444" spans="1:1" x14ac:dyDescent="0.35">
      <c r="A3444"/>
    </row>
    <row r="3445" spans="1:1" x14ac:dyDescent="0.35">
      <c r="A3445"/>
    </row>
    <row r="3446" spans="1:1" x14ac:dyDescent="0.35">
      <c r="A3446"/>
    </row>
    <row r="3447" spans="1:1" x14ac:dyDescent="0.35">
      <c r="A3447"/>
    </row>
    <row r="3448" spans="1:1" x14ac:dyDescent="0.35">
      <c r="A3448"/>
    </row>
    <row r="3449" spans="1:1" x14ac:dyDescent="0.35">
      <c r="A3449"/>
    </row>
    <row r="3450" spans="1:1" x14ac:dyDescent="0.35">
      <c r="A3450"/>
    </row>
    <row r="3451" spans="1:1" x14ac:dyDescent="0.35">
      <c r="A3451"/>
    </row>
    <row r="3452" spans="1:1" x14ac:dyDescent="0.35">
      <c r="A3452"/>
    </row>
    <row r="3453" spans="1:1" x14ac:dyDescent="0.35">
      <c r="A3453"/>
    </row>
    <row r="3454" spans="1:1" x14ac:dyDescent="0.35">
      <c r="A3454"/>
    </row>
    <row r="3455" spans="1:1" x14ac:dyDescent="0.35">
      <c r="A3455"/>
    </row>
    <row r="3456" spans="1:1" x14ac:dyDescent="0.35">
      <c r="A3456"/>
    </row>
    <row r="3457" spans="1:1" x14ac:dyDescent="0.35">
      <c r="A3457"/>
    </row>
    <row r="3458" spans="1:1" x14ac:dyDescent="0.35">
      <c r="A3458"/>
    </row>
    <row r="3459" spans="1:1" x14ac:dyDescent="0.35">
      <c r="A3459"/>
    </row>
    <row r="3460" spans="1:1" x14ac:dyDescent="0.35">
      <c r="A3460"/>
    </row>
    <row r="3461" spans="1:1" x14ac:dyDescent="0.35">
      <c r="A3461"/>
    </row>
    <row r="3462" spans="1:1" x14ac:dyDescent="0.35">
      <c r="A3462"/>
    </row>
    <row r="3463" spans="1:1" x14ac:dyDescent="0.35">
      <c r="A3463"/>
    </row>
    <row r="3464" spans="1:1" x14ac:dyDescent="0.35">
      <c r="A3464"/>
    </row>
    <row r="3465" spans="1:1" x14ac:dyDescent="0.35">
      <c r="A3465"/>
    </row>
    <row r="3466" spans="1:1" x14ac:dyDescent="0.35">
      <c r="A3466"/>
    </row>
    <row r="3467" spans="1:1" x14ac:dyDescent="0.35">
      <c r="A3467"/>
    </row>
    <row r="3468" spans="1:1" x14ac:dyDescent="0.35">
      <c r="A3468"/>
    </row>
    <row r="3469" spans="1:1" x14ac:dyDescent="0.35">
      <c r="A3469"/>
    </row>
    <row r="3470" spans="1:1" x14ac:dyDescent="0.35">
      <c r="A3470"/>
    </row>
    <row r="3471" spans="1:1" x14ac:dyDescent="0.35">
      <c r="A3471"/>
    </row>
    <row r="3472" spans="1:1" x14ac:dyDescent="0.35">
      <c r="A3472"/>
    </row>
    <row r="3473" spans="1:1" x14ac:dyDescent="0.35">
      <c r="A3473"/>
    </row>
    <row r="3474" spans="1:1" x14ac:dyDescent="0.35">
      <c r="A3474"/>
    </row>
    <row r="3475" spans="1:1" x14ac:dyDescent="0.35">
      <c r="A3475"/>
    </row>
    <row r="3476" spans="1:1" x14ac:dyDescent="0.35">
      <c r="A3476"/>
    </row>
    <row r="3477" spans="1:1" x14ac:dyDescent="0.35">
      <c r="A3477"/>
    </row>
    <row r="3478" spans="1:1" x14ac:dyDescent="0.35">
      <c r="A3478"/>
    </row>
    <row r="3479" spans="1:1" x14ac:dyDescent="0.35">
      <c r="A3479"/>
    </row>
    <row r="3480" spans="1:1" x14ac:dyDescent="0.35">
      <c r="A3480"/>
    </row>
    <row r="3481" spans="1:1" x14ac:dyDescent="0.35">
      <c r="A3481"/>
    </row>
    <row r="3482" spans="1:1" x14ac:dyDescent="0.35">
      <c r="A3482"/>
    </row>
    <row r="3483" spans="1:1" x14ac:dyDescent="0.35">
      <c r="A3483"/>
    </row>
    <row r="3484" spans="1:1" x14ac:dyDescent="0.35">
      <c r="A3484"/>
    </row>
    <row r="3485" spans="1:1" x14ac:dyDescent="0.35">
      <c r="A3485"/>
    </row>
    <row r="3486" spans="1:1" x14ac:dyDescent="0.35">
      <c r="A3486"/>
    </row>
    <row r="3487" spans="1:1" x14ac:dyDescent="0.35">
      <c r="A3487"/>
    </row>
    <row r="3488" spans="1:1" x14ac:dyDescent="0.35">
      <c r="A3488"/>
    </row>
    <row r="3489" spans="1:1" x14ac:dyDescent="0.35">
      <c r="A3489"/>
    </row>
    <row r="3490" spans="1:1" x14ac:dyDescent="0.35">
      <c r="A3490"/>
    </row>
    <row r="3491" spans="1:1" x14ac:dyDescent="0.35">
      <c r="A3491"/>
    </row>
    <row r="3492" spans="1:1" x14ac:dyDescent="0.35">
      <c r="A3492"/>
    </row>
    <row r="3493" spans="1:1" x14ac:dyDescent="0.35">
      <c r="A3493"/>
    </row>
    <row r="3494" spans="1:1" x14ac:dyDescent="0.35">
      <c r="A3494"/>
    </row>
    <row r="3495" spans="1:1" x14ac:dyDescent="0.35">
      <c r="A3495"/>
    </row>
    <row r="3496" spans="1:1" x14ac:dyDescent="0.35">
      <c r="A3496"/>
    </row>
    <row r="3497" spans="1:1" x14ac:dyDescent="0.35">
      <c r="A3497"/>
    </row>
    <row r="3498" spans="1:1" x14ac:dyDescent="0.35">
      <c r="A3498"/>
    </row>
    <row r="3499" spans="1:1" x14ac:dyDescent="0.35">
      <c r="A3499"/>
    </row>
    <row r="3500" spans="1:1" x14ac:dyDescent="0.35">
      <c r="A3500"/>
    </row>
    <row r="3501" spans="1:1" x14ac:dyDescent="0.35">
      <c r="A3501"/>
    </row>
    <row r="3502" spans="1:1" x14ac:dyDescent="0.35">
      <c r="A3502"/>
    </row>
    <row r="3503" spans="1:1" x14ac:dyDescent="0.35">
      <c r="A3503"/>
    </row>
    <row r="3504" spans="1:1" x14ac:dyDescent="0.35">
      <c r="A3504"/>
    </row>
    <row r="3505" spans="1:1" x14ac:dyDescent="0.35">
      <c r="A3505"/>
    </row>
    <row r="3506" spans="1:1" x14ac:dyDescent="0.35">
      <c r="A3506"/>
    </row>
    <row r="3507" spans="1:1" x14ac:dyDescent="0.35">
      <c r="A3507"/>
    </row>
    <row r="3508" spans="1:1" x14ac:dyDescent="0.35">
      <c r="A3508"/>
    </row>
    <row r="3509" spans="1:1" x14ac:dyDescent="0.35">
      <c r="A3509"/>
    </row>
    <row r="3510" spans="1:1" x14ac:dyDescent="0.35">
      <c r="A3510"/>
    </row>
    <row r="3511" spans="1:1" x14ac:dyDescent="0.35">
      <c r="A3511"/>
    </row>
    <row r="3512" spans="1:1" x14ac:dyDescent="0.35">
      <c r="A3512"/>
    </row>
    <row r="3513" spans="1:1" x14ac:dyDescent="0.35">
      <c r="A3513"/>
    </row>
    <row r="3514" spans="1:1" x14ac:dyDescent="0.35">
      <c r="A3514"/>
    </row>
    <row r="3515" spans="1:1" x14ac:dyDescent="0.35">
      <c r="A3515"/>
    </row>
    <row r="3516" spans="1:1" x14ac:dyDescent="0.35">
      <c r="A3516"/>
    </row>
    <row r="3517" spans="1:1" x14ac:dyDescent="0.35">
      <c r="A3517"/>
    </row>
    <row r="3518" spans="1:1" x14ac:dyDescent="0.35">
      <c r="A3518"/>
    </row>
    <row r="3519" spans="1:1" x14ac:dyDescent="0.35">
      <c r="A3519"/>
    </row>
    <row r="3520" spans="1:1" x14ac:dyDescent="0.35">
      <c r="A3520"/>
    </row>
    <row r="3521" spans="1:1" x14ac:dyDescent="0.35">
      <c r="A3521"/>
    </row>
    <row r="3522" spans="1:1" x14ac:dyDescent="0.35">
      <c r="A3522"/>
    </row>
    <row r="3523" spans="1:1" x14ac:dyDescent="0.35">
      <c r="A3523"/>
    </row>
    <row r="3524" spans="1:1" x14ac:dyDescent="0.35">
      <c r="A3524"/>
    </row>
    <row r="3525" spans="1:1" x14ac:dyDescent="0.35">
      <c r="A3525"/>
    </row>
    <row r="3526" spans="1:1" x14ac:dyDescent="0.35">
      <c r="A3526"/>
    </row>
    <row r="3527" spans="1:1" x14ac:dyDescent="0.35">
      <c r="A3527"/>
    </row>
    <row r="3528" spans="1:1" x14ac:dyDescent="0.35">
      <c r="A3528"/>
    </row>
    <row r="3529" spans="1:1" x14ac:dyDescent="0.35">
      <c r="A3529"/>
    </row>
    <row r="3530" spans="1:1" x14ac:dyDescent="0.35">
      <c r="A3530"/>
    </row>
    <row r="3531" spans="1:1" x14ac:dyDescent="0.35">
      <c r="A3531"/>
    </row>
    <row r="3532" spans="1:1" x14ac:dyDescent="0.35">
      <c r="A3532"/>
    </row>
    <row r="3533" spans="1:1" x14ac:dyDescent="0.35">
      <c r="A3533"/>
    </row>
    <row r="3534" spans="1:1" x14ac:dyDescent="0.35">
      <c r="A3534"/>
    </row>
    <row r="3535" spans="1:1" x14ac:dyDescent="0.35">
      <c r="A3535"/>
    </row>
    <row r="3536" spans="1:1" x14ac:dyDescent="0.35">
      <c r="A3536"/>
    </row>
    <row r="3537" spans="1:1" x14ac:dyDescent="0.35">
      <c r="A3537"/>
    </row>
    <row r="3538" spans="1:1" x14ac:dyDescent="0.35">
      <c r="A3538"/>
    </row>
    <row r="3539" spans="1:1" x14ac:dyDescent="0.35">
      <c r="A3539"/>
    </row>
    <row r="3540" spans="1:1" x14ac:dyDescent="0.35">
      <c r="A3540"/>
    </row>
    <row r="3541" spans="1:1" x14ac:dyDescent="0.35">
      <c r="A3541"/>
    </row>
    <row r="3542" spans="1:1" x14ac:dyDescent="0.35">
      <c r="A3542"/>
    </row>
    <row r="3543" spans="1:1" x14ac:dyDescent="0.35">
      <c r="A3543"/>
    </row>
    <row r="3544" spans="1:1" x14ac:dyDescent="0.35">
      <c r="A3544"/>
    </row>
    <row r="3545" spans="1:1" x14ac:dyDescent="0.35">
      <c r="A3545"/>
    </row>
    <row r="3546" spans="1:1" x14ac:dyDescent="0.35">
      <c r="A3546"/>
    </row>
    <row r="3547" spans="1:1" x14ac:dyDescent="0.35">
      <c r="A3547"/>
    </row>
    <row r="3548" spans="1:1" x14ac:dyDescent="0.35">
      <c r="A3548"/>
    </row>
    <row r="3549" spans="1:1" x14ac:dyDescent="0.35">
      <c r="A3549"/>
    </row>
    <row r="3550" spans="1:1" x14ac:dyDescent="0.35">
      <c r="A3550"/>
    </row>
    <row r="3551" spans="1:1" x14ac:dyDescent="0.35">
      <c r="A3551"/>
    </row>
    <row r="3552" spans="1:1" x14ac:dyDescent="0.35">
      <c r="A3552"/>
    </row>
    <row r="3553" spans="1:1" x14ac:dyDescent="0.35">
      <c r="A3553"/>
    </row>
    <row r="3554" spans="1:1" x14ac:dyDescent="0.35">
      <c r="A3554"/>
    </row>
    <row r="3555" spans="1:1" x14ac:dyDescent="0.35">
      <c r="A3555"/>
    </row>
    <row r="3556" spans="1:1" x14ac:dyDescent="0.35">
      <c r="A3556"/>
    </row>
    <row r="3557" spans="1:1" x14ac:dyDescent="0.35">
      <c r="A3557"/>
    </row>
    <row r="3558" spans="1:1" x14ac:dyDescent="0.35">
      <c r="A3558"/>
    </row>
    <row r="3559" spans="1:1" x14ac:dyDescent="0.35">
      <c r="A3559"/>
    </row>
    <row r="3560" spans="1:1" x14ac:dyDescent="0.35">
      <c r="A3560"/>
    </row>
    <row r="3561" spans="1:1" x14ac:dyDescent="0.35">
      <c r="A3561"/>
    </row>
    <row r="3562" spans="1:1" x14ac:dyDescent="0.35">
      <c r="A3562"/>
    </row>
    <row r="3563" spans="1:1" x14ac:dyDescent="0.35">
      <c r="A3563"/>
    </row>
    <row r="3564" spans="1:1" x14ac:dyDescent="0.35">
      <c r="A3564"/>
    </row>
    <row r="3565" spans="1:1" x14ac:dyDescent="0.35">
      <c r="A3565"/>
    </row>
    <row r="3566" spans="1:1" x14ac:dyDescent="0.35">
      <c r="A3566"/>
    </row>
    <row r="3567" spans="1:1" x14ac:dyDescent="0.35">
      <c r="A3567"/>
    </row>
    <row r="3568" spans="1:1" x14ac:dyDescent="0.35">
      <c r="A3568"/>
    </row>
    <row r="3569" spans="1:1" x14ac:dyDescent="0.35">
      <c r="A3569"/>
    </row>
    <row r="3570" spans="1:1" x14ac:dyDescent="0.35">
      <c r="A3570"/>
    </row>
    <row r="3571" spans="1:1" x14ac:dyDescent="0.35">
      <c r="A3571"/>
    </row>
    <row r="3572" spans="1:1" x14ac:dyDescent="0.35">
      <c r="A3572"/>
    </row>
    <row r="3573" spans="1:1" x14ac:dyDescent="0.35">
      <c r="A3573"/>
    </row>
    <row r="3574" spans="1:1" x14ac:dyDescent="0.35">
      <c r="A3574"/>
    </row>
    <row r="3575" spans="1:1" x14ac:dyDescent="0.35">
      <c r="A3575"/>
    </row>
    <row r="3576" spans="1:1" x14ac:dyDescent="0.35">
      <c r="A3576"/>
    </row>
    <row r="3577" spans="1:1" x14ac:dyDescent="0.35">
      <c r="A3577"/>
    </row>
    <row r="3578" spans="1:1" x14ac:dyDescent="0.35">
      <c r="A3578"/>
    </row>
    <row r="3579" spans="1:1" x14ac:dyDescent="0.35">
      <c r="A3579"/>
    </row>
    <row r="3580" spans="1:1" x14ac:dyDescent="0.35">
      <c r="A3580"/>
    </row>
    <row r="3581" spans="1:1" x14ac:dyDescent="0.35">
      <c r="A3581"/>
    </row>
    <row r="3582" spans="1:1" x14ac:dyDescent="0.35">
      <c r="A3582"/>
    </row>
    <row r="3583" spans="1:1" x14ac:dyDescent="0.35">
      <c r="A3583"/>
    </row>
    <row r="3584" spans="1:1" x14ac:dyDescent="0.35">
      <c r="A3584"/>
    </row>
    <row r="3585" spans="1:1" x14ac:dyDescent="0.35">
      <c r="A3585"/>
    </row>
    <row r="3586" spans="1:1" x14ac:dyDescent="0.35">
      <c r="A3586"/>
    </row>
    <row r="3587" spans="1:1" x14ac:dyDescent="0.35">
      <c r="A3587"/>
    </row>
    <row r="3588" spans="1:1" x14ac:dyDescent="0.35">
      <c r="A3588"/>
    </row>
    <row r="3589" spans="1:1" x14ac:dyDescent="0.35">
      <c r="A3589"/>
    </row>
    <row r="3590" spans="1:1" x14ac:dyDescent="0.35">
      <c r="A3590"/>
    </row>
    <row r="3591" spans="1:1" x14ac:dyDescent="0.35">
      <c r="A3591"/>
    </row>
    <row r="3592" spans="1:1" x14ac:dyDescent="0.35">
      <c r="A3592"/>
    </row>
    <row r="3593" spans="1:1" x14ac:dyDescent="0.35">
      <c r="A3593"/>
    </row>
    <row r="3594" spans="1:1" x14ac:dyDescent="0.35">
      <c r="A3594"/>
    </row>
    <row r="3595" spans="1:1" x14ac:dyDescent="0.35">
      <c r="A3595"/>
    </row>
    <row r="3596" spans="1:1" x14ac:dyDescent="0.35">
      <c r="A3596"/>
    </row>
    <row r="3597" spans="1:1" x14ac:dyDescent="0.35">
      <c r="A3597"/>
    </row>
    <row r="3598" spans="1:1" x14ac:dyDescent="0.35">
      <c r="A3598"/>
    </row>
    <row r="3599" spans="1:1" x14ac:dyDescent="0.35">
      <c r="A3599"/>
    </row>
    <row r="3600" spans="1:1" x14ac:dyDescent="0.35">
      <c r="A3600"/>
    </row>
    <row r="3601" spans="1:1" x14ac:dyDescent="0.35">
      <c r="A3601"/>
    </row>
    <row r="3602" spans="1:1" x14ac:dyDescent="0.35">
      <c r="A3602"/>
    </row>
    <row r="3603" spans="1:1" x14ac:dyDescent="0.35">
      <c r="A3603"/>
    </row>
    <row r="3604" spans="1:1" x14ac:dyDescent="0.35">
      <c r="A3604"/>
    </row>
    <row r="3605" spans="1:1" x14ac:dyDescent="0.35">
      <c r="A3605"/>
    </row>
    <row r="3606" spans="1:1" x14ac:dyDescent="0.35">
      <c r="A3606"/>
    </row>
    <row r="3607" spans="1:1" x14ac:dyDescent="0.35">
      <c r="A3607"/>
    </row>
    <row r="3608" spans="1:1" x14ac:dyDescent="0.35">
      <c r="A3608"/>
    </row>
    <row r="3609" spans="1:1" x14ac:dyDescent="0.35">
      <c r="A3609"/>
    </row>
    <row r="3610" spans="1:1" x14ac:dyDescent="0.35">
      <c r="A3610"/>
    </row>
    <row r="3611" spans="1:1" x14ac:dyDescent="0.35">
      <c r="A3611"/>
    </row>
    <row r="3612" spans="1:1" x14ac:dyDescent="0.35">
      <c r="A3612"/>
    </row>
    <row r="3613" spans="1:1" x14ac:dyDescent="0.35">
      <c r="A3613"/>
    </row>
    <row r="3614" spans="1:1" x14ac:dyDescent="0.35">
      <c r="A3614"/>
    </row>
    <row r="3615" spans="1:1" x14ac:dyDescent="0.35">
      <c r="A3615"/>
    </row>
    <row r="3616" spans="1:1" x14ac:dyDescent="0.35">
      <c r="A3616"/>
    </row>
    <row r="3617" spans="1:1" x14ac:dyDescent="0.35">
      <c r="A3617"/>
    </row>
    <row r="3618" spans="1:1" x14ac:dyDescent="0.35">
      <c r="A3618"/>
    </row>
    <row r="3619" spans="1:1" x14ac:dyDescent="0.35">
      <c r="A3619"/>
    </row>
    <row r="3620" spans="1:1" x14ac:dyDescent="0.35">
      <c r="A3620"/>
    </row>
    <row r="3621" spans="1:1" x14ac:dyDescent="0.35">
      <c r="A3621"/>
    </row>
    <row r="3622" spans="1:1" x14ac:dyDescent="0.35">
      <c r="A3622"/>
    </row>
    <row r="3623" spans="1:1" x14ac:dyDescent="0.35">
      <c r="A3623"/>
    </row>
    <row r="3624" spans="1:1" x14ac:dyDescent="0.35">
      <c r="A3624"/>
    </row>
    <row r="3625" spans="1:1" x14ac:dyDescent="0.35">
      <c r="A3625"/>
    </row>
    <row r="3626" spans="1:1" x14ac:dyDescent="0.35">
      <c r="A3626"/>
    </row>
    <row r="3627" spans="1:1" x14ac:dyDescent="0.35">
      <c r="A3627"/>
    </row>
    <row r="3628" spans="1:1" x14ac:dyDescent="0.35">
      <c r="A3628"/>
    </row>
    <row r="3629" spans="1:1" x14ac:dyDescent="0.35">
      <c r="A3629"/>
    </row>
    <row r="3630" spans="1:1" x14ac:dyDescent="0.35">
      <c r="A3630"/>
    </row>
    <row r="3631" spans="1:1" x14ac:dyDescent="0.35">
      <c r="A3631"/>
    </row>
    <row r="3632" spans="1:1" x14ac:dyDescent="0.35">
      <c r="A3632"/>
    </row>
    <row r="3633" spans="1:1" x14ac:dyDescent="0.35">
      <c r="A3633"/>
    </row>
    <row r="3634" spans="1:1" x14ac:dyDescent="0.35">
      <c r="A3634"/>
    </row>
    <row r="3635" spans="1:1" x14ac:dyDescent="0.35">
      <c r="A3635"/>
    </row>
    <row r="3636" spans="1:1" x14ac:dyDescent="0.35">
      <c r="A3636"/>
    </row>
    <row r="3637" spans="1:1" x14ac:dyDescent="0.35">
      <c r="A3637"/>
    </row>
    <row r="3638" spans="1:1" x14ac:dyDescent="0.35">
      <c r="A3638"/>
    </row>
    <row r="3639" spans="1:1" x14ac:dyDescent="0.35">
      <c r="A3639"/>
    </row>
    <row r="3640" spans="1:1" x14ac:dyDescent="0.35">
      <c r="A3640"/>
    </row>
    <row r="3641" spans="1:1" x14ac:dyDescent="0.35">
      <c r="A3641"/>
    </row>
    <row r="3642" spans="1:1" x14ac:dyDescent="0.35">
      <c r="A3642"/>
    </row>
    <row r="3643" spans="1:1" x14ac:dyDescent="0.35">
      <c r="A3643"/>
    </row>
    <row r="3644" spans="1:1" x14ac:dyDescent="0.35">
      <c r="A3644"/>
    </row>
    <row r="3645" spans="1:1" x14ac:dyDescent="0.35">
      <c r="A3645"/>
    </row>
    <row r="3646" spans="1:1" x14ac:dyDescent="0.35">
      <c r="A3646"/>
    </row>
    <row r="3647" spans="1:1" x14ac:dyDescent="0.35">
      <c r="A3647"/>
    </row>
    <row r="3648" spans="1:1" x14ac:dyDescent="0.35">
      <c r="A3648"/>
    </row>
    <row r="3649" spans="1:1" x14ac:dyDescent="0.35">
      <c r="A3649"/>
    </row>
    <row r="3650" spans="1:1" x14ac:dyDescent="0.35">
      <c r="A3650"/>
    </row>
    <row r="3651" spans="1:1" x14ac:dyDescent="0.35">
      <c r="A3651"/>
    </row>
    <row r="3652" spans="1:1" x14ac:dyDescent="0.35">
      <c r="A3652"/>
    </row>
    <row r="3653" spans="1:1" x14ac:dyDescent="0.35">
      <c r="A3653"/>
    </row>
    <row r="3654" spans="1:1" x14ac:dyDescent="0.35">
      <c r="A3654"/>
    </row>
    <row r="3655" spans="1:1" x14ac:dyDescent="0.35">
      <c r="A3655"/>
    </row>
    <row r="3656" spans="1:1" x14ac:dyDescent="0.35">
      <c r="A3656"/>
    </row>
    <row r="3657" spans="1:1" x14ac:dyDescent="0.35">
      <c r="A3657"/>
    </row>
    <row r="3658" spans="1:1" x14ac:dyDescent="0.35">
      <c r="A3658"/>
    </row>
    <row r="3659" spans="1:1" x14ac:dyDescent="0.35">
      <c r="A3659"/>
    </row>
    <row r="3660" spans="1:1" x14ac:dyDescent="0.35">
      <c r="A3660"/>
    </row>
    <row r="3661" spans="1:1" x14ac:dyDescent="0.35">
      <c r="A3661"/>
    </row>
    <row r="3662" spans="1:1" x14ac:dyDescent="0.35">
      <c r="A3662"/>
    </row>
    <row r="3663" spans="1:1" x14ac:dyDescent="0.35">
      <c r="A3663"/>
    </row>
    <row r="3664" spans="1:1" x14ac:dyDescent="0.35">
      <c r="A3664"/>
    </row>
    <row r="3665" spans="1:1" x14ac:dyDescent="0.35">
      <c r="A3665"/>
    </row>
    <row r="3666" spans="1:1" x14ac:dyDescent="0.35">
      <c r="A3666"/>
    </row>
    <row r="3667" spans="1:1" x14ac:dyDescent="0.35">
      <c r="A3667"/>
    </row>
    <row r="3668" spans="1:1" x14ac:dyDescent="0.35">
      <c r="A3668"/>
    </row>
    <row r="3669" spans="1:1" x14ac:dyDescent="0.35">
      <c r="A3669"/>
    </row>
    <row r="3670" spans="1:1" x14ac:dyDescent="0.35">
      <c r="A3670"/>
    </row>
    <row r="3671" spans="1:1" x14ac:dyDescent="0.35">
      <c r="A3671"/>
    </row>
    <row r="3672" spans="1:1" x14ac:dyDescent="0.35">
      <c r="A3672"/>
    </row>
    <row r="3673" spans="1:1" x14ac:dyDescent="0.35">
      <c r="A3673"/>
    </row>
    <row r="3674" spans="1:1" x14ac:dyDescent="0.35">
      <c r="A3674"/>
    </row>
    <row r="3675" spans="1:1" x14ac:dyDescent="0.35">
      <c r="A3675"/>
    </row>
    <row r="3676" spans="1:1" x14ac:dyDescent="0.35">
      <c r="A3676"/>
    </row>
    <row r="3677" spans="1:1" x14ac:dyDescent="0.35">
      <c r="A3677"/>
    </row>
    <row r="3678" spans="1:1" x14ac:dyDescent="0.35">
      <c r="A3678"/>
    </row>
    <row r="3679" spans="1:1" x14ac:dyDescent="0.35">
      <c r="A3679"/>
    </row>
    <row r="3680" spans="1:1" x14ac:dyDescent="0.35">
      <c r="A3680"/>
    </row>
    <row r="3681" spans="1:1" x14ac:dyDescent="0.35">
      <c r="A3681"/>
    </row>
    <row r="3682" spans="1:1" x14ac:dyDescent="0.35">
      <c r="A3682"/>
    </row>
    <row r="3683" spans="1:1" x14ac:dyDescent="0.35">
      <c r="A3683"/>
    </row>
    <row r="3684" spans="1:1" x14ac:dyDescent="0.35">
      <c r="A3684"/>
    </row>
    <row r="3685" spans="1:1" x14ac:dyDescent="0.35">
      <c r="A3685"/>
    </row>
    <row r="3686" spans="1:1" x14ac:dyDescent="0.35">
      <c r="A3686"/>
    </row>
    <row r="3687" spans="1:1" x14ac:dyDescent="0.35">
      <c r="A3687"/>
    </row>
    <row r="3688" spans="1:1" x14ac:dyDescent="0.35">
      <c r="A3688"/>
    </row>
    <row r="3689" spans="1:1" x14ac:dyDescent="0.35">
      <c r="A3689"/>
    </row>
    <row r="3690" spans="1:1" x14ac:dyDescent="0.35">
      <c r="A3690"/>
    </row>
    <row r="3691" spans="1:1" x14ac:dyDescent="0.35">
      <c r="A3691"/>
    </row>
    <row r="3692" spans="1:1" x14ac:dyDescent="0.35">
      <c r="A3692"/>
    </row>
    <row r="3693" spans="1:1" x14ac:dyDescent="0.35">
      <c r="A3693"/>
    </row>
    <row r="3694" spans="1:1" x14ac:dyDescent="0.35">
      <c r="A3694"/>
    </row>
    <row r="3695" spans="1:1" x14ac:dyDescent="0.35">
      <c r="A3695"/>
    </row>
    <row r="3696" spans="1:1" x14ac:dyDescent="0.35">
      <c r="A3696"/>
    </row>
    <row r="3697" spans="1:1" x14ac:dyDescent="0.35">
      <c r="A3697"/>
    </row>
    <row r="3698" spans="1:1" x14ac:dyDescent="0.35">
      <c r="A3698"/>
    </row>
    <row r="3699" spans="1:1" x14ac:dyDescent="0.35">
      <c r="A3699"/>
    </row>
    <row r="3700" spans="1:1" x14ac:dyDescent="0.35">
      <c r="A3700"/>
    </row>
    <row r="3701" spans="1:1" x14ac:dyDescent="0.35">
      <c r="A3701"/>
    </row>
    <row r="3702" spans="1:1" x14ac:dyDescent="0.35">
      <c r="A3702"/>
    </row>
    <row r="3703" spans="1:1" x14ac:dyDescent="0.35">
      <c r="A3703"/>
    </row>
    <row r="3704" spans="1:1" x14ac:dyDescent="0.35">
      <c r="A3704"/>
    </row>
    <row r="3705" spans="1:1" x14ac:dyDescent="0.35">
      <c r="A3705"/>
    </row>
    <row r="3706" spans="1:1" x14ac:dyDescent="0.35">
      <c r="A3706"/>
    </row>
    <row r="3707" spans="1:1" x14ac:dyDescent="0.35">
      <c r="A3707"/>
    </row>
    <row r="3708" spans="1:1" x14ac:dyDescent="0.35">
      <c r="A3708"/>
    </row>
    <row r="3709" spans="1:1" x14ac:dyDescent="0.35">
      <c r="A3709"/>
    </row>
    <row r="3710" spans="1:1" x14ac:dyDescent="0.35">
      <c r="A3710"/>
    </row>
    <row r="3711" spans="1:1" x14ac:dyDescent="0.35">
      <c r="A3711"/>
    </row>
    <row r="3712" spans="1:1" x14ac:dyDescent="0.35">
      <c r="A3712"/>
    </row>
    <row r="3713" spans="1:1" x14ac:dyDescent="0.35">
      <c r="A3713"/>
    </row>
    <row r="3714" spans="1:1" x14ac:dyDescent="0.35">
      <c r="A3714"/>
    </row>
    <row r="3715" spans="1:1" x14ac:dyDescent="0.35">
      <c r="A3715"/>
    </row>
    <row r="3716" spans="1:1" x14ac:dyDescent="0.35">
      <c r="A3716"/>
    </row>
    <row r="3717" spans="1:1" x14ac:dyDescent="0.35">
      <c r="A3717"/>
    </row>
    <row r="3718" spans="1:1" x14ac:dyDescent="0.35">
      <c r="A3718"/>
    </row>
    <row r="3719" spans="1:1" x14ac:dyDescent="0.35">
      <c r="A3719"/>
    </row>
    <row r="3720" spans="1:1" x14ac:dyDescent="0.35">
      <c r="A3720"/>
    </row>
    <row r="3721" spans="1:1" x14ac:dyDescent="0.35">
      <c r="A3721"/>
    </row>
    <row r="3722" spans="1:1" x14ac:dyDescent="0.35">
      <c r="A3722"/>
    </row>
    <row r="3723" spans="1:1" x14ac:dyDescent="0.35">
      <c r="A3723"/>
    </row>
    <row r="3724" spans="1:1" x14ac:dyDescent="0.35">
      <c r="A3724"/>
    </row>
    <row r="3725" spans="1:1" x14ac:dyDescent="0.35">
      <c r="A3725"/>
    </row>
    <row r="3726" spans="1:1" x14ac:dyDescent="0.35">
      <c r="A3726"/>
    </row>
    <row r="3727" spans="1:1" x14ac:dyDescent="0.35">
      <c r="A3727"/>
    </row>
    <row r="3728" spans="1:1" x14ac:dyDescent="0.35">
      <c r="A3728"/>
    </row>
    <row r="3729" spans="1:1" x14ac:dyDescent="0.35">
      <c r="A3729"/>
    </row>
    <row r="3730" spans="1:1" x14ac:dyDescent="0.35">
      <c r="A3730"/>
    </row>
    <row r="3731" spans="1:1" x14ac:dyDescent="0.35">
      <c r="A3731"/>
    </row>
    <row r="3732" spans="1:1" x14ac:dyDescent="0.35">
      <c r="A3732"/>
    </row>
    <row r="3733" spans="1:1" x14ac:dyDescent="0.35">
      <c r="A3733"/>
    </row>
    <row r="3734" spans="1:1" x14ac:dyDescent="0.35">
      <c r="A3734"/>
    </row>
    <row r="3735" spans="1:1" x14ac:dyDescent="0.35">
      <c r="A3735"/>
    </row>
    <row r="3736" spans="1:1" x14ac:dyDescent="0.35">
      <c r="A3736"/>
    </row>
    <row r="3737" spans="1:1" x14ac:dyDescent="0.35">
      <c r="A3737"/>
    </row>
    <row r="3738" spans="1:1" x14ac:dyDescent="0.35">
      <c r="A3738"/>
    </row>
    <row r="3739" spans="1:1" x14ac:dyDescent="0.35">
      <c r="A3739"/>
    </row>
    <row r="3740" spans="1:1" x14ac:dyDescent="0.35">
      <c r="A3740"/>
    </row>
    <row r="3741" spans="1:1" x14ac:dyDescent="0.35">
      <c r="A3741"/>
    </row>
    <row r="3742" spans="1:1" x14ac:dyDescent="0.35">
      <c r="A3742"/>
    </row>
    <row r="3743" spans="1:1" x14ac:dyDescent="0.35">
      <c r="A3743"/>
    </row>
    <row r="3744" spans="1:1" x14ac:dyDescent="0.35">
      <c r="A3744"/>
    </row>
    <row r="3745" spans="1:1" x14ac:dyDescent="0.35">
      <c r="A3745"/>
    </row>
    <row r="3746" spans="1:1" x14ac:dyDescent="0.35">
      <c r="A3746"/>
    </row>
    <row r="3747" spans="1:1" x14ac:dyDescent="0.35">
      <c r="A3747"/>
    </row>
    <row r="3748" spans="1:1" x14ac:dyDescent="0.35">
      <c r="A3748"/>
    </row>
    <row r="3749" spans="1:1" x14ac:dyDescent="0.35">
      <c r="A3749"/>
    </row>
    <row r="3750" spans="1:1" x14ac:dyDescent="0.35">
      <c r="A3750"/>
    </row>
    <row r="3751" spans="1:1" x14ac:dyDescent="0.35">
      <c r="A3751"/>
    </row>
    <row r="3752" spans="1:1" x14ac:dyDescent="0.35">
      <c r="A3752"/>
    </row>
    <row r="3753" spans="1:1" x14ac:dyDescent="0.35">
      <c r="A3753"/>
    </row>
    <row r="3754" spans="1:1" x14ac:dyDescent="0.35">
      <c r="A3754"/>
    </row>
    <row r="3755" spans="1:1" x14ac:dyDescent="0.35">
      <c r="A3755"/>
    </row>
    <row r="3756" spans="1:1" x14ac:dyDescent="0.35">
      <c r="A3756"/>
    </row>
    <row r="3757" spans="1:1" x14ac:dyDescent="0.35">
      <c r="A3757"/>
    </row>
    <row r="3758" spans="1:1" x14ac:dyDescent="0.35">
      <c r="A3758"/>
    </row>
    <row r="3759" spans="1:1" x14ac:dyDescent="0.35">
      <c r="A3759"/>
    </row>
    <row r="3760" spans="1:1" x14ac:dyDescent="0.35">
      <c r="A3760"/>
    </row>
    <row r="3761" spans="1:1" x14ac:dyDescent="0.35">
      <c r="A3761"/>
    </row>
    <row r="3762" spans="1:1" x14ac:dyDescent="0.35">
      <c r="A3762"/>
    </row>
    <row r="3763" spans="1:1" x14ac:dyDescent="0.35">
      <c r="A3763"/>
    </row>
    <row r="3764" spans="1:1" x14ac:dyDescent="0.35">
      <c r="A3764"/>
    </row>
    <row r="3765" spans="1:1" x14ac:dyDescent="0.35">
      <c r="A3765"/>
    </row>
    <row r="3766" spans="1:1" x14ac:dyDescent="0.35">
      <c r="A3766"/>
    </row>
    <row r="3767" spans="1:1" x14ac:dyDescent="0.35">
      <c r="A3767"/>
    </row>
    <row r="3768" spans="1:1" x14ac:dyDescent="0.35">
      <c r="A3768"/>
    </row>
    <row r="3769" spans="1:1" x14ac:dyDescent="0.35">
      <c r="A3769"/>
    </row>
    <row r="3770" spans="1:1" x14ac:dyDescent="0.35">
      <c r="A3770"/>
    </row>
    <row r="3771" spans="1:1" x14ac:dyDescent="0.35">
      <c r="A3771"/>
    </row>
    <row r="3772" spans="1:1" x14ac:dyDescent="0.35">
      <c r="A3772"/>
    </row>
    <row r="3773" spans="1:1" x14ac:dyDescent="0.35">
      <c r="A3773"/>
    </row>
    <row r="3774" spans="1:1" x14ac:dyDescent="0.35">
      <c r="A3774"/>
    </row>
    <row r="3775" spans="1:1" x14ac:dyDescent="0.35">
      <c r="A3775"/>
    </row>
    <row r="3776" spans="1:1" x14ac:dyDescent="0.35">
      <c r="A3776"/>
    </row>
    <row r="3777" spans="1:1" x14ac:dyDescent="0.35">
      <c r="A3777"/>
    </row>
    <row r="3778" spans="1:1" x14ac:dyDescent="0.35">
      <c r="A3778"/>
    </row>
    <row r="3779" spans="1:1" x14ac:dyDescent="0.35">
      <c r="A3779"/>
    </row>
    <row r="3780" spans="1:1" x14ac:dyDescent="0.35">
      <c r="A3780"/>
    </row>
    <row r="3781" spans="1:1" x14ac:dyDescent="0.35">
      <c r="A3781"/>
    </row>
    <row r="3782" spans="1:1" x14ac:dyDescent="0.35">
      <c r="A3782"/>
    </row>
    <row r="3783" spans="1:1" x14ac:dyDescent="0.35">
      <c r="A3783"/>
    </row>
    <row r="3784" spans="1:1" x14ac:dyDescent="0.35">
      <c r="A3784"/>
    </row>
    <row r="3785" spans="1:1" x14ac:dyDescent="0.35">
      <c r="A3785"/>
    </row>
    <row r="3786" spans="1:1" x14ac:dyDescent="0.35">
      <c r="A3786"/>
    </row>
    <row r="3787" spans="1:1" x14ac:dyDescent="0.35">
      <c r="A3787"/>
    </row>
    <row r="3788" spans="1:1" x14ac:dyDescent="0.35">
      <c r="A3788"/>
    </row>
    <row r="3789" spans="1:1" x14ac:dyDescent="0.35">
      <c r="A3789"/>
    </row>
    <row r="3790" spans="1:1" x14ac:dyDescent="0.35">
      <c r="A3790"/>
    </row>
    <row r="3791" spans="1:1" x14ac:dyDescent="0.35">
      <c r="A3791"/>
    </row>
    <row r="3792" spans="1:1" x14ac:dyDescent="0.35">
      <c r="A3792"/>
    </row>
    <row r="3793" spans="1:1" x14ac:dyDescent="0.35">
      <c r="A3793"/>
    </row>
    <row r="3794" spans="1:1" x14ac:dyDescent="0.35">
      <c r="A3794"/>
    </row>
    <row r="3795" spans="1:1" x14ac:dyDescent="0.35">
      <c r="A3795"/>
    </row>
    <row r="3796" spans="1:1" x14ac:dyDescent="0.35">
      <c r="A3796"/>
    </row>
    <row r="3797" spans="1:1" x14ac:dyDescent="0.35">
      <c r="A3797"/>
    </row>
    <row r="3798" spans="1:1" x14ac:dyDescent="0.35">
      <c r="A3798"/>
    </row>
    <row r="3799" spans="1:1" x14ac:dyDescent="0.35">
      <c r="A3799"/>
    </row>
    <row r="3800" spans="1:1" x14ac:dyDescent="0.35">
      <c r="A3800"/>
    </row>
    <row r="3801" spans="1:1" x14ac:dyDescent="0.35">
      <c r="A3801"/>
    </row>
    <row r="3802" spans="1:1" x14ac:dyDescent="0.35">
      <c r="A3802"/>
    </row>
    <row r="3803" spans="1:1" x14ac:dyDescent="0.35">
      <c r="A3803"/>
    </row>
    <row r="3804" spans="1:1" x14ac:dyDescent="0.35">
      <c r="A3804"/>
    </row>
    <row r="3805" spans="1:1" x14ac:dyDescent="0.35">
      <c r="A3805"/>
    </row>
    <row r="3806" spans="1:1" x14ac:dyDescent="0.35">
      <c r="A3806"/>
    </row>
    <row r="3807" spans="1:1" x14ac:dyDescent="0.35">
      <c r="A3807"/>
    </row>
    <row r="3808" spans="1:1" x14ac:dyDescent="0.35">
      <c r="A3808"/>
    </row>
    <row r="3809" spans="1:1" x14ac:dyDescent="0.35">
      <c r="A3809"/>
    </row>
    <row r="3810" spans="1:1" x14ac:dyDescent="0.35">
      <c r="A3810"/>
    </row>
    <row r="3811" spans="1:1" x14ac:dyDescent="0.35">
      <c r="A3811"/>
    </row>
    <row r="3812" spans="1:1" x14ac:dyDescent="0.35">
      <c r="A3812"/>
    </row>
    <row r="3813" spans="1:1" x14ac:dyDescent="0.35">
      <c r="A3813"/>
    </row>
    <row r="3814" spans="1:1" x14ac:dyDescent="0.35">
      <c r="A3814"/>
    </row>
    <row r="3815" spans="1:1" x14ac:dyDescent="0.35">
      <c r="A3815"/>
    </row>
    <row r="3816" spans="1:1" x14ac:dyDescent="0.35">
      <c r="A3816"/>
    </row>
    <row r="3817" spans="1:1" x14ac:dyDescent="0.35">
      <c r="A3817"/>
    </row>
    <row r="3818" spans="1:1" x14ac:dyDescent="0.35">
      <c r="A3818"/>
    </row>
    <row r="3819" spans="1:1" x14ac:dyDescent="0.35">
      <c r="A3819"/>
    </row>
    <row r="3820" spans="1:1" x14ac:dyDescent="0.35">
      <c r="A3820"/>
    </row>
    <row r="3821" spans="1:1" x14ac:dyDescent="0.35">
      <c r="A3821"/>
    </row>
    <row r="3822" spans="1:1" x14ac:dyDescent="0.35">
      <c r="A3822"/>
    </row>
    <row r="3823" spans="1:1" x14ac:dyDescent="0.35">
      <c r="A3823"/>
    </row>
    <row r="3824" spans="1:1" x14ac:dyDescent="0.35">
      <c r="A3824"/>
    </row>
    <row r="3825" spans="1:1" x14ac:dyDescent="0.35">
      <c r="A3825"/>
    </row>
    <row r="3826" spans="1:1" x14ac:dyDescent="0.35">
      <c r="A3826"/>
    </row>
    <row r="3827" spans="1:1" x14ac:dyDescent="0.35">
      <c r="A3827"/>
    </row>
    <row r="3828" spans="1:1" x14ac:dyDescent="0.35">
      <c r="A3828"/>
    </row>
    <row r="3829" spans="1:1" x14ac:dyDescent="0.35">
      <c r="A3829"/>
    </row>
    <row r="3830" spans="1:1" x14ac:dyDescent="0.35">
      <c r="A3830"/>
    </row>
    <row r="3831" spans="1:1" x14ac:dyDescent="0.35">
      <c r="A3831"/>
    </row>
    <row r="3832" spans="1:1" x14ac:dyDescent="0.35">
      <c r="A3832"/>
    </row>
    <row r="3833" spans="1:1" x14ac:dyDescent="0.35">
      <c r="A3833"/>
    </row>
    <row r="3834" spans="1:1" x14ac:dyDescent="0.35">
      <c r="A3834"/>
    </row>
    <row r="3835" spans="1:1" x14ac:dyDescent="0.35">
      <c r="A3835"/>
    </row>
    <row r="3836" spans="1:1" x14ac:dyDescent="0.35">
      <c r="A3836"/>
    </row>
    <row r="3837" spans="1:1" x14ac:dyDescent="0.35">
      <c r="A3837"/>
    </row>
    <row r="3838" spans="1:1" x14ac:dyDescent="0.35">
      <c r="A3838"/>
    </row>
    <row r="3839" spans="1:1" x14ac:dyDescent="0.35">
      <c r="A3839"/>
    </row>
    <row r="3840" spans="1:1" x14ac:dyDescent="0.35">
      <c r="A3840"/>
    </row>
    <row r="3841" spans="1:1" x14ac:dyDescent="0.35">
      <c r="A3841"/>
    </row>
    <row r="3842" spans="1:1" x14ac:dyDescent="0.35">
      <c r="A3842"/>
    </row>
    <row r="3843" spans="1:1" x14ac:dyDescent="0.35">
      <c r="A3843"/>
    </row>
    <row r="3844" spans="1:1" x14ac:dyDescent="0.35">
      <c r="A3844"/>
    </row>
    <row r="3845" spans="1:1" x14ac:dyDescent="0.35">
      <c r="A3845"/>
    </row>
    <row r="3846" spans="1:1" x14ac:dyDescent="0.35">
      <c r="A3846"/>
    </row>
    <row r="3847" spans="1:1" x14ac:dyDescent="0.35">
      <c r="A3847"/>
    </row>
    <row r="3848" spans="1:1" x14ac:dyDescent="0.35">
      <c r="A3848"/>
    </row>
    <row r="3849" spans="1:1" x14ac:dyDescent="0.35">
      <c r="A3849"/>
    </row>
    <row r="3850" spans="1:1" x14ac:dyDescent="0.35">
      <c r="A3850"/>
    </row>
    <row r="3851" spans="1:1" x14ac:dyDescent="0.35">
      <c r="A3851"/>
    </row>
    <row r="3852" spans="1:1" x14ac:dyDescent="0.35">
      <c r="A3852"/>
    </row>
    <row r="3853" spans="1:1" x14ac:dyDescent="0.35">
      <c r="A3853"/>
    </row>
    <row r="3854" spans="1:1" x14ac:dyDescent="0.35">
      <c r="A3854"/>
    </row>
    <row r="3855" spans="1:1" x14ac:dyDescent="0.35">
      <c r="A3855"/>
    </row>
    <row r="3856" spans="1:1" x14ac:dyDescent="0.35">
      <c r="A3856"/>
    </row>
    <row r="3857" spans="1:1" x14ac:dyDescent="0.35">
      <c r="A3857"/>
    </row>
    <row r="3858" spans="1:1" x14ac:dyDescent="0.35">
      <c r="A3858"/>
    </row>
    <row r="3859" spans="1:1" x14ac:dyDescent="0.35">
      <c r="A3859"/>
    </row>
    <row r="3860" spans="1:1" x14ac:dyDescent="0.35">
      <c r="A3860"/>
    </row>
    <row r="3861" spans="1:1" x14ac:dyDescent="0.35">
      <c r="A3861"/>
    </row>
    <row r="3862" spans="1:1" x14ac:dyDescent="0.35">
      <c r="A3862"/>
    </row>
    <row r="3863" spans="1:1" x14ac:dyDescent="0.35">
      <c r="A3863"/>
    </row>
    <row r="3864" spans="1:1" x14ac:dyDescent="0.35">
      <c r="A3864"/>
    </row>
    <row r="3865" spans="1:1" x14ac:dyDescent="0.35">
      <c r="A3865"/>
    </row>
    <row r="3866" spans="1:1" x14ac:dyDescent="0.35">
      <c r="A3866"/>
    </row>
    <row r="3867" spans="1:1" x14ac:dyDescent="0.35">
      <c r="A3867"/>
    </row>
    <row r="3868" spans="1:1" x14ac:dyDescent="0.35">
      <c r="A3868"/>
    </row>
    <row r="3869" spans="1:1" x14ac:dyDescent="0.35">
      <c r="A3869"/>
    </row>
    <row r="3870" spans="1:1" x14ac:dyDescent="0.35">
      <c r="A3870"/>
    </row>
    <row r="3871" spans="1:1" x14ac:dyDescent="0.35">
      <c r="A3871"/>
    </row>
    <row r="3872" spans="1:1" x14ac:dyDescent="0.35">
      <c r="A3872"/>
    </row>
    <row r="3873" spans="1:1" x14ac:dyDescent="0.35">
      <c r="A3873"/>
    </row>
    <row r="3874" spans="1:1" x14ac:dyDescent="0.35">
      <c r="A3874"/>
    </row>
    <row r="3875" spans="1:1" x14ac:dyDescent="0.35">
      <c r="A3875"/>
    </row>
    <row r="3876" spans="1:1" x14ac:dyDescent="0.35">
      <c r="A3876"/>
    </row>
    <row r="3877" spans="1:1" x14ac:dyDescent="0.35">
      <c r="A3877"/>
    </row>
    <row r="3878" spans="1:1" x14ac:dyDescent="0.35">
      <c r="A3878"/>
    </row>
    <row r="3879" spans="1:1" x14ac:dyDescent="0.35">
      <c r="A3879"/>
    </row>
    <row r="3880" spans="1:1" x14ac:dyDescent="0.35">
      <c r="A3880"/>
    </row>
    <row r="3881" spans="1:1" x14ac:dyDescent="0.35">
      <c r="A3881"/>
    </row>
    <row r="3882" spans="1:1" x14ac:dyDescent="0.35">
      <c r="A3882"/>
    </row>
    <row r="3883" spans="1:1" x14ac:dyDescent="0.35">
      <c r="A3883"/>
    </row>
    <row r="3884" spans="1:1" x14ac:dyDescent="0.35">
      <c r="A3884"/>
    </row>
    <row r="3885" spans="1:1" x14ac:dyDescent="0.35">
      <c r="A3885"/>
    </row>
    <row r="3886" spans="1:1" x14ac:dyDescent="0.35">
      <c r="A3886"/>
    </row>
    <row r="3887" spans="1:1" x14ac:dyDescent="0.35">
      <c r="A3887"/>
    </row>
    <row r="3888" spans="1:1" x14ac:dyDescent="0.35">
      <c r="A3888"/>
    </row>
    <row r="3889" spans="1:1" x14ac:dyDescent="0.35">
      <c r="A3889"/>
    </row>
    <row r="3890" spans="1:1" x14ac:dyDescent="0.35">
      <c r="A3890"/>
    </row>
    <row r="3891" spans="1:1" x14ac:dyDescent="0.35">
      <c r="A3891"/>
    </row>
    <row r="3892" spans="1:1" x14ac:dyDescent="0.35">
      <c r="A3892"/>
    </row>
    <row r="3893" spans="1:1" x14ac:dyDescent="0.35">
      <c r="A3893"/>
    </row>
    <row r="3894" spans="1:1" x14ac:dyDescent="0.35">
      <c r="A3894"/>
    </row>
    <row r="3895" spans="1:1" x14ac:dyDescent="0.35">
      <c r="A3895"/>
    </row>
    <row r="3896" spans="1:1" x14ac:dyDescent="0.35">
      <c r="A3896"/>
    </row>
    <row r="3897" spans="1:1" x14ac:dyDescent="0.35">
      <c r="A3897"/>
    </row>
    <row r="3898" spans="1:1" x14ac:dyDescent="0.35">
      <c r="A3898"/>
    </row>
    <row r="3899" spans="1:1" x14ac:dyDescent="0.35">
      <c r="A3899"/>
    </row>
    <row r="3900" spans="1:1" x14ac:dyDescent="0.35">
      <c r="A3900"/>
    </row>
    <row r="3901" spans="1:1" x14ac:dyDescent="0.35">
      <c r="A3901"/>
    </row>
    <row r="3902" spans="1:1" x14ac:dyDescent="0.35">
      <c r="A3902"/>
    </row>
    <row r="3903" spans="1:1" x14ac:dyDescent="0.35">
      <c r="A3903"/>
    </row>
    <row r="3904" spans="1:1" x14ac:dyDescent="0.35">
      <c r="A3904"/>
    </row>
    <row r="3905" spans="1:1" x14ac:dyDescent="0.35">
      <c r="A3905"/>
    </row>
    <row r="3906" spans="1:1" x14ac:dyDescent="0.35">
      <c r="A3906"/>
    </row>
    <row r="3907" spans="1:1" x14ac:dyDescent="0.35">
      <c r="A3907"/>
    </row>
    <row r="3908" spans="1:1" x14ac:dyDescent="0.35">
      <c r="A3908"/>
    </row>
    <row r="3909" spans="1:1" x14ac:dyDescent="0.35">
      <c r="A3909"/>
    </row>
    <row r="3910" spans="1:1" x14ac:dyDescent="0.35">
      <c r="A3910"/>
    </row>
    <row r="3911" spans="1:1" x14ac:dyDescent="0.35">
      <c r="A3911"/>
    </row>
    <row r="3912" spans="1:1" x14ac:dyDescent="0.35">
      <c r="A3912"/>
    </row>
    <row r="3913" spans="1:1" x14ac:dyDescent="0.35">
      <c r="A3913"/>
    </row>
    <row r="3914" spans="1:1" x14ac:dyDescent="0.35">
      <c r="A3914"/>
    </row>
    <row r="3915" spans="1:1" x14ac:dyDescent="0.35">
      <c r="A3915"/>
    </row>
    <row r="3916" spans="1:1" x14ac:dyDescent="0.35">
      <c r="A3916"/>
    </row>
    <row r="3917" spans="1:1" x14ac:dyDescent="0.35">
      <c r="A3917"/>
    </row>
    <row r="3918" spans="1:1" x14ac:dyDescent="0.35">
      <c r="A3918"/>
    </row>
    <row r="3919" spans="1:1" x14ac:dyDescent="0.35">
      <c r="A3919"/>
    </row>
    <row r="3920" spans="1:1" x14ac:dyDescent="0.35">
      <c r="A3920"/>
    </row>
    <row r="3921" spans="1:1" x14ac:dyDescent="0.35">
      <c r="A3921"/>
    </row>
    <row r="3922" spans="1:1" x14ac:dyDescent="0.35">
      <c r="A3922"/>
    </row>
    <row r="3923" spans="1:1" x14ac:dyDescent="0.35">
      <c r="A3923"/>
    </row>
    <row r="3924" spans="1:1" x14ac:dyDescent="0.35">
      <c r="A3924"/>
    </row>
    <row r="3925" spans="1:1" x14ac:dyDescent="0.35">
      <c r="A3925"/>
    </row>
    <row r="3926" spans="1:1" x14ac:dyDescent="0.35">
      <c r="A3926"/>
    </row>
    <row r="3927" spans="1:1" x14ac:dyDescent="0.35">
      <c r="A3927"/>
    </row>
    <row r="3928" spans="1:1" x14ac:dyDescent="0.35">
      <c r="A3928"/>
    </row>
    <row r="3929" spans="1:1" x14ac:dyDescent="0.35">
      <c r="A3929"/>
    </row>
    <row r="3930" spans="1:1" x14ac:dyDescent="0.35">
      <c r="A3930"/>
    </row>
    <row r="3931" spans="1:1" x14ac:dyDescent="0.35">
      <c r="A3931"/>
    </row>
    <row r="3932" spans="1:1" x14ac:dyDescent="0.35">
      <c r="A3932"/>
    </row>
    <row r="3933" spans="1:1" x14ac:dyDescent="0.35">
      <c r="A3933"/>
    </row>
    <row r="3934" spans="1:1" x14ac:dyDescent="0.35">
      <c r="A3934"/>
    </row>
    <row r="3935" spans="1:1" x14ac:dyDescent="0.35">
      <c r="A3935"/>
    </row>
    <row r="3936" spans="1:1" x14ac:dyDescent="0.35">
      <c r="A3936"/>
    </row>
    <row r="3937" spans="1:1" x14ac:dyDescent="0.35">
      <c r="A3937"/>
    </row>
    <row r="3938" spans="1:1" x14ac:dyDescent="0.35">
      <c r="A3938"/>
    </row>
    <row r="3939" spans="1:1" x14ac:dyDescent="0.35">
      <c r="A3939"/>
    </row>
    <row r="3940" spans="1:1" x14ac:dyDescent="0.35">
      <c r="A3940"/>
    </row>
    <row r="3941" spans="1:1" x14ac:dyDescent="0.35">
      <c r="A3941"/>
    </row>
    <row r="3942" spans="1:1" x14ac:dyDescent="0.35">
      <c r="A3942"/>
    </row>
    <row r="3943" spans="1:1" x14ac:dyDescent="0.35">
      <c r="A3943"/>
    </row>
    <row r="3944" spans="1:1" x14ac:dyDescent="0.35">
      <c r="A3944"/>
    </row>
    <row r="3945" spans="1:1" x14ac:dyDescent="0.35">
      <c r="A3945"/>
    </row>
    <row r="3946" spans="1:1" x14ac:dyDescent="0.35">
      <c r="A3946"/>
    </row>
    <row r="3947" spans="1:1" x14ac:dyDescent="0.35">
      <c r="A3947"/>
    </row>
    <row r="3948" spans="1:1" x14ac:dyDescent="0.35">
      <c r="A3948"/>
    </row>
    <row r="3949" spans="1:1" x14ac:dyDescent="0.35">
      <c r="A3949"/>
    </row>
    <row r="3950" spans="1:1" x14ac:dyDescent="0.35">
      <c r="A3950"/>
    </row>
    <row r="3951" spans="1:1" x14ac:dyDescent="0.35">
      <c r="A3951"/>
    </row>
    <row r="3952" spans="1:1" x14ac:dyDescent="0.35">
      <c r="A3952"/>
    </row>
    <row r="3953" spans="1:1" x14ac:dyDescent="0.35">
      <c r="A3953"/>
    </row>
    <row r="3954" spans="1:1" x14ac:dyDescent="0.35">
      <c r="A3954"/>
    </row>
    <row r="3955" spans="1:1" x14ac:dyDescent="0.35">
      <c r="A3955"/>
    </row>
    <row r="3956" spans="1:1" x14ac:dyDescent="0.35">
      <c r="A3956"/>
    </row>
    <row r="3957" spans="1:1" x14ac:dyDescent="0.35">
      <c r="A3957"/>
    </row>
    <row r="3958" spans="1:1" x14ac:dyDescent="0.35">
      <c r="A3958"/>
    </row>
    <row r="3959" spans="1:1" x14ac:dyDescent="0.35">
      <c r="A3959"/>
    </row>
    <row r="3960" spans="1:1" x14ac:dyDescent="0.35">
      <c r="A3960"/>
    </row>
    <row r="3961" spans="1:1" x14ac:dyDescent="0.35">
      <c r="A3961"/>
    </row>
    <row r="3962" spans="1:1" x14ac:dyDescent="0.35">
      <c r="A3962"/>
    </row>
    <row r="3963" spans="1:1" x14ac:dyDescent="0.35">
      <c r="A3963"/>
    </row>
    <row r="3964" spans="1:1" x14ac:dyDescent="0.35">
      <c r="A3964"/>
    </row>
    <row r="3965" spans="1:1" x14ac:dyDescent="0.35">
      <c r="A3965"/>
    </row>
    <row r="3966" spans="1:1" x14ac:dyDescent="0.35">
      <c r="A3966"/>
    </row>
    <row r="3967" spans="1:1" x14ac:dyDescent="0.35">
      <c r="A3967"/>
    </row>
    <row r="3968" spans="1:1" x14ac:dyDescent="0.35">
      <c r="A3968"/>
    </row>
    <row r="3969" spans="1:1" x14ac:dyDescent="0.35">
      <c r="A3969"/>
    </row>
    <row r="3970" spans="1:1" x14ac:dyDescent="0.35">
      <c r="A3970"/>
    </row>
    <row r="3971" spans="1:1" x14ac:dyDescent="0.35">
      <c r="A3971"/>
    </row>
    <row r="3972" spans="1:1" x14ac:dyDescent="0.35">
      <c r="A3972"/>
    </row>
    <row r="3973" spans="1:1" x14ac:dyDescent="0.35">
      <c r="A3973"/>
    </row>
    <row r="3974" spans="1:1" x14ac:dyDescent="0.35">
      <c r="A3974"/>
    </row>
    <row r="3975" spans="1:1" x14ac:dyDescent="0.35">
      <c r="A3975"/>
    </row>
    <row r="3976" spans="1:1" x14ac:dyDescent="0.35">
      <c r="A3976"/>
    </row>
    <row r="3977" spans="1:1" x14ac:dyDescent="0.35">
      <c r="A3977"/>
    </row>
    <row r="3978" spans="1:1" x14ac:dyDescent="0.35">
      <c r="A3978"/>
    </row>
    <row r="3979" spans="1:1" x14ac:dyDescent="0.35">
      <c r="A3979"/>
    </row>
    <row r="3980" spans="1:1" x14ac:dyDescent="0.35">
      <c r="A3980"/>
    </row>
    <row r="3981" spans="1:1" x14ac:dyDescent="0.35">
      <c r="A3981"/>
    </row>
    <row r="3982" spans="1:1" x14ac:dyDescent="0.35">
      <c r="A3982"/>
    </row>
    <row r="3983" spans="1:1" x14ac:dyDescent="0.35">
      <c r="A3983"/>
    </row>
    <row r="3984" spans="1:1" x14ac:dyDescent="0.35">
      <c r="A3984"/>
    </row>
    <row r="3985" spans="1:1" x14ac:dyDescent="0.35">
      <c r="A3985"/>
    </row>
    <row r="3986" spans="1:1" x14ac:dyDescent="0.35">
      <c r="A3986"/>
    </row>
    <row r="3987" spans="1:1" x14ac:dyDescent="0.35">
      <c r="A3987"/>
    </row>
    <row r="3988" spans="1:1" x14ac:dyDescent="0.35">
      <c r="A3988"/>
    </row>
    <row r="3989" spans="1:1" x14ac:dyDescent="0.35">
      <c r="A3989"/>
    </row>
    <row r="3990" spans="1:1" x14ac:dyDescent="0.35">
      <c r="A3990"/>
    </row>
    <row r="3991" spans="1:1" x14ac:dyDescent="0.35">
      <c r="A3991"/>
    </row>
    <row r="3992" spans="1:1" x14ac:dyDescent="0.35">
      <c r="A3992"/>
    </row>
    <row r="3993" spans="1:1" x14ac:dyDescent="0.35">
      <c r="A3993"/>
    </row>
    <row r="3994" spans="1:1" x14ac:dyDescent="0.35">
      <c r="A3994"/>
    </row>
    <row r="3995" spans="1:1" x14ac:dyDescent="0.35">
      <c r="A3995"/>
    </row>
    <row r="3996" spans="1:1" x14ac:dyDescent="0.35">
      <c r="A3996"/>
    </row>
    <row r="3997" spans="1:1" x14ac:dyDescent="0.35">
      <c r="A3997"/>
    </row>
    <row r="3998" spans="1:1" x14ac:dyDescent="0.35">
      <c r="A3998"/>
    </row>
    <row r="3999" spans="1:1" x14ac:dyDescent="0.35">
      <c r="A3999"/>
    </row>
    <row r="4000" spans="1:1" x14ac:dyDescent="0.35">
      <c r="A4000"/>
    </row>
    <row r="4001" spans="1:1" x14ac:dyDescent="0.35">
      <c r="A4001"/>
    </row>
    <row r="4002" spans="1:1" x14ac:dyDescent="0.35">
      <c r="A4002"/>
    </row>
    <row r="4003" spans="1:1" x14ac:dyDescent="0.35">
      <c r="A4003"/>
    </row>
    <row r="4004" spans="1:1" x14ac:dyDescent="0.35">
      <c r="A4004"/>
    </row>
    <row r="4005" spans="1:1" x14ac:dyDescent="0.35">
      <c r="A4005"/>
    </row>
    <row r="4006" spans="1:1" x14ac:dyDescent="0.35">
      <c r="A4006"/>
    </row>
    <row r="4007" spans="1:1" x14ac:dyDescent="0.35">
      <c r="A4007"/>
    </row>
    <row r="4008" spans="1:1" x14ac:dyDescent="0.35">
      <c r="A4008"/>
    </row>
    <row r="4009" spans="1:1" x14ac:dyDescent="0.35">
      <c r="A4009"/>
    </row>
    <row r="4010" spans="1:1" x14ac:dyDescent="0.35">
      <c r="A4010"/>
    </row>
    <row r="4011" spans="1:1" x14ac:dyDescent="0.35">
      <c r="A4011"/>
    </row>
    <row r="4012" spans="1:1" x14ac:dyDescent="0.35">
      <c r="A4012"/>
    </row>
    <row r="4013" spans="1:1" x14ac:dyDescent="0.35">
      <c r="A4013"/>
    </row>
    <row r="4014" spans="1:1" x14ac:dyDescent="0.35">
      <c r="A4014"/>
    </row>
    <row r="4015" spans="1:1" x14ac:dyDescent="0.35">
      <c r="A4015"/>
    </row>
    <row r="4016" spans="1:1" x14ac:dyDescent="0.35">
      <c r="A4016"/>
    </row>
    <row r="4017" spans="1:1" x14ac:dyDescent="0.35">
      <c r="A4017"/>
    </row>
    <row r="4018" spans="1:1" x14ac:dyDescent="0.35">
      <c r="A4018"/>
    </row>
    <row r="4019" spans="1:1" x14ac:dyDescent="0.35">
      <c r="A4019"/>
    </row>
    <row r="4020" spans="1:1" x14ac:dyDescent="0.35">
      <c r="A4020"/>
    </row>
    <row r="4021" spans="1:1" x14ac:dyDescent="0.35">
      <c r="A4021"/>
    </row>
    <row r="4022" spans="1:1" x14ac:dyDescent="0.35">
      <c r="A4022"/>
    </row>
    <row r="4023" spans="1:1" x14ac:dyDescent="0.35">
      <c r="A4023"/>
    </row>
    <row r="4024" spans="1:1" x14ac:dyDescent="0.35">
      <c r="A4024"/>
    </row>
    <row r="4025" spans="1:1" x14ac:dyDescent="0.35">
      <c r="A4025"/>
    </row>
    <row r="4026" spans="1:1" x14ac:dyDescent="0.35">
      <c r="A4026"/>
    </row>
    <row r="4027" spans="1:1" x14ac:dyDescent="0.35">
      <c r="A4027"/>
    </row>
    <row r="4028" spans="1:1" x14ac:dyDescent="0.35">
      <c r="A4028"/>
    </row>
    <row r="4029" spans="1:1" x14ac:dyDescent="0.35">
      <c r="A4029"/>
    </row>
    <row r="4030" spans="1:1" x14ac:dyDescent="0.35">
      <c r="A4030"/>
    </row>
    <row r="4031" spans="1:1" x14ac:dyDescent="0.35">
      <c r="A4031"/>
    </row>
    <row r="4032" spans="1:1" x14ac:dyDescent="0.35">
      <c r="A4032"/>
    </row>
    <row r="4033" spans="1:1" x14ac:dyDescent="0.35">
      <c r="A4033"/>
    </row>
    <row r="4034" spans="1:1" x14ac:dyDescent="0.35">
      <c r="A4034"/>
    </row>
    <row r="4035" spans="1:1" x14ac:dyDescent="0.35">
      <c r="A4035"/>
    </row>
    <row r="4036" spans="1:1" x14ac:dyDescent="0.35">
      <c r="A4036"/>
    </row>
    <row r="4037" spans="1:1" x14ac:dyDescent="0.35">
      <c r="A4037"/>
    </row>
    <row r="4038" spans="1:1" x14ac:dyDescent="0.35">
      <c r="A4038"/>
    </row>
    <row r="4039" spans="1:1" x14ac:dyDescent="0.35">
      <c r="A4039"/>
    </row>
    <row r="4040" spans="1:1" x14ac:dyDescent="0.35">
      <c r="A4040"/>
    </row>
    <row r="4041" spans="1:1" x14ac:dyDescent="0.35">
      <c r="A4041"/>
    </row>
    <row r="4042" spans="1:1" x14ac:dyDescent="0.35">
      <c r="A4042"/>
    </row>
    <row r="4043" spans="1:1" x14ac:dyDescent="0.35">
      <c r="A4043"/>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6CA13-7488-4548-B7E9-6A7F4521DD87}">
  <dimension ref="A1"/>
  <sheetViews>
    <sheetView showGridLines="0" showRowColHeaders="0" tabSelected="1" zoomScale="55" zoomScaleNormal="55" workbookViewId="0">
      <selection activeCell="AE30" sqref="AE3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salesdata</vt:lpstr>
      <vt:lpstr>Sales_by_sub-category</vt:lpstr>
      <vt:lpstr>Year_wise_profit</vt:lpstr>
      <vt:lpstr>Monthly_sales</vt:lpstr>
      <vt:lpstr>Profit_by_customer</vt:lpstr>
      <vt:lpstr>State_wise_sales</vt:lpstr>
      <vt:lpstr>Year_wise_count_of_customers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 KUMAR</dc:creator>
  <cp:lastModifiedBy>VINAY KUMAR</cp:lastModifiedBy>
  <dcterms:created xsi:type="dcterms:W3CDTF">2025-11-13T13:16:44Z</dcterms:created>
  <dcterms:modified xsi:type="dcterms:W3CDTF">2025-11-15T09:56:12Z</dcterms:modified>
</cp:coreProperties>
</file>